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الفرص'!$A$1:$Y$195</definedName>
    <definedName function="false" hidden="true" localSheetId="4" name="_xlnm._FilterDatabase" vbProcedure="false">'سجل الأكشنات'!$A$1:$J$422</definedName>
    <definedName function="false" hidden="true" localSheetId="1" name="_xlnm._FilterDatabase" vbProcedure="false">'متابعة يومية'!$A$3:$I$156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<sst xmlns="http://schemas.openxmlformats.org/spreadsheetml/2006/main" count="7112" uniqueCount="1293">
  <si>
    <t xml:space="preserve">شيت المتابعة اليومية للمناديب — Smou Lifts (Odoo CRM)</t>
  </si>
  <si>
    <t xml:space="preserve">الفترة: 15/07/2026 حتى 31/07/2026   |   البيانات متاحة فعلياً حتى 2026-07-27   |   المصدر: crm.lead   |   آخر تحديث: 27/07/2026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</si>
  <si>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</si>
  <si>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</si>
  <si>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</si>
  <si>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</si>
  <si>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</si>
  <si>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</si>
  <si>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</si>
  <si>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</si>
  <si>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</si>
  <si>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</si>
  <si>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</si>
  <si>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</si>
  <si>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</si>
  <si>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</si>
  <si>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</si>
  <si>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</si>
  <si>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</si>
  <si>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الـ23 فرصة) · كثيراً ما يترك فارغاً: Plot Number (22/23)، ملاحظات (22/23)، الاستشاري (13/23)، المقاول (12/23) · الأكشنات: 56 أكشن منها 9 مختصر/بدون نص</t>
  </si>
  <si>
    <t xml:space="preserve">Ahmed AlDinary</t>
  </si>
  <si>
    <t xml:space="preserve">لا يكتب إطلاقاً: ملاحظات (في كل الـ29 فرصة) · كثيراً ما يترك فارغاً: مرفقات (28/29)، Source (27/29)، اسم العميل (20/29)، Tags (20/29)، المقاول (19/29)، Plot Number (18/29)، الاستشاري (17/29) · الأكشنات: 62 أكشن منها 11 مختصر/بدون نص</t>
  </si>
  <si>
    <t xml:space="preserve">Ahmed Alattar</t>
  </si>
  <si>
    <t xml:space="preserve">لا يكتب إطلاقاً: Plot Number (في كل الـ24 فرصة) · كثيراً ما يترك فارغاً: Tags (22/24)، Source (22/24)، مرفقات (20/24)، ملاحظات (18/24)، الاستشاري (13/24)، المقاول (12/24) · الأكشنات: 23 أكشن منها 11 مختصر/بدون نص</t>
  </si>
  <si>
    <t xml:space="preserve">Ahmed Salah</t>
  </si>
  <si>
    <t xml:space="preserve">لا يكتب إطلاقاً: Plot Number، Tags، مرفقات، Source، ملاحظات (في كل الـ8 فرصة) · كثيراً ما يترك فارغاً: المقاول (7/8)، اسم العميل (7/8)، الاستشاري (6/8) · الأكشنات: 40 أكشن منها 1 مختصر/بدون نص</t>
  </si>
  <si>
    <t xml:space="preserve">Hossam Radi</t>
  </si>
  <si>
    <t xml:space="preserve">كثيراً ما يترك فارغاً: Plot Number (6/8)، مرفقات (6/8)، Source (6/8)، الاستشاري (5/8)، المقاول (5/8)، ملاحظات (4/8) · الأكشنات: 39 أكشن منها 14 مختصر/بدون نص</t>
  </si>
  <si>
    <t xml:space="preserve">Mohamed Saqr</t>
  </si>
  <si>
    <t xml:space="preserve">لا يكتب إطلاقاً: Plot Number، Tags، مرفقات، Source، ملاحظات (في كل الـ7 فرصة) · كثيراً ما يترك فارغاً: اسم العميل (6/7)، الاستشاري (6/7)، المقاول (6/7) · الأكشنات: 51 أكشن منها 2 مختصر/بدون نص</t>
  </si>
  <si>
    <t xml:space="preserve">Mohammed Jamal</t>
  </si>
  <si>
    <t xml:space="preserve">لا يكتب إطلاقاً: الاستشاري، مرفقات، Source، ملاحظات (في كل الـ65 فرصة) · كثيراً ما يترك فارغاً: Plot Number (64/65)، المقاول (64/65)، Tags (64/65)، اسم العميل (54/65) · الأكشنات: 73 أكشن منها 16 مختصر/بدون نص</t>
  </si>
  <si>
    <t xml:space="preserve">Ramy Moussa</t>
  </si>
  <si>
    <t xml:space="preserve">لا يكتب إطلاقاً: Plot Number، المقاول، مرفقات، ملاحظات (في كل الـ29 فرصة) · كثيراً ما يترك فارغاً: الاستشاري (28/29)، Tags (28/29)، Source (28/29) · الأكشنات: 54 أكشن منها 5 مختصر/بدون نص</t>
  </si>
  <si>
    <t xml:space="preserve">Yossry Fayez</t>
  </si>
  <si>
    <t xml:space="preserve">لا يكتب إطلاقاً: المقاول، مرفقات، Source، ملاحظات (في كل الـ1 فرصة) · الأكشنات: 23 أكشن منها 5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</si>
  <si>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</si>
  <si>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</si>
  <si>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</si>
  <si>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</si>
  <si>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</si>
  <si>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</si>
  <si>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</si>
  <si>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27/07/2026 — آخر يوم به نشاط مسجّل هو 2026-07-27.</t>
  </si>
  <si>
    <t xml:space="preserve">• المناديب المستبعدون من الشيت: Sayed Samak.</t>
  </si>
  <si>
    <t xml:space="preserve">المتابعة اليومية لكل مندوب — 15/07/2026 إلى 31/07/2026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</si>
  <si>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</si>
  <si>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</si>
  <si>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</si>
  <si>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</si>
  <si>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</si>
  <si>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الأربعاء</t>
  </si>
  <si>
    <t xml:space="preserve">2026-07-15</t>
  </si>
  <si>
    <t xml:space="preserve">الخميس</t>
  </si>
  <si>
    <t xml:space="preserve">2026-07-16</t>
  </si>
  <si>
    <t xml:space="preserve">الجمعة</t>
  </si>
  <si>
    <t xml:space="preserve">2026-07-17</t>
  </si>
  <si>
    <t xml:space="preserve">السبت</t>
  </si>
  <si>
    <t xml:space="preserve">2026-07-18</t>
  </si>
  <si>
    <t xml:space="preserve">الأحد</t>
  </si>
  <si>
    <t xml:space="preserve">2026-07-19</t>
  </si>
  <si>
    <t xml:space="preserve">الإثنين</t>
  </si>
  <si>
    <t xml:space="preserve">2026-07-20</t>
  </si>
  <si>
    <t xml:space="preserve">الثلاثاء</t>
  </si>
  <si>
    <t xml:space="preserve">2026-07-21</t>
  </si>
  <si>
    <t xml:space="preserve">2026-07-22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</si>
  <si>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</si>
  <si>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</si>
  <si>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</si>
  <si>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</si>
  <si>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2026-07-27</t>
  </si>
  <si>
    <t xml:space="preserve">2026-07-28</t>
  </si>
  <si>
    <t xml:space="preserve">2026-07-29</t>
  </si>
  <si>
    <t xml:space="preserve">2026-07-30</t>
  </si>
  <si>
    <t xml:space="preserve">2026-07-31</t>
  </si>
  <si>
    <t xml:space="preserve">الملاحظات المتكررة ومدى تكرارها</t>
  </si>
  <si>
    <t xml:space="preserve">إجمالي الفرص المفحوصة: 194   |   إجمالي الأكشنات المفحوصة: 421   |   الفترة 15/07 – 31/07/2026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</si>
  <si>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</si>
  <si>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</si>
  <si>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</si>
  <si>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</si>
  <si>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</si>
  <si>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</si>
  <si>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</si>
  <si>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</si>
  <si>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</si>
  <si>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Mohammed Jamal (54)</t>
  </si>
  <si>
    <t xml:space="preserve">المندوب لم يكتب «Plot Number» في الفرصة</t>
  </si>
  <si>
    <t xml:space="preserve">Mohammed Jamal (64)</t>
  </si>
  <si>
    <t xml:space="preserve">المندوب لم يكتب «الاستشاري» في الفرصة</t>
  </si>
  <si>
    <t xml:space="preserve">Mohammed Jamal (65)</t>
  </si>
  <si>
    <t xml:space="preserve">المندوب لم يكتب «المقاول» في الفرصة</t>
  </si>
  <si>
    <t xml:space="preserve">المندوب لم يكتب «Tags» في الفرصة</t>
  </si>
  <si>
    <t xml:space="preserve">المندوب لم يكتب «مرفقات» في الفرصة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</si>
  <si>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</si>
  <si>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</si>
  <si>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</si>
  <si>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</si>
  <si>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</si>
  <si>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اسم العميل، Plot Number، الاستشاري، المقاول، Tags،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</si>
  <si>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</si>
  <si>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مرفقات، Source، ملاحظات</t>
  </si>
  <si>
    <t xml:space="preserve">ناقص: Plot Number، الاستشاري، Tags، مرفقات، Source، ملاحظات</t>
  </si>
  <si>
    <t xml:space="preserve">ناقص: Plot Number، المقاول، Tags، مرفقات، Source، ملاحظات</t>
  </si>
  <si>
    <t xml:space="preserve">ناقص: Plot Number، الاستشاري، المقاول، مرفقات، Source، ملاحظات</t>
  </si>
  <si>
    <t xml:space="preserve">ناقص: مرفقات، Source، ملاحظات</t>
  </si>
  <si>
    <t xml:space="preserve">ناقص: Plot Number، المقاول، مرفقات، Source، ملاحظات</t>
  </si>
  <si>
    <t xml:space="preserve">ناقص: المقاول، مرفقات، Source، ملاحظات</t>
  </si>
  <si>
    <t xml:space="preserve">ناقص: Plot Number، المقاول، Tags، مرفقات، Source</t>
  </si>
  <si>
    <t xml:space="preserve">ناقص: Plot Number، مرفقات، Source، ملاحظات</t>
  </si>
  <si>
    <t xml:space="preserve">ناقص: Plot Number، الاستشاري، Tags، مرفقات، Source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</si>
  <si>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</si>
  <si>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</si>
  <si>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</si>
  <si>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</si>
  <si>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</si>
  <si>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ملاحظة مسجّلة بدون أي نص</t>
  </si>
  <si>
    <t xml:space="preserve">أكشن مختصر جداً — النص تلقائي/عام بدون تفاصيل الزيارة أو نتيجتها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</si>
  <si>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</si>
  <si>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</si>
  <si>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</si>
  <si>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</si>
  <si>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</si>
  <si>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</si>
  <si>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</si>
  <si>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</si>
  <si>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</si>
  <si>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</si>
  <si>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</si>
  <si>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</si>
  <si>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</si>
  <si>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</si>
  <si>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</si>
  <si>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</si>
  <si>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</si>
  <si>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</si>
  <si>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09:45</t>
  </si>
  <si>
    <t xml:space="preserve">Abu Dhabi, and Al Ain</t>
  </si>
  <si>
    <t xml:space="preserve">عرض سعر</t>
  </si>
  <si>
    <t xml:space="preserve">احمد سيف علي الضبع's opportunity</t>
  </si>
  <si>
    <t xml:space="preserve">احمد سيف علي الضبع</t>
  </si>
  <si>
    <t xml:space="preserve">نعم</t>
  </si>
  <si>
    <t xml:space="preserve">لا</t>
  </si>
  <si>
    <t xml:space="preserve">المندوب لم يكتب: Plot Number، الاستشاري، المقاول، Tags، مرفقات، Source، ملاحظات  (7 خانة ناقصة)</t>
  </si>
  <si>
    <t xml:space="preserve">10:16</t>
  </si>
  <si>
    <t xml:space="preserve">بالم إنترناشيونال للمقاولات's opportunit</t>
  </si>
  <si>
    <t xml:space="preserve">بالم إنترناشيونال للمقاولات</t>
  </si>
  <si>
    <t xml:space="preserve">10:43</t>
  </si>
  <si>
    <t xml:space="preserve">لانيزون للمقاولات's opportunity</t>
  </si>
  <si>
    <t xml:space="preserve">لاميزون للمقاولات</t>
  </si>
  <si>
    <t xml:space="preserve">11:04</t>
  </si>
  <si>
    <t xml:space="preserve">حميد الدرمكي's opportunity</t>
  </si>
  <si>
    <t xml:space="preserve">حميد الدرمكي</t>
  </si>
  <si>
    <t xml:space="preserve">11:22</t>
  </si>
  <si>
    <t xml:space="preserve">علي عبدالله الكعبي's opportunity</t>
  </si>
  <si>
    <t xml:space="preserve">علي عبدالله الكعبي</t>
  </si>
  <si>
    <t xml:space="preserve">11:39</t>
  </si>
  <si>
    <t xml:space="preserve">سبشيل لاين للاستشارات's opportunity</t>
  </si>
  <si>
    <t xml:space="preserve">سبشيل لاين للاستشارات</t>
  </si>
  <si>
    <t xml:space="preserve">16:10</t>
  </si>
  <si>
    <t xml:space="preserve">ADMIN</t>
  </si>
  <si>
    <t xml:space="preserve">عملاء</t>
  </si>
  <si>
    <t xml:space="preserve">رمز للتطوير العقاري's opportunity</t>
  </si>
  <si>
    <t xml:space="preserve">رمز للتطوير العقاري</t>
  </si>
  <si>
    <t xml:space="preserve">رمز للتطوير العقارى</t>
  </si>
  <si>
    <t xml:space="preserve">المندوب لم يكتب: Plot Number، الاستشاري، Tags، مرفقات، Source، ملاحظات  (6 خانة ناقصة)</t>
  </si>
  <si>
    <t xml:space="preserve">16:48</t>
  </si>
  <si>
    <t xml:space="preserve">Abu Dhabi, and Al Ain 1</t>
  </si>
  <si>
    <t xml:space="preserve">محاور للمقاولات العامه</t>
  </si>
  <si>
    <t xml:space="preserve">العميل - محاور للمقاولات العامة - خليل</t>
  </si>
  <si>
    <t xml:space="preserve">رويال دوم للاستشارات الهندسية</t>
  </si>
  <si>
    <t xml:space="preserve">المندوب لم يكتب: Plot Number، المقاول، Tags، مرفقات، Source، ملاحظات  (6 خانة ناقصة)</t>
  </si>
  <si>
    <t xml:space="preserve">الاستاذه فاطمه</t>
  </si>
  <si>
    <t xml:space="preserve">المندوب لم يكتب: اسم العميل، Plot Number، الاستشاري، المقاول، Tags، مرفقات، Source، ملاحظات  (8 خانة ناقصة)</t>
  </si>
  <si>
    <t xml:space="preserve">17:09</t>
  </si>
  <si>
    <t xml:space="preserve">المد للمقاولات العامة</t>
  </si>
  <si>
    <t xml:space="preserve">17:10</t>
  </si>
  <si>
    <t xml:space="preserve">مثلث البناء للمقاولات</t>
  </si>
  <si>
    <t xml:space="preserve">17:19</t>
  </si>
  <si>
    <t xml:space="preserve">موسسه دار الغد للمقاولات العامة</t>
  </si>
  <si>
    <t xml:space="preserve">17:20</t>
  </si>
  <si>
    <t xml:space="preserve">القصور العالمية للمقاولات</t>
  </si>
  <si>
    <t xml:space="preserve">17:22</t>
  </si>
  <si>
    <t xml:space="preserve">تقرير اليوم</t>
  </si>
  <si>
    <t xml:space="preserve">10:06</t>
  </si>
  <si>
    <t xml:space="preserve">فايز الاحبابي's opportunity</t>
  </si>
  <si>
    <t xml:space="preserve">فايز الاحبابي</t>
  </si>
  <si>
    <t xml:space="preserve">10:38</t>
  </si>
  <si>
    <t xml:space="preserve">جيانكو للمقاولات's opportunity</t>
  </si>
  <si>
    <t xml:space="preserve">جيانكو للمقاولات</t>
  </si>
  <si>
    <t xml:space="preserve">11:35</t>
  </si>
  <si>
    <t xml:space="preserve">لافيت للمقاولات's opportunity</t>
  </si>
  <si>
    <t xml:space="preserve">لافيت للمقاولات</t>
  </si>
  <si>
    <t xml:space="preserve">15:20</t>
  </si>
  <si>
    <t xml:space="preserve">مكتب الجدار الماسي للمقاولات's opportuni</t>
  </si>
  <si>
    <t xml:space="preserve">مكتب الجدار الماسي للمقاولات</t>
  </si>
  <si>
    <t xml:space="preserve">الجدار الماسي للمقاولات العامة</t>
  </si>
  <si>
    <t xml:space="preserve">15:57</t>
  </si>
  <si>
    <t xml:space="preserve">جي تي ايه سي للمكيفات</t>
  </si>
  <si>
    <t xml:space="preserve">15:58</t>
  </si>
  <si>
    <t xml:space="preserve">المنامه للمقاولات العامة</t>
  </si>
  <si>
    <t xml:space="preserve">15:59</t>
  </si>
  <si>
    <t xml:space="preserve">محمد شفيق للمقاولات العامة</t>
  </si>
  <si>
    <t xml:space="preserve">16:01</t>
  </si>
  <si>
    <t xml:space="preserve">اجياد للاستشارات الهندسية</t>
  </si>
  <si>
    <t xml:space="preserve">16:02</t>
  </si>
  <si>
    <t xml:space="preserve">المعرض</t>
  </si>
  <si>
    <t xml:space="preserve">23:25</t>
  </si>
  <si>
    <t xml:space="preserve">ماكس ديزاين للاستشارت</t>
  </si>
  <si>
    <t xml:space="preserve">14:31</t>
  </si>
  <si>
    <t xml:space="preserve">عبدالله الشامسي's opportunity</t>
  </si>
  <si>
    <t xml:space="preserve">عبدالله الشامسي</t>
  </si>
  <si>
    <t xml:space="preserve">14:33</t>
  </si>
  <si>
    <t xml:space="preserve">سلطان حبوش's opportunity</t>
  </si>
  <si>
    <t xml:space="preserve">سلطان حبوش</t>
  </si>
  <si>
    <t xml:space="preserve">14:34</t>
  </si>
  <si>
    <t xml:space="preserve">نايف الشامسي's opportunity</t>
  </si>
  <si>
    <t xml:space="preserve">نايف الشامسي</t>
  </si>
  <si>
    <t xml:space="preserve">14:35</t>
  </si>
  <si>
    <t xml:space="preserve">فولت 24برو للانشاء والتعمير's opportunit</t>
  </si>
  <si>
    <t xml:space="preserve">فولت 24برو للانشاء والتعمير</t>
  </si>
  <si>
    <t xml:space="preserve">14:54</t>
  </si>
  <si>
    <t xml:space="preserve">شهاب احمد سالم's opportunity</t>
  </si>
  <si>
    <t xml:space="preserve">شهاب احمد سالم</t>
  </si>
  <si>
    <t xml:space="preserve">15:08</t>
  </si>
  <si>
    <t xml:space="preserve">احمد انور شماس's opportunity</t>
  </si>
  <si>
    <t xml:space="preserve">احمد انور شماس</t>
  </si>
  <si>
    <t xml:space="preserve">15:32</t>
  </si>
  <si>
    <t xml:space="preserve">ما بعد البيع</t>
  </si>
  <si>
    <t xml:space="preserve">محمد الحميرى/ الرياض 11's opportunity</t>
  </si>
  <si>
    <t xml:space="preserve">محمد الحميرى/ الرياض 11</t>
  </si>
  <si>
    <t xml:space="preserve">مكتب الحداثة للاستشارات الهندسية</t>
  </si>
  <si>
    <t xml:space="preserve">16:12</t>
  </si>
  <si>
    <t xml:space="preserve">16:14</t>
  </si>
  <si>
    <t xml:space="preserve">استون ماستر للمقاولات</t>
  </si>
  <si>
    <t xml:space="preserve">16:15</t>
  </si>
  <si>
    <t xml:space="preserve">ليون للاستشارات الهندسية</t>
  </si>
  <si>
    <t xml:space="preserve">16:17</t>
  </si>
  <si>
    <t xml:space="preserve">جوهرة الجنوب للمقاولات</t>
  </si>
  <si>
    <t xml:space="preserve">16:21</t>
  </si>
  <si>
    <t xml:space="preserve">كيان اتش للمقاولات</t>
  </si>
  <si>
    <t xml:space="preserve">16:22</t>
  </si>
  <si>
    <t xml:space="preserve">روعه الشام للمقاولات العامة</t>
  </si>
  <si>
    <t xml:space="preserve">16:23</t>
  </si>
  <si>
    <t xml:space="preserve">فخر الأجيال للمقاولات</t>
  </si>
  <si>
    <t xml:space="preserve">16:32</t>
  </si>
  <si>
    <t xml:space="preserve">New</t>
  </si>
  <si>
    <t xml:space="preserve">كوفنتري للمقاولات</t>
  </si>
  <si>
    <t xml:space="preserve">16:33</t>
  </si>
  <si>
    <t xml:space="preserve">خالد المهيري</t>
  </si>
  <si>
    <t xml:space="preserve">16:35</t>
  </si>
  <si>
    <t xml:space="preserve">عين الصقر للمقاولات</t>
  </si>
  <si>
    <t xml:space="preserve">16:36</t>
  </si>
  <si>
    <t xml:space="preserve">باور برميد للمقاولات</t>
  </si>
  <si>
    <t xml:space="preserve">16:38</t>
  </si>
  <si>
    <t xml:space="preserve">رويال كونكريت للمقاولات</t>
  </si>
  <si>
    <t xml:space="preserve">16:40</t>
  </si>
  <si>
    <t xml:space="preserve">الربان للمقاولات</t>
  </si>
  <si>
    <t xml:space="preserve">17:11</t>
  </si>
  <si>
    <t xml:space="preserve">ناصر عبدالقادر درويش المنصوري</t>
  </si>
  <si>
    <t xml:space="preserve">دالتون</t>
  </si>
  <si>
    <t xml:space="preserve">رايز فيو</t>
  </si>
  <si>
    <t xml:space="preserve">مصعد</t>
  </si>
  <si>
    <t xml:space="preserve">المندوب لم يكتب: Plot Number، مرفقات، Source  (3 خانة ناقصة)</t>
  </si>
  <si>
    <t xml:space="preserve">17:53</t>
  </si>
  <si>
    <t xml:space="preserve">فرصة علي سالم النعيمي رض 7</t>
  </si>
  <si>
    <t xml:space="preserve">علي سالم النعيمي رض 7</t>
  </si>
  <si>
    <t xml:space="preserve">معرض</t>
  </si>
  <si>
    <t xml:space="preserve">المندوب لم يكتب: Plot Number، الاستشاري، المقاول، مرفقات، Source، ملاحظات  (6 خانة ناقصة)</t>
  </si>
  <si>
    <t xml:space="preserve">23:21</t>
  </si>
  <si>
    <t xml:space="preserve">فرصة ملخص اليوم ١٨ يوليو</t>
  </si>
  <si>
    <t xml:space="preserve">ملخص اليوم ١٨ يوليو</t>
  </si>
  <si>
    <t xml:space="preserve">ملخص اليوم</t>
  </si>
  <si>
    <t xml:space="preserve">09:09</t>
  </si>
  <si>
    <t xml:space="preserve">خالد الفاون / 5ميتسوبيشى دكدات تكييف's o</t>
  </si>
  <si>
    <t xml:space="preserve">خالد الفاون / 5ميتسوبيشى دكدات تكييف</t>
  </si>
  <si>
    <t xml:space="preserve">الفاون للمقاولات العامة</t>
  </si>
  <si>
    <t xml:space="preserve">المندوب لم يكتب: Plot Number، الاستشاري، Tags، Source، ملاحظات  (5 خانة ناقصة)</t>
  </si>
  <si>
    <t xml:space="preserve">12:27</t>
  </si>
  <si>
    <t xml:space="preserve">المالك عبدالله محمد ناصر - Social 7- 202</t>
  </si>
  <si>
    <t xml:space="preserve">المالك عبدالله محمد ناصر - Social 7- 2</t>
  </si>
  <si>
    <t xml:space="preserve">تكييف</t>
  </si>
  <si>
    <t xml:space="preserve">social Media</t>
  </si>
  <si>
    <t xml:space="preserve">المندوب لم يكتب: Plot Number، الاستشاري، المقاول  (3 خانة ناقصة)</t>
  </si>
  <si>
    <t xml:space="preserve">13:36</t>
  </si>
  <si>
    <t xml:space="preserve">سعيد عتيق مبارك خميس الرميثي - Social</t>
  </si>
  <si>
    <t xml:space="preserve">المالك سعيد عتيق مبارك خميس الرميثي</t>
  </si>
  <si>
    <t xml:space="preserve">RD 77 151</t>
  </si>
  <si>
    <t xml:space="preserve">مكتب نابولي للاستشارات الهندسية</t>
  </si>
  <si>
    <t xml:space="preserve">مصعد و تكييف</t>
  </si>
  <si>
    <t xml:space="preserve">المندوب لم يكتب: المقاول، مرفقات، Source، ملاحظات  (4 خانة ناقصة)</t>
  </si>
  <si>
    <t xml:space="preserve">13:37</t>
  </si>
  <si>
    <t xml:space="preserve">البحري للاستشارات</t>
  </si>
  <si>
    <t xml:space="preserve">16:52</t>
  </si>
  <si>
    <t xml:space="preserve">اجيال الخير للمقاولات</t>
  </si>
  <si>
    <t xml:space="preserve">يوسف لحوسني يسري</t>
  </si>
  <si>
    <t xml:space="preserve">16:53</t>
  </si>
  <si>
    <t xml:space="preserve">الشبحات للمقاولات العامة</t>
  </si>
  <si>
    <t xml:space="preserve">اليفيشن للاستشارات الهندسية</t>
  </si>
  <si>
    <t xml:space="preserve">16:54</t>
  </si>
  <si>
    <t xml:space="preserve">لاين للاستشارات الهندسية</t>
  </si>
  <si>
    <t xml:space="preserve">16:55</t>
  </si>
  <si>
    <t xml:space="preserve">معرض العطار's opportunity</t>
  </si>
  <si>
    <t xml:space="preserve">معرض العطار</t>
  </si>
  <si>
    <t xml:space="preserve">وردة اليحر للمقاولات العامة</t>
  </si>
  <si>
    <t xml:space="preserve">16:58</t>
  </si>
  <si>
    <t xml:space="preserve">التصميم الحديث للاستشارات</t>
  </si>
  <si>
    <t xml:space="preserve">16:59</t>
  </si>
  <si>
    <t xml:space="preserve">الانماء للمقاولات العامة</t>
  </si>
  <si>
    <t xml:space="preserve">17:00</t>
  </si>
  <si>
    <t xml:space="preserve">عميل سوشيال مديا</t>
  </si>
  <si>
    <t xml:space="preserve">18:18</t>
  </si>
  <si>
    <t xml:space="preserve">علي المنصوري</t>
  </si>
  <si>
    <t xml:space="preserve">18:23</t>
  </si>
  <si>
    <t xml:space="preserve">تلال النيل للمقاولات</t>
  </si>
  <si>
    <t xml:space="preserve">18:26</t>
  </si>
  <si>
    <t xml:space="preserve">دوائر البناء للمقاولات</t>
  </si>
  <si>
    <t xml:space="preserve">18:27</t>
  </si>
  <si>
    <t xml:space="preserve">زاس للمقاولات</t>
  </si>
  <si>
    <t xml:space="preserve">18:29</t>
  </si>
  <si>
    <t xml:space="preserve">ابراج النخبة للمقاولات</t>
  </si>
  <si>
    <t xml:space="preserve">18:30</t>
  </si>
  <si>
    <t xml:space="preserve">محمد سيف الزبيدي</t>
  </si>
  <si>
    <t xml:space="preserve">23:16</t>
  </si>
  <si>
    <t xml:space="preserve">فرصة علي المرزوقي معرض ٧</t>
  </si>
  <si>
    <t xml:space="preserve">علي المرزوقي معرض ٧</t>
  </si>
  <si>
    <t xml:space="preserve">١٦</t>
  </si>
  <si>
    <t xml:space="preserve">تاج الواحة للاستشارات الهندسية</t>
  </si>
  <si>
    <t xml:space="preserve">سيلفر فالكون للمقاولات</t>
  </si>
  <si>
    <t xml:space="preserve">معرض, مصعد</t>
  </si>
  <si>
    <t xml:space="preserve">المندوب لم يكتب: مرفقات، Source، ملاحظات  (3 خانة ناقصة)</t>
  </si>
  <si>
    <t xml:space="preserve">23:19</t>
  </si>
  <si>
    <t xml:space="preserve">م امجد دابل تاتش للمقاولات</t>
  </si>
  <si>
    <t xml:space="preserve">دابل تاتش</t>
  </si>
  <si>
    <t xml:space="preserve">مكتب مقاولات, مواقع</t>
  </si>
  <si>
    <t xml:space="preserve">المندوب لم يكتب: Plot Number، الاستشاري، مرفقات، Source، ملاحظات  (5 خانة ناقصة)</t>
  </si>
  <si>
    <t xml:space="preserve">ملخص ١٩\٧\٢٠٢٦</t>
  </si>
  <si>
    <t xml:space="preserve">23:29</t>
  </si>
  <si>
    <t xml:space="preserve">ملخص اليوم ١٩\٧\٢٠٢٦</t>
  </si>
  <si>
    <t xml:space="preserve">محفوظ عبدالسلام's opportunity</t>
  </si>
  <si>
    <t xml:space="preserve">محفوظ عبدالسلام</t>
  </si>
  <si>
    <t xml:space="preserve">10:42</t>
  </si>
  <si>
    <t xml:space="preserve">احمد بدر العامري's opportunity</t>
  </si>
  <si>
    <t xml:space="preserve">احمد بدر العامري</t>
  </si>
  <si>
    <t xml:space="preserve">عبد الله المرزوقي</t>
  </si>
  <si>
    <t xml:space="preserve">15:09</t>
  </si>
  <si>
    <t xml:space="preserve">فرصة م عبدالله م مشروعات اوتكو للمقاولات</t>
  </si>
  <si>
    <t xml:space="preserve">م عبدالله م مشروعات اوتكو للمقاولات</t>
  </si>
  <si>
    <t xml:space="preserve">اوتكو</t>
  </si>
  <si>
    <t xml:space="preserve">مكتب مقاولات</t>
  </si>
  <si>
    <t xml:space="preserve">15:13</t>
  </si>
  <si>
    <t xml:space="preserve">م ابراهيم المسكن للاستشارات</t>
  </si>
  <si>
    <t xml:space="preserve">المسكن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</si>
  <si>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</si>
  <si>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</si>
  <si>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15:29</t>
  </si>
  <si>
    <t xml:space="preserve">مكتب الهاشم للمقاولات العامة's opportuni</t>
  </si>
  <si>
    <t xml:space="preserve">مكتب الهاشم للمقاولات العامة</t>
  </si>
  <si>
    <t xml:space="preserve">هاشم للمقاولات العامة</t>
  </si>
  <si>
    <t xml:space="preserve">15:34</t>
  </si>
  <si>
    <t xml:space="preserve">مكتب على أند سانز للمقاولات العامة's opp</t>
  </si>
  <si>
    <t xml:space="preserve">مكتب على أند سانز للمقاولات العامة</t>
  </si>
  <si>
    <t xml:space="preserve">على أند سانز للمقاولات العامة</t>
  </si>
  <si>
    <t xml:space="preserve">المندوب لم يكتب: Plot Number، الاستشاري، Tags، مرفقات، Source  (5 خانة ناقصة)</t>
  </si>
  <si>
    <t xml:space="preserve">15:37</t>
  </si>
  <si>
    <t xml:space="preserve">Qualified</t>
  </si>
  <si>
    <t xml:space="preserve">المالك عبدالملك المصعبي  - كنوز</t>
  </si>
  <si>
    <t xml:space="preserve">عبدالملك المصعبي</t>
  </si>
  <si>
    <t xml:space="preserve">RD 131 62</t>
  </si>
  <si>
    <t xml:space="preserve">مكتب كنوز للاستشارات الهندسية</t>
  </si>
  <si>
    <t xml:space="preserve">مكتب استشارات, مصعد و تكييف</t>
  </si>
  <si>
    <t xml:space="preserve">المندوب لم يكتب: المقاول، Source  (2 خانة ناقصة)</t>
  </si>
  <si>
    <t xml:space="preserve">16:51</t>
  </si>
  <si>
    <t xml:space="preserve">المهندس الاماراتي للاستشارات الهندسية</t>
  </si>
  <si>
    <t xml:space="preserve">٧٧</t>
  </si>
  <si>
    <t xml:space="preserve">المندوب لم يكتب: اسم العميل، الاستشاري، المقاول، Tags، مرفقات، Source، ملاحظات  (7 خانة ناقصة)</t>
  </si>
  <si>
    <t xml:space="preserve">ترانس للاستشارات الهندسية</t>
  </si>
  <si>
    <t xml:space="preserve">ديماس للاستشارات الهندسية</t>
  </si>
  <si>
    <t xml:space="preserve">البنفسج للاستشارات الهندسية</t>
  </si>
  <si>
    <t xml:space="preserve">16:57</t>
  </si>
  <si>
    <t xml:space="preserve">كومبتيشن للمقاولات العامة</t>
  </si>
  <si>
    <t xml:space="preserve">دار الغد للمقاولات العامة</t>
  </si>
  <si>
    <t xml:space="preserve">17:03</t>
  </si>
  <si>
    <t xml:space="preserve">معرض العين</t>
  </si>
  <si>
    <t xml:space="preserve">17:05</t>
  </si>
  <si>
    <t xml:space="preserve">واي ال سي للاستشارات</t>
  </si>
  <si>
    <t xml:space="preserve">20:46</t>
  </si>
  <si>
    <t xml:space="preserve">المالك عبدالله الكثيري - معرض 7 - 2027</t>
  </si>
  <si>
    <t xml:space="preserve">المالك عبدالله الكثيري</t>
  </si>
  <si>
    <t xml:space="preserve">المندوب لم يكتب: Plot Number، الاستشاري، المقاول، مرفقات  (4 خانة ناقصة)</t>
  </si>
  <si>
    <t xml:space="preserve">22:52</t>
  </si>
  <si>
    <t xml:space="preserve">الاعمال اليوميه</t>
  </si>
  <si>
    <t xml:space="preserve">فيلا خاصه</t>
  </si>
  <si>
    <t xml:space="preserve">23:31</t>
  </si>
  <si>
    <t xml:space="preserve">التخطيط الحديث</t>
  </si>
  <si>
    <t xml:space="preserve">23:32</t>
  </si>
  <si>
    <t xml:space="preserve">الفصول الاربعه للمقاولات العامة</t>
  </si>
  <si>
    <t xml:space="preserve">16:46</t>
  </si>
  <si>
    <t xml:space="preserve">الظبي للاستشارات الهندسية's opportunity</t>
  </si>
  <si>
    <t xml:space="preserve">الظبي للاستشارات الهندسية</t>
  </si>
  <si>
    <t xml:space="preserve">المندوب لم يكتب: Plot Number، المقاول، Tags، مرفقات، Source  (5 خانة ناقصة)</t>
  </si>
  <si>
    <t xml:space="preserve">16:50</t>
  </si>
  <si>
    <t xml:space="preserve">بيزنس باى للمقاولات العامة's opportunity</t>
  </si>
  <si>
    <t xml:space="preserve">بيزنس باى للمقاولات العامة</t>
  </si>
  <si>
    <t xml:space="preserve">بيزنس باى للمقاولات</t>
  </si>
  <si>
    <t xml:space="preserve">دبل سكوير للاستشارات الهندسية's opportun</t>
  </si>
  <si>
    <t xml:space="preserve">دبل سكوير للاستشارات الهندسية</t>
  </si>
  <si>
    <t xml:space="preserve">كيان الابداع للاستشارات الهندسية's oppor</t>
  </si>
  <si>
    <t xml:space="preserve">كيان للاستشارات الهندسية</t>
  </si>
  <si>
    <t xml:space="preserve">كيان الابداع للاستشارات الهندسية</t>
  </si>
  <si>
    <t xml:space="preserve">سالم العزيزي/ كيان للاستشارات's opportun</t>
  </si>
  <si>
    <t xml:space="preserve">سالم العزيزي/ كيان للاستشارات</t>
  </si>
  <si>
    <t xml:space="preserve">عرض سعر مصعد, عرض سعر تكييف</t>
  </si>
  <si>
    <t xml:space="preserve">مكاتب</t>
  </si>
  <si>
    <t xml:space="preserve">المندوب لم يكتب: Plot Number، المقاول، ملاحظات  (3 خانة ناقصة)</t>
  </si>
  <si>
    <t xml:space="preserve">عمير المرزوقي/ المكتب الوطنى الهندي/ الت</t>
  </si>
  <si>
    <t xml:space="preserve">عمير المرزوقي/ المكتب الوطنى الهندي/ ا</t>
  </si>
  <si>
    <t xml:space="preserve">المكتب الهندسي الوطني</t>
  </si>
  <si>
    <t xml:space="preserve">التحفة الشرقية للمقاولات العامة</t>
  </si>
  <si>
    <t xml:space="preserve">عرض سعر مصعد</t>
  </si>
  <si>
    <t xml:space="preserve">معرفة</t>
  </si>
  <si>
    <t xml:space="preserve">المندوب لم يكتب: Plot Number، ملاحظات  (2 خانة ناقصة)</t>
  </si>
  <si>
    <t xml:space="preserve">17:02</t>
  </si>
  <si>
    <t xml:space="preserve">سيف ون للمقاولات العامة</t>
  </si>
  <si>
    <t xml:space="preserve">العابد للاستشارات الهندسية</t>
  </si>
  <si>
    <t xml:space="preserve">17:04</t>
  </si>
  <si>
    <t xml:space="preserve">تري انجل للمقاولات العامة</t>
  </si>
  <si>
    <t xml:space="preserve">17:06</t>
  </si>
  <si>
    <t xml:space="preserve">بروفشنال ستار للمقاولات</t>
  </si>
  <si>
    <t xml:space="preserve">17:08</t>
  </si>
  <si>
    <t xml:space="preserve">دار الامارات للاستشارات الهندسية</t>
  </si>
  <si>
    <t xml:space="preserve">مركز التصميمات للاستشارات الهندسية</t>
  </si>
  <si>
    <t xml:space="preserve">الفابيتا للاستشارات الهندسية</t>
  </si>
  <si>
    <t xml:space="preserve">21:29</t>
  </si>
  <si>
    <t xml:space="preserve">مون للاستشارات</t>
  </si>
  <si>
    <t xml:space="preserve">22:01</t>
  </si>
  <si>
    <t xml:space="preserve">م احمد عبدالسلام توتال تاور للمقاولات</t>
  </si>
  <si>
    <t xml:space="preserve">22:28</t>
  </si>
  <si>
    <t xml:space="preserve">فرصة فاطمه الهاشمي معرض 7</t>
  </si>
  <si>
    <t xml:space="preserve">فاطمه الهاشمي معرض 7</t>
  </si>
  <si>
    <t xml:space="preserve">23:57</t>
  </si>
  <si>
    <t xml:space="preserve">محمد السويدي الرياده للاستشارات الهندسيه</t>
  </si>
  <si>
    <t xml:space="preserve">16:37</t>
  </si>
  <si>
    <t xml:space="preserve">التصميم الراقي للمقاولات العامة</t>
  </si>
  <si>
    <t xml:space="preserve">ريف زاخر للمقاولات العامة</t>
  </si>
  <si>
    <t xml:space="preserve">16:39</t>
  </si>
  <si>
    <t xml:space="preserve">لونج هاند للمقاولات العامة</t>
  </si>
  <si>
    <t xml:space="preserve">النشمي للاستشارات الهندسية</t>
  </si>
  <si>
    <t xml:space="preserve">16:42</t>
  </si>
  <si>
    <t xml:space="preserve">تيم فايف للمقاولات العامة</t>
  </si>
  <si>
    <t xml:space="preserve">16:43</t>
  </si>
  <si>
    <t xml:space="preserve">المواسم للمقاولات العامة</t>
  </si>
  <si>
    <t xml:space="preserve">16:44</t>
  </si>
  <si>
    <t xml:space="preserve">الماتي للمقاولات العامه</t>
  </si>
  <si>
    <t xml:space="preserve">16:45</t>
  </si>
  <si>
    <t xml:space="preserve">20:08</t>
  </si>
  <si>
    <t xml:space="preserve">فيلا الشيخ حمدان السعديات</t>
  </si>
  <si>
    <t xml:space="preserve">22:41</t>
  </si>
  <si>
    <t xml:space="preserve">فرصة الامثل للاستشارات</t>
  </si>
  <si>
    <t xml:space="preserve">الامثل للاستشارات</t>
  </si>
  <si>
    <t xml:space="preserve">الامثل</t>
  </si>
  <si>
    <t xml:space="preserve">22:44</t>
  </si>
  <si>
    <t xml:space="preserve">م علاء ابوظبي كونسبت للاستشارات</t>
  </si>
  <si>
    <t xml:space="preserve">ابوظبي كونسبت</t>
  </si>
  <si>
    <t xml:space="preserve">22:48</t>
  </si>
  <si>
    <t xml:space="preserve">م محمود رادات للاستشارات</t>
  </si>
  <si>
    <t xml:space="preserve">22:49</t>
  </si>
  <si>
    <t xml:space="preserve">م حسين مدير مشروعات ديونزياس للمقاولات</t>
  </si>
  <si>
    <t xml:space="preserve">الجذور</t>
  </si>
  <si>
    <t xml:space="preserve">ديونيزياس</t>
  </si>
  <si>
    <t xml:space="preserve">المندوب لم يكتب: Plot Number، مرفقات، Source، ملاحظات  (4 خانة ناقصة)</t>
  </si>
  <si>
    <t xml:space="preserve">10:08</t>
  </si>
  <si>
    <t xml:space="preserve">مكتب زيرو جرافيتي للاستشارات الهندسية</t>
  </si>
  <si>
    <t xml:space="preserve">10:14</t>
  </si>
  <si>
    <t xml:space="preserve">Won</t>
  </si>
  <si>
    <t xml:space="preserve">ابو زايد الفقيه معرض</t>
  </si>
  <si>
    <t xml:space="preserve">71</t>
  </si>
  <si>
    <t xml:space="preserve">مكتب القلاع للاستشارات الهندسية</t>
  </si>
  <si>
    <t xml:space="preserve">الاصول للمقاولات</t>
  </si>
  <si>
    <t xml:space="preserve">المندوب لم يكتب: اسم العميل، Tags، مرفقات، Source، ملاحظات  (5 خانة ناقصة)</t>
  </si>
  <si>
    <t xml:space="preserve">11:46</t>
  </si>
  <si>
    <t xml:space="preserve">مكتب فرايبرج للمقاولات العامة's opportun</t>
  </si>
  <si>
    <t xml:space="preserve">مكتب فرايبرج للمقاولات العامة</t>
  </si>
  <si>
    <t xml:space="preserve">فرايبرج للمقاولات العامة</t>
  </si>
  <si>
    <t xml:space="preserve">11:48</t>
  </si>
  <si>
    <t xml:space="preserve">مكتب بينونة للاستشارات الهندسية's opport</t>
  </si>
  <si>
    <t xml:space="preserve">مكتب بينونة للاستشارات الهندسية</t>
  </si>
  <si>
    <t xml:space="preserve">بينونة للاستشارات</t>
  </si>
  <si>
    <t xml:space="preserve">11:57</t>
  </si>
  <si>
    <t xml:space="preserve">مكتب ميتاك للمقاولات العامة's opportunit</t>
  </si>
  <si>
    <t xml:space="preserve">مكتب ميتاك للمقاولات العامة</t>
  </si>
  <si>
    <t xml:space="preserve">ميتاك للمقاولات العامة</t>
  </si>
  <si>
    <t xml:space="preserve">12:00</t>
  </si>
  <si>
    <t xml:space="preserve">مكتب نيكسو مي للاستشارات الهندسية's oppo</t>
  </si>
  <si>
    <t xml:space="preserve">مكتب نيكسو مي للاستشارات الهندسية</t>
  </si>
  <si>
    <t xml:space="preserve">نيسكو مي للاستشارات الهندسية</t>
  </si>
  <si>
    <t xml:space="preserve">12:05</t>
  </si>
  <si>
    <t xml:space="preserve">مكتب مجموعة زيرو جرافيتى's opportunity</t>
  </si>
  <si>
    <t xml:space="preserve">مكتب مجموعة زيرو جرافيتى</t>
  </si>
  <si>
    <t xml:space="preserve">زيرو جرافيتى</t>
  </si>
  <si>
    <t xml:space="preserve">12:10</t>
  </si>
  <si>
    <t xml:space="preserve">بيفوت للمقاولات العامة's opportunity</t>
  </si>
  <si>
    <t xml:space="preserve">بيفوت للمقاولات العامة</t>
  </si>
  <si>
    <t xml:space="preserve">12:12</t>
  </si>
  <si>
    <t xml:space="preserve">مكتب الخيل للاستشارات الهندسية's opportu</t>
  </si>
  <si>
    <t xml:space="preserve">مكتب الخيل للاستشارات الهندسية</t>
  </si>
  <si>
    <t xml:space="preserve">الخيل للاستشارات</t>
  </si>
  <si>
    <t xml:space="preserve">12:14</t>
  </si>
  <si>
    <t xml:space="preserve">مكتب المزن للمقاولات العامة's opportunit</t>
  </si>
  <si>
    <t xml:space="preserve">مكتب المزن للمقاولات العامة</t>
  </si>
  <si>
    <t xml:space="preserve">المندوب لم يكتب: Plot Number، الاستشاري، المقاول، Tags، مرفقات، Source  (6 خانة ناقصة)</t>
  </si>
  <si>
    <t xml:space="preserve">12:16</t>
  </si>
  <si>
    <t xml:space="preserve">ICME healthcare and engineering's opport</t>
  </si>
  <si>
    <t xml:space="preserve">ICME healthcare and engineering</t>
  </si>
  <si>
    <t xml:space="preserve">ICME</t>
  </si>
  <si>
    <t xml:space="preserve">12:18</t>
  </si>
  <si>
    <t xml:space="preserve">مكتب ارش زون للاستشارات الهندسيه - م. سا</t>
  </si>
  <si>
    <t xml:space="preserve">مكتب ارش زون للاستشارات الهندسيه - م. </t>
  </si>
  <si>
    <t xml:space="preserve">12:21</t>
  </si>
  <si>
    <t xml:space="preserve">وايت كلاود/ دبى/ مغازي's opportunity</t>
  </si>
  <si>
    <t xml:space="preserve">وايت كلاود/ دبى/ مغازي</t>
  </si>
  <si>
    <t xml:space="preserve">شادوز للاستشارات الهندسية</t>
  </si>
  <si>
    <t xml:space="preserve">وايت كلاود للمقاولات العامة</t>
  </si>
  <si>
    <t xml:space="preserve">المندوب لم يكتب: Plot Number، Tags، Source، ملاحظات  (4 خانة ناقصة)</t>
  </si>
  <si>
    <t xml:space="preserve">14:19</t>
  </si>
  <si>
    <t xml:space="preserve">مكتب كومنتري للمقاولات العامه - م. عمرو </t>
  </si>
  <si>
    <t xml:space="preserve">مكتب كومنتري للمقاولات العامه</t>
  </si>
  <si>
    <t xml:space="preserve">المندوب لم يكتب: Plot Number، الاستشاري، مرفقات، Source  (4 خانة ناقصة)</t>
  </si>
  <si>
    <t xml:space="preserve">14:32</t>
  </si>
  <si>
    <t xml:space="preserve">محمد سعيد بن اسحاق</t>
  </si>
  <si>
    <t xml:space="preserve">محمد سعيد بن اسحاق - الرؤيه الذكيه للا</t>
  </si>
  <si>
    <t xml:space="preserve">مكتب الرؤية الذكية للاستشارات ال</t>
  </si>
  <si>
    <t xml:space="preserve">العندليب للمقاولات العامة</t>
  </si>
  <si>
    <t xml:space="preserve">المندوب لم يكتب: Plot Number، Tags، مرفقات، Source، ملاحظات  (5 خانة ناقصة)</t>
  </si>
  <si>
    <t xml:space="preserve">14:47</t>
  </si>
  <si>
    <t xml:space="preserve">مكتب اعمار الخليج للمقاولات - المهندس سي</t>
  </si>
  <si>
    <t xml:space="preserve">مكتب اعمار الخليج للمقاولات - المهندس </t>
  </si>
  <si>
    <t xml:space="preserve">مكتب اعمار الخليج للمقاولات العا</t>
  </si>
  <si>
    <t xml:space="preserve">15:36</t>
  </si>
  <si>
    <t xml:space="preserve">جبال الوادي للمقاولات العامة</t>
  </si>
  <si>
    <t xml:space="preserve">15:39</t>
  </si>
  <si>
    <t xml:space="preserve">اورانيتس</t>
  </si>
  <si>
    <t xml:space="preserve">15:53</t>
  </si>
  <si>
    <t xml:space="preserve">روعة الشام للمقاولات العامة</t>
  </si>
  <si>
    <t xml:space="preserve">16:13</t>
  </si>
  <si>
    <t xml:space="preserve">مكتب اشبيلية للاستشارات الهندسية- الريم </t>
  </si>
  <si>
    <t xml:space="preserve">مكتب اشبيلية للاستشارات الهندسية</t>
  </si>
  <si>
    <t xml:space="preserve">22</t>
  </si>
  <si>
    <t xml:space="preserve">مصعد, عملاء مكاتب</t>
  </si>
  <si>
    <t xml:space="preserve">16:19</t>
  </si>
  <si>
    <t xml:space="preserve">ام بي كي للمقاولات العامة</t>
  </si>
  <si>
    <t xml:space="preserve">انفنتي للمقاولات العامة</t>
  </si>
  <si>
    <t xml:space="preserve">16:24</t>
  </si>
  <si>
    <t xml:space="preserve">سوبر بيرفكت للمقاولات العامة</t>
  </si>
  <si>
    <t xml:space="preserve">مكتب سوبر بيرفكت للمقاولات العام</t>
  </si>
  <si>
    <t xml:space="preserve">جنيد الجنيبي</t>
  </si>
  <si>
    <t xml:space="preserve">ام صالح العامري معرض</t>
  </si>
  <si>
    <t xml:space="preserve">العميل ام صالح العامري معرض</t>
  </si>
  <si>
    <t xml:space="preserve">602</t>
  </si>
  <si>
    <t xml:space="preserve">مكتب الامير للاستشارات الهندسية</t>
  </si>
  <si>
    <t xml:space="preserve">الانماء الهندسية للمقاولات العام</t>
  </si>
  <si>
    <t xml:space="preserve">المندوب لم يكتب: Tags، مرفقات، Source، ملاحظات  (4 خانة ناقصة)</t>
  </si>
  <si>
    <t xml:space="preserve">مبارك الفلاحي</t>
  </si>
  <si>
    <t xml:space="preserve">176</t>
  </si>
  <si>
    <t xml:space="preserve">اتوكاد للاستشارات</t>
  </si>
  <si>
    <t xml:space="preserve">الهندسة الانشائية للمقاولات</t>
  </si>
  <si>
    <t xml:space="preserve">17:13</t>
  </si>
  <si>
    <t xml:space="preserve">محمد الهاشمي</t>
  </si>
  <si>
    <t xml:space="preserve">18:39</t>
  </si>
  <si>
    <t xml:space="preserve">سحمي الاحبابي's opportunity</t>
  </si>
  <si>
    <t xml:space="preserve">سحمي الاحبابي</t>
  </si>
  <si>
    <t xml:space="preserve">18:40</t>
  </si>
  <si>
    <t xml:space="preserve">جنيد الجنيبي's opportunity</t>
  </si>
  <si>
    <t xml:space="preserve">18:48</t>
  </si>
  <si>
    <t xml:space="preserve">فواصل للعمارة للمقاولات's opportunity</t>
  </si>
  <si>
    <t xml:space="preserve">فواصل للعمارة للمقاولات</t>
  </si>
  <si>
    <t xml:space="preserve">18:50</t>
  </si>
  <si>
    <t xml:space="preserve">طارق سعيد الكعبي's opportunity</t>
  </si>
  <si>
    <t xml:space="preserve">طارق سعيد الكعبي</t>
  </si>
  <si>
    <t xml:space="preserve">13:44</t>
  </si>
  <si>
    <t xml:space="preserve">فرصة الابتكار الذكي للاستشارات</t>
  </si>
  <si>
    <t xml:space="preserve">الابتكار الذكي للاستشارات</t>
  </si>
  <si>
    <t xml:space="preserve">الابتكار الذكي</t>
  </si>
  <si>
    <t xml:space="preserve">13:52</t>
  </si>
  <si>
    <t xml:space="preserve">عبدالكريم العامري ماجيستك للاستشارات</t>
  </si>
  <si>
    <t xml:space="preserve">ماجيستك</t>
  </si>
  <si>
    <t xml:space="preserve">انفرنيس</t>
  </si>
  <si>
    <t xml:space="preserve">14:11</t>
  </si>
  <si>
    <t xml:space="preserve">م احمد سعيد ماتريكس للاستشارات</t>
  </si>
  <si>
    <t xml:space="preserve">ماتريكس</t>
  </si>
  <si>
    <t xml:space="preserve">20:31</t>
  </si>
  <si>
    <t xml:space="preserve">مكتب الشيخ حمدان</t>
  </si>
  <si>
    <t xml:space="preserve">13:41</t>
  </si>
  <si>
    <t xml:space="preserve">MH للمقاولات's opportunity</t>
  </si>
  <si>
    <t xml:space="preserve">MH للمقاولات</t>
  </si>
  <si>
    <t xml:space="preserve">13:43</t>
  </si>
  <si>
    <t xml:space="preserve">استون ماستر للمقاولات's opportunity</t>
  </si>
  <si>
    <t xml:space="preserve">13:46</t>
  </si>
  <si>
    <t xml:space="preserve">ماكسيمم للمقاولات's opportunity</t>
  </si>
  <si>
    <t xml:space="preserve">ماكسيمم للمقاولات</t>
  </si>
  <si>
    <t xml:space="preserve">13:49</t>
  </si>
  <si>
    <t xml:space="preserve">راشد الراشدي's opportunity</t>
  </si>
  <si>
    <t xml:space="preserve">راشد الراشدي</t>
  </si>
  <si>
    <t xml:space="preserve">13:51</t>
  </si>
  <si>
    <t xml:space="preserve">الحاي بيات الحاي's opportunity</t>
  </si>
  <si>
    <t xml:space="preserve">الحاي بيات الحاي</t>
  </si>
  <si>
    <t xml:space="preserve">محمد علي النعيمي's opportunity</t>
  </si>
  <si>
    <t xml:space="preserve">محمد علي النعيمي</t>
  </si>
  <si>
    <t xml:space="preserve">14:59</t>
  </si>
  <si>
    <t xml:space="preserve">مسار التنمية للمقاولات العامة</t>
  </si>
  <si>
    <t xml:space="preserve">شركة مسار التنمية للمقاولات, شركة مسار</t>
  </si>
  <si>
    <t xml:space="preserve">مؤسسة صالح المزروعي للمقاولات</t>
  </si>
  <si>
    <t xml:space="preserve">مؤسسة صالح المزروعي  للمقاولات</t>
  </si>
  <si>
    <t xml:space="preserve">90</t>
  </si>
  <si>
    <t xml:space="preserve">مؤسسة صالة المرزوقي للمقاولات</t>
  </si>
  <si>
    <t xml:space="preserve">مواقع</t>
  </si>
  <si>
    <t xml:space="preserve">قواعد الامان للمقاولات</t>
  </si>
  <si>
    <t xml:space="preserve">قواعد الامان للمقاولات, م ناجي</t>
  </si>
  <si>
    <t xml:space="preserve">استفنس للمقاولات العامة</t>
  </si>
  <si>
    <t xml:space="preserve">17:01</t>
  </si>
  <si>
    <t xml:space="preserve">الخرسانه للمقاولات العامة</t>
  </si>
  <si>
    <t xml:space="preserve">جيانت بيلدينجس للمقاولات</t>
  </si>
  <si>
    <t xml:space="preserve">عبد اللطيف المرزوقي</t>
  </si>
  <si>
    <t xml:space="preserve">91</t>
  </si>
  <si>
    <t xml:space="preserve">مواقع, عرض سعر مكيف</t>
  </si>
  <si>
    <t xml:space="preserve">ريدي ميد للمقاولات / محمد الزعابي</t>
  </si>
  <si>
    <t xml:space="preserve">محمد الزعابي</t>
  </si>
  <si>
    <t xml:space="preserve">183</t>
  </si>
  <si>
    <t xml:space="preserve">مكتب سمارت كونسبت للاستشارات اله</t>
  </si>
  <si>
    <t xml:space="preserve">ريدي ميد للمقاولات</t>
  </si>
  <si>
    <t xml:space="preserve">مواقع, عرض سعر مصعد</t>
  </si>
  <si>
    <t xml:space="preserve">المندوب لم يكتب: ملاحظات  (1 خانة ناقصة)</t>
  </si>
  <si>
    <t xml:space="preserve">17:14</t>
  </si>
  <si>
    <t xml:space="preserve">عبد الله مطر</t>
  </si>
  <si>
    <t xml:space="preserve">164</t>
  </si>
  <si>
    <t xml:space="preserve">ابوظبي كونسبت للاستشارات الهندسي</t>
  </si>
  <si>
    <t xml:space="preserve">مكتب هاوس جيت للمقاولات العامه</t>
  </si>
  <si>
    <t xml:space="preserve">متعاقد</t>
  </si>
  <si>
    <t xml:space="preserve">17:18</t>
  </si>
  <si>
    <t xml:space="preserve">حمد جمعة للمقاولات</t>
  </si>
  <si>
    <t xml:space="preserve">96</t>
  </si>
  <si>
    <t xml:space="preserve">لابية للاستشارات</t>
  </si>
  <si>
    <t xml:space="preserve">هوم دبلوكس للمقاولات</t>
  </si>
  <si>
    <t xml:space="preserve">مكتب اركال للاستشارات الهندسية</t>
  </si>
  <si>
    <t xml:space="preserve">المندوب لم يكتب: اسم العميل، Plot Number، مرفقات، Source، ملاحظات  (5 خانة ناقصة)</t>
  </si>
  <si>
    <t xml:space="preserve">17:24</t>
  </si>
  <si>
    <t xml:space="preserve">هزاع المنهالي</t>
  </si>
  <si>
    <t xml:space="preserve">121</t>
  </si>
  <si>
    <t xml:space="preserve">مكتب سحاب للاستشارات الهندسية</t>
  </si>
  <si>
    <t xml:space="preserve">17:28</t>
  </si>
  <si>
    <t xml:space="preserve">alb للمقاولات</t>
  </si>
  <si>
    <t xml:space="preserve">125</t>
  </si>
  <si>
    <t xml:space="preserve">غلوري للاستشارات</t>
  </si>
  <si>
    <t xml:space="preserve">21:31</t>
  </si>
  <si>
    <t xml:space="preserve">احمد اسماعيل الحوسني</t>
  </si>
  <si>
    <t xml:space="preserve">الرياده للاستشارات الهندسية</t>
  </si>
  <si>
    <t xml:space="preserve">وسام العودي للمقاولات</t>
  </si>
  <si>
    <t xml:space="preserve">00:02</t>
  </si>
  <si>
    <t xml:space="preserve">فرصة سكينه دغيش</t>
  </si>
  <si>
    <t xml:space="preserve">سكينه دغيش</t>
  </si>
  <si>
    <t xml:space="preserve">نابولي</t>
  </si>
  <si>
    <t xml:space="preserve">الموناليزا</t>
  </si>
  <si>
    <t xml:space="preserve">01:28</t>
  </si>
  <si>
    <t xml:space="preserve">الشادن للمقاولات</t>
  </si>
  <si>
    <t xml:space="preserve">13:26</t>
  </si>
  <si>
    <t xml:space="preserve">سلطان النقبي _ النوخذة للاستشارات'</t>
  </si>
  <si>
    <t xml:space="preserve">سلطان النقبي _ النوخذة للاستشارات</t>
  </si>
  <si>
    <t xml:space="preserve">لافييت للمقاولات</t>
  </si>
  <si>
    <t xml:space="preserve">المندوب لم يكتب: Plot Number، المقاول، مرفقات، ملاحظات  (4 خانة ناقصة)</t>
  </si>
  <si>
    <t xml:space="preserve">فن التميز للمقاولات's opportunity</t>
  </si>
  <si>
    <t xml:space="preserve">فن التميز للمقاولات</t>
  </si>
  <si>
    <t xml:space="preserve">13:40</t>
  </si>
  <si>
    <t xml:space="preserve">علي حسين احمد الكعبي</t>
  </si>
  <si>
    <t xml:space="preserve">مكتب سوبر ديزابن للاستشارات الهن</t>
  </si>
  <si>
    <t xml:space="preserve">مشاربع الموج للمقاولات العامة</t>
  </si>
  <si>
    <t xml:space="preserve">المندوب لم يكتب: اسم العميل، Plot Number، Tags، مرفقات، Source، ملاحظات  (6 خانة ناقصة)</t>
  </si>
  <si>
    <t xml:space="preserve">ام اتش جلوبل للمقاولات العامة</t>
  </si>
  <si>
    <t xml:space="preserve">ام اتش جلوبل للمقاولات</t>
  </si>
  <si>
    <t xml:space="preserve">فخامه الاداء للمقاولات العامة</t>
  </si>
  <si>
    <t xml:space="preserve">عامر العامري / خبراء الاعمار</t>
  </si>
  <si>
    <t xml:space="preserve">عامر العامري</t>
  </si>
  <si>
    <t xml:space="preserve">169</t>
  </si>
  <si>
    <t xml:space="preserve">خبراء الاعمار الهندسية للمقاولات</t>
  </si>
  <si>
    <t xml:space="preserve">المندوب لم يكتب: مرفقات، ملاحظات  (2 خانة ناقصة)</t>
  </si>
  <si>
    <t xml:space="preserve">موسسه عبيد التميمي للمقاولات العامة</t>
  </si>
  <si>
    <t xml:space="preserve">عود الغاف للمقاولات العامه</t>
  </si>
  <si>
    <t xml:space="preserve">الميراج السريع للمقاولات</t>
  </si>
  <si>
    <t xml:space="preserve">بيم دزاين للاستشارات الهندسية</t>
  </si>
  <si>
    <t xml:space="preserve">الدوام من المعرض</t>
  </si>
  <si>
    <t xml:space="preserve">09:16</t>
  </si>
  <si>
    <t xml:space="preserve">فرصة م سيد الغرباوي فصول الامارات للمقاو</t>
  </si>
  <si>
    <t xml:space="preserve">م سيد الغرباوي فصول الامارات للمقاولات</t>
  </si>
  <si>
    <t xml:space="preserve">فصول الامارات</t>
  </si>
  <si>
    <t xml:space="preserve">09:21</t>
  </si>
  <si>
    <t xml:space="preserve">م مجدي نوفاسكونيا للمقاولات</t>
  </si>
  <si>
    <t xml:space="preserve">نوفاسكونيا</t>
  </si>
  <si>
    <t xml:space="preserve">09:24</t>
  </si>
  <si>
    <t xml:space="preserve">م خالد جاينت بيليدنج للمقاولات</t>
  </si>
  <si>
    <t xml:space="preserve">جاينت بيلدينج</t>
  </si>
  <si>
    <t xml:space="preserve">09:26</t>
  </si>
  <si>
    <t xml:space="preserve">فاروق عبدالرحمن المرزوقي جاينت بيلدنج لل</t>
  </si>
  <si>
    <t xml:space="preserve">فاروق عبدالرحمن المرزوقي جاينت بيلدنج 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</si>
  <si>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</si>
  <si>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</si>
  <si>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</si>
  <si>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</si>
  <si>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</si>
  <si>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09:46</t>
  </si>
  <si>
    <t xml:space="preserve">نشاط منفذ</t>
  </si>
  <si>
    <t xml:space="preserve">Site Visit</t>
  </si>
  <si>
    <t xml:space="preserve">تفصيلي</t>
  </si>
  <si>
    <t xml:space="preserve">معاينه الموقع والتواصل مع مكتب الزكي للمقاولات واخ</t>
  </si>
  <si>
    <t xml:space="preserve">09:59</t>
  </si>
  <si>
    <t xml:space="preserve">تم زيارة الموقع لمتابعة ما بعد البيع وتم مقابلة ال</t>
  </si>
  <si>
    <t xml:space="preserve">10:02</t>
  </si>
  <si>
    <t xml:space="preserve">تم زيارة الموقع لمتابعة ما بعد البيع ومتابعة الاعم</t>
  </si>
  <si>
    <t xml:space="preserve">معاينه الموقع والتواصل مع مهندس ابراهيم وارسلي رقم</t>
  </si>
  <si>
    <t xml:space="preserve">10:17</t>
  </si>
  <si>
    <t xml:space="preserve">معاينه الموقع والتواصل مع مهندس ساجد ويوجد مشروع ب</t>
  </si>
  <si>
    <t xml:space="preserve">10:20</t>
  </si>
  <si>
    <t xml:space="preserve">معاينه الموقع والتواصل وارسل لمهندس حمدان</t>
  </si>
  <si>
    <t xml:space="preserve">11:06</t>
  </si>
  <si>
    <t xml:space="preserve">معاينه الموقع ومقابله المالك وخبرني تعاقد مع فن ال</t>
  </si>
  <si>
    <t xml:space="preserve">11:23</t>
  </si>
  <si>
    <t xml:space="preserve">زياره الموقع ومقابله المالك وتقديم البروفيل وبيتوا</t>
  </si>
  <si>
    <t xml:space="preserve">To Do</t>
  </si>
  <si>
    <t xml:space="preserve">مختصر جداً / فارغ</t>
  </si>
  <si>
    <t xml:space="preserve">To Do done</t>
  </si>
  <si>
    <t xml:space="preserve">11:24</t>
  </si>
  <si>
    <t xml:space="preserve">تم زيارة الموقع وعمل فيديو المعاينة وارسالها للمقا</t>
  </si>
  <si>
    <t xml:space="preserve">11:25</t>
  </si>
  <si>
    <t xml:space="preserve">تم زيارة الموقع لمتابعة ما بعد البيع وتم عمل المعا</t>
  </si>
  <si>
    <t xml:space="preserve">11:27</t>
  </si>
  <si>
    <t xml:space="preserve">11:30</t>
  </si>
  <si>
    <t xml:space="preserve">Meeting</t>
  </si>
  <si>
    <t xml:space="preserve">تم زيارة المكتب ومقابلة مهندس حسن وتم مناقسة مشروع</t>
  </si>
  <si>
    <t xml:space="preserve">11:34</t>
  </si>
  <si>
    <t xml:space="preserve">مختصر</t>
  </si>
  <si>
    <t xml:space="preserve">وارسل مخطط التكييف وجاري عمل عرض السعر</t>
  </si>
  <si>
    <t xml:space="preserve">11:40</t>
  </si>
  <si>
    <t xml:space="preserve">معاينه الموقع والتواصل مع مهندس حمزة مغلق متابعه ه</t>
  </si>
  <si>
    <t xml:space="preserve">11:47</t>
  </si>
  <si>
    <t xml:space="preserve">Call</t>
  </si>
  <si>
    <t xml:space="preserve">تواصل معي مهندس حبيب سكوير اند كيوب للمقاولات وطلب</t>
  </si>
  <si>
    <t xml:space="preserve">12:02</t>
  </si>
  <si>
    <t xml:space="preserve">Call done</t>
  </si>
  <si>
    <t xml:space="preserve">12:53</t>
  </si>
  <si>
    <t xml:space="preserve">12:54</t>
  </si>
  <si>
    <t xml:space="preserve">13:05</t>
  </si>
  <si>
    <t xml:space="preserve">تم الاتصال بالمقاول لارسال مخططات المشروع الجديد ة</t>
  </si>
  <si>
    <t xml:space="preserve">تم ارسال عرض السعر للاستشاري</t>
  </si>
  <si>
    <t xml:space="preserve">13:39</t>
  </si>
  <si>
    <t xml:space="preserve">تم ارسال عروض الاسعار للمصعد والتكييف</t>
  </si>
  <si>
    <t xml:space="preserve">تم ارسال عرض السعر للمالك</t>
  </si>
  <si>
    <t xml:space="preserve">15:31</t>
  </si>
  <si>
    <t xml:space="preserve">تم الاتصال امس وتم الاتفاق علي التعاقد وتم عمل الع</t>
  </si>
  <si>
    <t xml:space="preserve">15:33</t>
  </si>
  <si>
    <t xml:space="preserve">تم التواصل بالواتس اب وتم تاكيد موعد زيارة المعرض </t>
  </si>
  <si>
    <t xml:space="preserve">تم زيارة المكتب مع استاذ سيد ومقابلة صاحب الشركة</t>
  </si>
  <si>
    <t xml:space="preserve">الاجتماع تم : تمت زياره المكتب لمتابعه العروض المق</t>
  </si>
  <si>
    <t xml:space="preserve">16:34</t>
  </si>
  <si>
    <t xml:space="preserve">الاجتماع تم : تمت زياره للمكتب ومقابله م ماهر ومتا</t>
  </si>
  <si>
    <t xml:space="preserve">مكالمة تم : تم التواصل مع المهندس اكثر من مره ولم </t>
  </si>
  <si>
    <t xml:space="preserve">مكالمة تم : تم التواصل مع المالكه لتحديد موعد معها</t>
  </si>
  <si>
    <t xml:space="preserve">زيارة الموقع للمعاينة والمتابعة فيصل الكعبي</t>
  </si>
  <si>
    <t xml:space="preserve">زيارة الموقع ومقابلة المهندس عمر مطلوب عرض سعر مصع</t>
  </si>
  <si>
    <t xml:space="preserve">زيارة الموقع ومقابلة المهندس احمد لا يوجد مصعد ولك</t>
  </si>
  <si>
    <t xml:space="preserve">17:21</t>
  </si>
  <si>
    <t xml:space="preserve">زيارة الموقع ومقابلة المهندس مجتبى متابعة موقع سعي</t>
  </si>
  <si>
    <t xml:space="preserve">17:23</t>
  </si>
  <si>
    <t xml:space="preserve">تم زيارة 7 مواقع وتم عمل عرض سعر مصعد وتم عمل ثلاث</t>
  </si>
  <si>
    <t xml:space="preserve">20:54</t>
  </si>
  <si>
    <t xml:space="preserve">تم الاجتماع مع المقاول في الموقع ومعاينه البرج ةال</t>
  </si>
  <si>
    <t xml:space="preserve">20:55</t>
  </si>
  <si>
    <t xml:space="preserve">تم الدوام من المعرض واعداد تقرير العقود استاذ سيد </t>
  </si>
  <si>
    <t xml:space="preserve">20:56</t>
  </si>
  <si>
    <t xml:space="preserve">الاجتماع مع المالك في المعرض واختيار الديكورات</t>
  </si>
  <si>
    <t xml:space="preserve">21:26</t>
  </si>
  <si>
    <t xml:space="preserve">Call done Original note: تم التواصل مع المقاول وتم</t>
  </si>
  <si>
    <t xml:space="preserve">21:43</t>
  </si>
  <si>
    <t xml:space="preserve">الاجتماع تم : دوام من المعرض اتصالات هاتف للسمارت </t>
  </si>
  <si>
    <t xml:space="preserve">10:07</t>
  </si>
  <si>
    <t xml:space="preserve">معاينه الموقع ومقابله المهندس ومتابعه عمل الجسور و</t>
  </si>
  <si>
    <t xml:space="preserve">10:15</t>
  </si>
  <si>
    <t xml:space="preserve">زياره الموقع مغلق وتم التواصل مع المالك لايرد</t>
  </si>
  <si>
    <t xml:space="preserve">10:22</t>
  </si>
  <si>
    <t xml:space="preserve">تم التواصل من المالك وارسل مخطط وطلب عرض سعر تكييف</t>
  </si>
  <si>
    <t xml:space="preserve">معاينه الموقع ورفع المقاسات والتواصل مع مهندس امير</t>
  </si>
  <si>
    <t xml:space="preserve">11:36</t>
  </si>
  <si>
    <t xml:space="preserve">معاينه مجنع ٤ فلل والتواصل مع مهندس وليد شركه لافي</t>
  </si>
  <si>
    <t xml:space="preserve">12:09</t>
  </si>
  <si>
    <t xml:space="preserve">زار المقاول المعرض اليوم وكان حابب يعمل خصم ووياخد</t>
  </si>
  <si>
    <t xml:space="preserve">12:11</t>
  </si>
  <si>
    <t xml:space="preserve">زار المقاول الجديد المعرض وطلب عمولة واعتذرت منه</t>
  </si>
  <si>
    <t xml:space="preserve">12:20</t>
  </si>
  <si>
    <t xml:space="preserve">زار المقاول الجديد المعرضوطلب عمولة واعتذرت منه</t>
  </si>
  <si>
    <t xml:space="preserve">تم الاتصال بالمالك ولم يرد وتم التواصل بالواتس اب </t>
  </si>
  <si>
    <t xml:space="preserve">15:21</t>
  </si>
  <si>
    <t xml:space="preserve">تم زيارة المكتب ومقابلة مهندس مختار</t>
  </si>
  <si>
    <t xml:space="preserve">15:38</t>
  </si>
  <si>
    <t xml:space="preserve">تم الاتصال بالمالك وشرح اهمية التعاقد مبكرا والمخط</t>
  </si>
  <si>
    <t xml:space="preserve">تم مقابله المهندس قصي في المكتب وتم التواصل مع الم</t>
  </si>
  <si>
    <t xml:space="preserve">زيارة الموقع يوجد مصعد وتم الاتصال على مهندس يوسف </t>
  </si>
  <si>
    <t xml:space="preserve">زيارة الموقع وتم الاتصال على مهندس احمد رمضان لم ي</t>
  </si>
  <si>
    <t xml:space="preserve">زيارة الموقع ومقابلة المهندس فرج متابعة موقع فيصل </t>
  </si>
  <si>
    <t xml:space="preserve">16:03</t>
  </si>
  <si>
    <t xml:space="preserve">تم مقابله الاستاذ فالح الشامسي وتم تحصيل دفعة التص</t>
  </si>
  <si>
    <t xml:space="preserve">تم التواصل مع المقاول وطلب عرض سعر تكييف وتم ارسال</t>
  </si>
  <si>
    <t xml:space="preserve">17:41</t>
  </si>
  <si>
    <t xml:space="preserve">تم الاجتماع مع م الديكور واختيار الديكورات</t>
  </si>
  <si>
    <t xml:space="preserve">17:44</t>
  </si>
  <si>
    <t xml:space="preserve">تم الاجتماع مع المهندس ف الموقع وشرح المطلوب والتو</t>
  </si>
  <si>
    <t xml:space="preserve">17:49</t>
  </si>
  <si>
    <t xml:space="preserve">تم الاجتناع مع ا رووف وزياره الموقع والمعاينه لعمل</t>
  </si>
  <si>
    <t xml:space="preserve">21:22</t>
  </si>
  <si>
    <t xml:space="preserve">زار العميل المعرض وقابل ا/ رؤوف وتم مناقشة موضوع س</t>
  </si>
  <si>
    <t xml:space="preserve">23:22</t>
  </si>
  <si>
    <t xml:space="preserve">Site Visit تم : تم زياره للموقع ومقابله م محمد لمت</t>
  </si>
  <si>
    <t xml:space="preserve">Site Visit تم : تم زياره الموقع ومقابله م ماهر وشر</t>
  </si>
  <si>
    <t xml:space="preserve">23:24</t>
  </si>
  <si>
    <t xml:space="preserve">الاجتماع تم : تم زياره للمكتب وحضور الاجتماع مع م </t>
  </si>
  <si>
    <t xml:space="preserve">الاجتماع تم : تم زياره للمكتب وانشال م ياسر ومتابع</t>
  </si>
  <si>
    <t xml:space="preserve">الاجتماع تم : تم مقابله المهس وطلب عرض سعر تطيف</t>
  </si>
  <si>
    <t xml:space="preserve">23:28</t>
  </si>
  <si>
    <t xml:space="preserve">الاجتماع تم : تم الاجتماع وطلب عرض سعر مصعد</t>
  </si>
  <si>
    <t xml:space="preserve">الاجتماع تم : تم زياره المكتبواستلام الشيكات</t>
  </si>
  <si>
    <t xml:space="preserve">الاجتماع تم : تم زياىه المكتب لاستلام الشيك</t>
  </si>
  <si>
    <t xml:space="preserve">23:34</t>
  </si>
  <si>
    <t xml:space="preserve">Site Visit تم : تم زياره المكتب لاستلام الشيك</t>
  </si>
  <si>
    <t xml:space="preserve">14:42</t>
  </si>
  <si>
    <t xml:space="preserve">الاجتماع تم : تم الحمد لله التعاقد والتحويل</t>
  </si>
  <si>
    <t xml:space="preserve">14:44</t>
  </si>
  <si>
    <t xml:space="preserve">الاجتماع تم : تم الاجتماع امس والتعريف الكامل بالش</t>
  </si>
  <si>
    <t xml:space="preserve">14:30</t>
  </si>
  <si>
    <t xml:space="preserve">زياره الموقع حسب الموعد لمقابله مهندس محمد التصميم</t>
  </si>
  <si>
    <t xml:space="preserve">زياره الموقع ورفع المقاسات والتواصل مع مهندس اسامه</t>
  </si>
  <si>
    <t xml:space="preserve">تم ارسال لوكيشن وتم المعاينه من استاذ سيد وعمل عرض</t>
  </si>
  <si>
    <t xml:space="preserve">معاينه الموقع ورفع المقاسات والتواصل مع مهندس محمد</t>
  </si>
  <si>
    <t xml:space="preserve">14:36</t>
  </si>
  <si>
    <t xml:space="preserve">زياره الموقع ومقابله مهندس ابواسامه وتم شرح وتقديم</t>
  </si>
  <si>
    <t xml:space="preserve">14:55</t>
  </si>
  <si>
    <t xml:space="preserve">معاينه الموقع ورفع المقاسات وعمل عرض سعر وتحديد مو</t>
  </si>
  <si>
    <t xml:space="preserve">15:10</t>
  </si>
  <si>
    <t xml:space="preserve">زياره الموقع ورفع المقاسات والتواصل مع الفا ماكس ل</t>
  </si>
  <si>
    <t xml:space="preserve">زيارة موقع لمتابعة تركيب المصعد</t>
  </si>
  <si>
    <t xml:space="preserve">زيارة الموقع لمتابعة الاعمال</t>
  </si>
  <si>
    <t xml:space="preserve">15:54</t>
  </si>
  <si>
    <t xml:space="preserve">Call done Original note: طلب تعديل عالمخطط وتم ارس</t>
  </si>
  <si>
    <t xml:space="preserve">زيارة الموقع ومقابلة المهندس مجتبى ومطلوب 2 عرض سع</t>
  </si>
  <si>
    <t xml:space="preserve">زيارة الموقع ومقابلة المهندس محمد هيثم مطلوب عرض س</t>
  </si>
  <si>
    <t xml:space="preserve">زيارة الموقع ومقابلة المهندس محمد مدير المكتب قالي</t>
  </si>
  <si>
    <t xml:space="preserve">16:18</t>
  </si>
  <si>
    <t xml:space="preserve">زيارة الموقع ومقابلة المالك الاستاذ احمد الكعبى مط</t>
  </si>
  <si>
    <t xml:space="preserve">زيارة الموقع وتم الاتصال على مهندس احمد لم يرد</t>
  </si>
  <si>
    <t xml:space="preserve">زيارة الموقع وتم الاتصال على الاستاذ سعيد الكعبي ل</t>
  </si>
  <si>
    <t xml:space="preserve">زيارة الموقع وتم الاتصال على مهندس بسام لم يرد</t>
  </si>
  <si>
    <t xml:space="preserve">زيارة الموقع وتم الاتصال على مهندس مازن لم يرد</t>
  </si>
  <si>
    <t xml:space="preserve">لا يوجد مصعد وتم مقابله م عمرو من كوفنتري وقال معن</t>
  </si>
  <si>
    <t xml:space="preserve">تم زيارة الموقع ومقابله المالك وقال انه متعاقد</t>
  </si>
  <si>
    <t xml:space="preserve">رفع المقاسات ومقابلة م سيد من عين الصقر وقال ان ال</t>
  </si>
  <si>
    <t xml:space="preserve">تم التواصل مع م مصطفي وقال المالك مش هيركب دلوقتي</t>
  </si>
  <si>
    <t xml:space="preserve">لا يوجد مصعد وتم مقابله م منصور وقال حاليا مفيش مش</t>
  </si>
  <si>
    <t xml:space="preserve">تم زيارة الموقع ومقابله م محمود وفي مصعد راكب بالف</t>
  </si>
  <si>
    <t xml:space="preserve">الاجتماع تم : تم التواصل معاالمهندس المسؤل ولكن ال</t>
  </si>
  <si>
    <t xml:space="preserve">17:12</t>
  </si>
  <si>
    <t xml:space="preserve">الاجتماع تم : تم التواصل مع المقاول وعمل عرض سعر م</t>
  </si>
  <si>
    <t xml:space="preserve">الاجتماع تم : لم يتم اتخاذ القرار حتي الان</t>
  </si>
  <si>
    <t xml:space="preserve">الاجتماع تم : تم زياره المكتب اليوم للمره الثاثله </t>
  </si>
  <si>
    <t xml:space="preserve">الاجتماع تم : تم التواصل ولكن لم يتم اتختاذ القرار</t>
  </si>
  <si>
    <t xml:space="preserve">ملاحظة</t>
  </si>
  <si>
    <t xml:space="preserve">17:26</t>
  </si>
  <si>
    <t xml:space="preserve">الاجتماع تم : تم التواصل ولكن لم يتم اتخاذ القرار</t>
  </si>
  <si>
    <t xml:space="preserve">17:47</t>
  </si>
  <si>
    <t xml:space="preserve">To Do done Original note: تم التواصل وتم التعاقد ع</t>
  </si>
  <si>
    <t xml:space="preserve">17:48</t>
  </si>
  <si>
    <t xml:space="preserve">To Do done Original note: المقابله غدامع المقاول ل</t>
  </si>
  <si>
    <t xml:space="preserve">17:54</t>
  </si>
  <si>
    <t xml:space="preserve">الاجتماع تم : عميل معرض تم التواصل مرتين وكل مره ي</t>
  </si>
  <si>
    <t xml:space="preserve">20:28</t>
  </si>
  <si>
    <t xml:space="preserve">Site Visit تم : تم زياره الموقع ومقابله المهندس وا</t>
  </si>
  <si>
    <t xml:space="preserve">20:32</t>
  </si>
  <si>
    <t xml:space="preserve">Site Visit تم : تم زياره الموقع لمقابله م احمد وتح</t>
  </si>
  <si>
    <t xml:space="preserve">20:35</t>
  </si>
  <si>
    <t xml:space="preserve">الاجتماع تم : تم مقابله م فؤاد وطلب ٥ عروض اسعار</t>
  </si>
  <si>
    <t xml:space="preserve">20:38</t>
  </si>
  <si>
    <t xml:space="preserve">الاجتماع تم : تم مقابله م فادي ومتابعه عرض سعر الب</t>
  </si>
  <si>
    <t xml:space="preserve">22:42</t>
  </si>
  <si>
    <t xml:space="preserve">مكالمة تم : تم التواصل مع م عبدالله لتحصيل الدفعه </t>
  </si>
  <si>
    <t xml:space="preserve">22:43</t>
  </si>
  <si>
    <t xml:space="preserve">الاجتماع تم : تمت زياره للمكتب وعدم تواجد م وضاح و</t>
  </si>
  <si>
    <t xml:space="preserve">22:45</t>
  </si>
  <si>
    <t xml:space="preserve">الاجتماع تم : تم التواصل اكثر من مره لمحاوله الوصو</t>
  </si>
  <si>
    <t xml:space="preserve">22:53</t>
  </si>
  <si>
    <t xml:space="preserve">الاجتماع تم : تمت زياره للمكتب وسفر المهندس ياسر ا</t>
  </si>
  <si>
    <t xml:space="preserve">23:20</t>
  </si>
  <si>
    <t xml:space="preserve">مكالمة تم : تم التواصل مع المالك لتاكيد موعد زياره</t>
  </si>
  <si>
    <t xml:space="preserve">23:23</t>
  </si>
  <si>
    <t xml:space="preserve">الاجتماع تم : 15 موقع 2 مكتب 1 مصعد 2 مقابله مواقع</t>
  </si>
  <si>
    <t xml:space="preserve">تم عمل عرض سعر توريد فقط</t>
  </si>
  <si>
    <t xml:space="preserve">11:18</t>
  </si>
  <si>
    <t xml:space="preserve">مقابله مهندس وليد متابعه لاستلام الشبك وتحديد موعد</t>
  </si>
  <si>
    <t xml:space="preserve">12:29</t>
  </si>
  <si>
    <t xml:space="preserve">Call done Original note: تم عمل عرض سعر مكيفات فقط</t>
  </si>
  <si>
    <t xml:space="preserve">12:33</t>
  </si>
  <si>
    <t xml:space="preserve">مكالمة تم : تم التواصل لمتابعه التحصيل ولم ينتهوا </t>
  </si>
  <si>
    <t xml:space="preserve">12:34</t>
  </si>
  <si>
    <t xml:space="preserve">الاجتماع تم : تمت زياره للمكتب وعدم تواجد م وضاح</t>
  </si>
  <si>
    <t xml:space="preserve">12:36</t>
  </si>
  <si>
    <t xml:space="preserve">الاجتماع تم : تم زياره المكتب والاجتماع مع محمد ال</t>
  </si>
  <si>
    <t xml:space="preserve">مكالمة تم : تم التواصل من طرف م احمد البحري والسؤل</t>
  </si>
  <si>
    <t xml:space="preserve">زيارة الموقع ومقابلة المهندس مدثر متابعة موقع المه</t>
  </si>
  <si>
    <t xml:space="preserve">زيارة الموقع للمعاينة والمتابعة موقع سلطان النيادي</t>
  </si>
  <si>
    <t xml:space="preserve">الاجتماع تم : تمت مقابله المالك وزوجته واختيار ديك</t>
  </si>
  <si>
    <t xml:space="preserve">زيارة الموقع ومقابلة المالك الاستاذ سعيد مطلوب عرض</t>
  </si>
  <si>
    <t xml:space="preserve">زيارة الموقع ومقابلة المهندس أحمد سيتم ارسال المخط</t>
  </si>
  <si>
    <t xml:space="preserve">16:56</t>
  </si>
  <si>
    <t xml:space="preserve">To Do done Original note: تم عمل خطة مكاتب للاسبوع</t>
  </si>
  <si>
    <t xml:space="preserve">زيارة الموقع ومقابلة المهندس سيد لا يوجد مصعد ولكن</t>
  </si>
  <si>
    <t xml:space="preserve">مقابله المهندس خليفة الغيثي لا يوجد مصعد وتم التعا</t>
  </si>
  <si>
    <t xml:space="preserve">زيارة الموقع وتم الاتصال على مهندس سيد مطلوب عرض س</t>
  </si>
  <si>
    <t xml:space="preserve">دوام من معرض الوظبي متابعه اتصالات</t>
  </si>
  <si>
    <t xml:space="preserve">18:21</t>
  </si>
  <si>
    <t xml:space="preserve">تم الاجتماعةفةالموقع مع مهندس محمد عمر وتحديد مكان</t>
  </si>
  <si>
    <t xml:space="preserve">18:24</t>
  </si>
  <si>
    <t xml:space="preserve">تم زيارة الموقع ومقابله م ياسين من تلال النيل وقال</t>
  </si>
  <si>
    <t xml:space="preserve">تم زيارة الموقع ومقابله م محمد من دوائر البناء ولا</t>
  </si>
  <si>
    <t xml:space="preserve">تم زيارة الموقع ومقابله م اكبر وقال لا يوجد مصعد و</t>
  </si>
  <si>
    <t xml:space="preserve">تم زيارة الموقع ولا يوجد مصعد ومقابله م حسن قال مف</t>
  </si>
  <si>
    <t xml:space="preserve">18:33</t>
  </si>
  <si>
    <t xml:space="preserve">تم زيارة الموقع ومقابله م عبد الله ورفع المقاسات و</t>
  </si>
  <si>
    <t xml:space="preserve">18:35</t>
  </si>
  <si>
    <t xml:space="preserve">تم زيارة الموقع ومقابله المالك وتسليم المصعد</t>
  </si>
  <si>
    <t xml:space="preserve">21:53</t>
  </si>
  <si>
    <t xml:space="preserve">Site Visit تم : تم زياره الموقع وتلتواصل مع خليل و</t>
  </si>
  <si>
    <t xml:space="preserve">21:54</t>
  </si>
  <si>
    <t xml:space="preserve">Site Visit تم : تم مقابله المالك وتسليمه عرض السعر</t>
  </si>
  <si>
    <t xml:space="preserve">21:55</t>
  </si>
  <si>
    <t xml:space="preserve">الاجتماع تم : تم مقابله م مصطفي وتسليمه عرض سعر فل</t>
  </si>
  <si>
    <t xml:space="preserve">21:56</t>
  </si>
  <si>
    <t xml:space="preserve">الاجتماع تم : تم زيارهالمكتب ومقابله م فؤاد وتسليم</t>
  </si>
  <si>
    <t xml:space="preserve">21:57</t>
  </si>
  <si>
    <t xml:space="preserve">الاجتماع تم : تم زياره المكتب ولم يكن المهندس موجو</t>
  </si>
  <si>
    <t xml:space="preserve">21:58</t>
  </si>
  <si>
    <t xml:space="preserve">الاجتماع تم : تم زياره المكتب لمقابله م احمد ولم ي</t>
  </si>
  <si>
    <t xml:space="preserve">21:59</t>
  </si>
  <si>
    <t xml:space="preserve">الاجتماع تم : تم زياره المكتب لمقابله م علي شاهين </t>
  </si>
  <si>
    <t xml:space="preserve">22:00</t>
  </si>
  <si>
    <t xml:space="preserve">الاجتماع تم : تم زياره المكتب لمقابله م مصطفي ولم </t>
  </si>
  <si>
    <t xml:space="preserve">23:18</t>
  </si>
  <si>
    <t xml:space="preserve">الاجتماع تم : تم الاجتماع بالمعرض والشرح الكامل وب</t>
  </si>
  <si>
    <t xml:space="preserve">الاجتماع تم : عمبل من المواقع الجديده تم الاجتاع ه</t>
  </si>
  <si>
    <t xml:space="preserve">الاجتماع تم : تم الاجتماع هاتفيا مع المالكه والاست</t>
  </si>
  <si>
    <t xml:space="preserve">الاجتماع تم : تم مقابله مهندس الموقع اليوم وتوضيح </t>
  </si>
  <si>
    <t xml:space="preserve">الاجتماع تم : ١٧ موقع ١ مصعد ٣ مقابله</t>
  </si>
  <si>
    <t xml:space="preserve">09:47</t>
  </si>
  <si>
    <t xml:space="preserve">معاينه الموقع وارسال لمهندس احمد العين كلاس للمقاو</t>
  </si>
  <si>
    <t xml:space="preserve">10:18</t>
  </si>
  <si>
    <t xml:space="preserve">معاينه ٢ فيلا والتواصل مع المالك صاحب شركه واحه ال</t>
  </si>
  <si>
    <t xml:space="preserve">10:44</t>
  </si>
  <si>
    <t xml:space="preserve">زياره الموقع ومقابله مهندس احمد وتم رفع المقاسات و</t>
  </si>
  <si>
    <t xml:space="preserve">تم زيارة الموقع والاجتماع مع المالك والمعاينه وتحد</t>
  </si>
  <si>
    <t xml:space="preserve">14:41</t>
  </si>
  <si>
    <t xml:space="preserve">زياره المكتب حسب الموعد وتم استلام العقود الحمدلله</t>
  </si>
  <si>
    <t xml:space="preserve">14:57</t>
  </si>
  <si>
    <t xml:space="preserve">تم زيارة المكتب ومقابله م مومن ومتابعه المشاريع وا</t>
  </si>
  <si>
    <t xml:space="preserve">15:12</t>
  </si>
  <si>
    <t xml:space="preserve">الاجتماع تم : تم الاجتماع بالمكتب والتعريف الكامل </t>
  </si>
  <si>
    <t xml:space="preserve">15:14</t>
  </si>
  <si>
    <t xml:space="preserve">الاجتماع تم : تم الاجتماعبالمكتب والشرح الكامل وار</t>
  </si>
  <si>
    <t xml:space="preserve">15:15</t>
  </si>
  <si>
    <t xml:space="preserve">الاجتماع تم : تم الاجتماع بالكتب ومتابعه عروض اسعا</t>
  </si>
  <si>
    <t xml:space="preserve">15:28</t>
  </si>
  <si>
    <t xml:space="preserve">تم زيارة مركز طبى جولدن تشويس ومقابلة مهندس لبحث ا</t>
  </si>
  <si>
    <t xml:space="preserve">تم مقابلة مهندس محمد الاعظم</t>
  </si>
  <si>
    <t xml:space="preserve">15:41</t>
  </si>
  <si>
    <t xml:space="preserve">Call done Original note: تم ارسال المخطط من الاستش</t>
  </si>
  <si>
    <t xml:space="preserve">15:45</t>
  </si>
  <si>
    <t xml:space="preserve">To Do done Original note: تم عمل عرض سعر مصعد ومكي</t>
  </si>
  <si>
    <t xml:space="preserve">زيارة المكتب ومقابلة المهندس مجدي متابعة الموقع مع</t>
  </si>
  <si>
    <t xml:space="preserve">زيارة المكتب ومقابلة المهندس غالب مطلوب عرض سعر بل</t>
  </si>
  <si>
    <t xml:space="preserve">زيارة المكتب لمتابعة العقود القديمه المهندس مش موج</t>
  </si>
  <si>
    <t xml:space="preserve">زيارة المكتب لمتابعة العقود القديمه المهندس كمال م</t>
  </si>
  <si>
    <t xml:space="preserve">زيارة الموقع للمعاينة والمتابعة</t>
  </si>
  <si>
    <t xml:space="preserve">زيارة الموقع ومقابلة المهندس أحمد متابعة موقع ناصر</t>
  </si>
  <si>
    <t xml:space="preserve">مقابله الاستاذ ماجد الكعبي وتم شرح كل التفاصيل الم</t>
  </si>
  <si>
    <t xml:space="preserve">تم زيارة المكتب ومقابله م رائد وقال حاليا مفيش مشا</t>
  </si>
  <si>
    <t xml:space="preserve">تم زيارة المكتب ومقابله م دانه وانتظار م صالح كتير</t>
  </si>
  <si>
    <t xml:space="preserve">تم زيارة المكتب ومقابله م محمد وقال حاليا مفيش مشا</t>
  </si>
  <si>
    <t xml:space="preserve">Call done Original note: مسافر وجاي الاسبوع الجاي</t>
  </si>
  <si>
    <t xml:space="preserve">20:39</t>
  </si>
  <si>
    <t xml:space="preserve">To Do done Original note: تم التواصلو محاوله ترتيب</t>
  </si>
  <si>
    <t xml:space="preserve">20:47</t>
  </si>
  <si>
    <t xml:space="preserve">تم المقابله مع المالك وتم عمل عرض سعر للمصعد و ف ا</t>
  </si>
  <si>
    <t xml:space="preserve">22:47</t>
  </si>
  <si>
    <t xml:space="preserve">الاجتماع تم : تم التواصل اكثر من مره وزياره للمكتب</t>
  </si>
  <si>
    <t xml:space="preserve">22:50</t>
  </si>
  <si>
    <t xml:space="preserve">الاجتماع تم : تم التواصل مع المالك وزياره للمعرض م</t>
  </si>
  <si>
    <t xml:space="preserve">المهام المراد تنفيذها تم : تمت زياره 5 مكاتب ومقاب</t>
  </si>
  <si>
    <t xml:space="preserve">الاجتماع تم : تم تحويل العروض لعقود والارسال وننتظ</t>
  </si>
  <si>
    <t xml:space="preserve">الاجتماع تم : تم الاجتماع بصحبه م ايهاب ومناقشه عق</t>
  </si>
  <si>
    <t xml:space="preserve">الاجتماع تم : ١١ مكتب ٥ مقابلات</t>
  </si>
  <si>
    <t xml:space="preserve">Site Visit تم : تم زياره الموقع والارسال للمالك لل</t>
  </si>
  <si>
    <t xml:space="preserve">Site Visit تم : تم زياره الموقع ومقابله المهندس وت</t>
  </si>
  <si>
    <t xml:space="preserve">23:30</t>
  </si>
  <si>
    <t xml:space="preserve">Site Visit تم : تم زياره الموقع وارسال النفاصيل لا</t>
  </si>
  <si>
    <t xml:space="preserve">Site Visit تم : تم زياره الموقع ومقابله المهندس لت</t>
  </si>
  <si>
    <t xml:space="preserve">الاجتماع تم : تم زياره المكتب ومقابله م محمد موسي </t>
  </si>
  <si>
    <t xml:space="preserve">الاجتماع تم : تم مقابله م سيد واعطاني مخطط للمكيف</t>
  </si>
  <si>
    <t xml:space="preserve">23:35</t>
  </si>
  <si>
    <t xml:space="preserve">الاجتماع تم : تم زياره المكتب ومقابله م دينا وتسلي</t>
  </si>
  <si>
    <t xml:space="preserve">23:41</t>
  </si>
  <si>
    <t xml:space="preserve">الاجتماع تم : تم زياره المكتب ولم يكن المهندس متوا</t>
  </si>
  <si>
    <t xml:space="preserve">16:04</t>
  </si>
  <si>
    <t xml:space="preserve">مكالمة تم : تم التواصل مع المهندس واخباري بانهاء ا</t>
  </si>
  <si>
    <t xml:space="preserve">16:05</t>
  </si>
  <si>
    <t xml:space="preserve">الاجتماع تم : تم زياره للمكتب وعدم تواجد م وضاح</t>
  </si>
  <si>
    <t xml:space="preserve">16:06</t>
  </si>
  <si>
    <t xml:space="preserve">الاجتماع تم : تم زياره للمكتب ومقابله م عمرو وابوع</t>
  </si>
  <si>
    <t xml:space="preserve">تم مقابلة مهندسة لاما واعطائي رقم المشتريات للتواص</t>
  </si>
  <si>
    <t xml:space="preserve">تم مقابلة مهندس ابوبكر وارسال عرض سعر مصعد ومكيف ل</t>
  </si>
  <si>
    <t xml:space="preserve">تم عمل عرض سعر مصعد ومكيف</t>
  </si>
  <si>
    <t xml:space="preserve">تم زيارة الموقع وعمل عرض سعر مصعد</t>
  </si>
  <si>
    <t xml:space="preserve">زيارة الموقع ومقابلة المهندس مطلوب عرض سعر مصعد با</t>
  </si>
  <si>
    <t xml:space="preserve">زيارة الموقع ومقابلة المهندس محمد اشوف المالك يوجد</t>
  </si>
  <si>
    <t xml:space="preserve">زيارة الموقع ومقابلة المهندس وليد لا يوجد مصعد ولك</t>
  </si>
  <si>
    <t xml:space="preserve">17:07</t>
  </si>
  <si>
    <t xml:space="preserve">زيارة الموقع ومقابلة المهندس عبيد المالك تعاقد مع </t>
  </si>
  <si>
    <t xml:space="preserve">زيارة المكتب المهندس مش موجود</t>
  </si>
  <si>
    <t xml:space="preserve">زيارة الموقع ومقابلة المهندس أحمد متابعة العقود ال</t>
  </si>
  <si>
    <t xml:space="preserve">زيارة الموقع ومقابلة المهندس وليد متابعة العقود ال</t>
  </si>
  <si>
    <t xml:space="preserve">المالك عبدالملك المصعبي - كنوز تم مقابله العميل وا</t>
  </si>
  <si>
    <t xml:space="preserve">20:36</t>
  </si>
  <si>
    <t xml:space="preserve">20:37</t>
  </si>
  <si>
    <t xml:space="preserve">Reminder</t>
  </si>
  <si>
    <t xml:space="preserve">Reminder done</t>
  </si>
  <si>
    <t xml:space="preserve">20:43</t>
  </si>
  <si>
    <t xml:space="preserve">21:16</t>
  </si>
  <si>
    <t xml:space="preserve">تم زيارة المكتب ومقابله م احمد ومتابعه مشروع عادل </t>
  </si>
  <si>
    <t xml:space="preserve">21:21</t>
  </si>
  <si>
    <t xml:space="preserve">تم زيارة المكتب ومقابله م امير ومتابعه مشروع روضة </t>
  </si>
  <si>
    <t xml:space="preserve">تم زيارة المكتب ومقابله م اميرة الشرقاوي ومتابعه ا</t>
  </si>
  <si>
    <t xml:space="preserve">تم زيارة المكتب ومقابله م صهيب ومتابعه المشاريع</t>
  </si>
  <si>
    <t xml:space="preserve">21:32</t>
  </si>
  <si>
    <t xml:space="preserve">تم زيارة المكتب ومقابله م عدنان ومتابعه مشروع احمد</t>
  </si>
  <si>
    <t xml:space="preserve">21:34</t>
  </si>
  <si>
    <t xml:space="preserve">تم زيارة المكتب ومقابله م هشام وتسليمه عرض السعر</t>
  </si>
  <si>
    <t xml:space="preserve">الاجتماع تم : تم الحمد لله التعاقد مصعد وتكييف</t>
  </si>
  <si>
    <t xml:space="preserve">الاجتماع تم : تم التعاقد الاسبوع الماضي وتم الاجتم</t>
  </si>
  <si>
    <t xml:space="preserve">الاجتماع تم : عميل متعاقد مصع في العرض وتم اليوم ا</t>
  </si>
  <si>
    <t xml:space="preserve">الاجتماع تم : تم التواصل اليوم مع المقاول المسئول </t>
  </si>
  <si>
    <t xml:space="preserve">22:02</t>
  </si>
  <si>
    <t xml:space="preserve">الاجتماع تم : تم التواصل اليوم والمناقشه علي عرض س</t>
  </si>
  <si>
    <t xml:space="preserve">22:27</t>
  </si>
  <si>
    <t xml:space="preserve">الاجتماع تم : تم التواصل وعمل جروب للمشروه الهنداس</t>
  </si>
  <si>
    <t xml:space="preserve">الاجتماع تم : تم عمل عرض سعر مصعد</t>
  </si>
  <si>
    <t xml:space="preserve">22:30</t>
  </si>
  <si>
    <t xml:space="preserve">الاجتماع تم : دوام معرض 1 مصعد 1 تكييف 2 مقابله</t>
  </si>
  <si>
    <t xml:space="preserve">23:54</t>
  </si>
  <si>
    <t xml:space="preserve">الاجتماع تم : تم مقابله م مصطفي في المعرض مع م ايه</t>
  </si>
  <si>
    <t xml:space="preserve">23:55</t>
  </si>
  <si>
    <t xml:space="preserve">Site Visit تم : تم الذهاب لمقابله المالك في الشعبي</t>
  </si>
  <si>
    <t xml:space="preserve">الاجتماع تم : تم مقابله م احمد واخبرني هيرسل مشاري</t>
  </si>
  <si>
    <t xml:space="preserve">23:56</t>
  </si>
  <si>
    <t xml:space="preserve">الاجتماع تم : تم زياره المكتب لمقابله م احمد ولكنه</t>
  </si>
  <si>
    <t xml:space="preserve">الاجتماع تم : تم مقابله م مصطفي وطلب عرض سعر</t>
  </si>
  <si>
    <t xml:space="preserve">23:58</t>
  </si>
  <si>
    <t xml:space="preserve">الاجتماع تم : تم زياره المكتب ولم يكن م علي متواجد</t>
  </si>
  <si>
    <t xml:space="preserve">الاجتماع تم : زياره للمكتب وسفر ابوسلطان خارج البل</t>
  </si>
  <si>
    <t xml:space="preserve">14:43</t>
  </si>
  <si>
    <t xml:space="preserve">الاجتماع تم : زياره للمكتب وسفر المهندس ياسر اجازه</t>
  </si>
  <si>
    <t xml:space="preserve">الاجتماع تم : تمت زياره للمكتب ومقابله م حسن واخذ </t>
  </si>
  <si>
    <t xml:space="preserve">14:45</t>
  </si>
  <si>
    <t xml:space="preserve">الاجتماع تم : زياره للمكتب واخذ مشروع جديدم عبد ال</t>
  </si>
  <si>
    <t xml:space="preserve">14:48</t>
  </si>
  <si>
    <t xml:space="preserve">الاجتماع تم : تم الاجتماع مع م محمود والاتفاق علي </t>
  </si>
  <si>
    <t xml:space="preserve">زيارة مواقع محمد سهيل العامري وعبيد سهيل وحمد سهيل</t>
  </si>
  <si>
    <t xml:space="preserve">زيارة الموقع ومقابلة المهندس إبراهيم مطلوب عرض سعر</t>
  </si>
  <si>
    <t xml:space="preserve">زيارة مواقع محمد الشرقي العفاري وسالم وسعد و راشد </t>
  </si>
  <si>
    <t xml:space="preserve">16:41</t>
  </si>
  <si>
    <t xml:space="preserve">زيارة الموقع عبيد يطبع العامري للمعاينة والمتابعة</t>
  </si>
  <si>
    <t xml:space="preserve">زيارة الموقع ومقابلة المهندس مصعب لا يوجد مصعد وتم</t>
  </si>
  <si>
    <t xml:space="preserve">زيارة الموقع وتم الاتصال على مهندس لم يرد</t>
  </si>
  <si>
    <t xml:space="preserve">زيارة الموقع للمعاينة والمتابعة فيلا حميد الدرعى</t>
  </si>
  <si>
    <t xml:space="preserve">16:49</t>
  </si>
  <si>
    <t xml:space="preserve">زياره المكتب ومتابعه مع مهندس ندي عروض الاسعار ومش</t>
  </si>
  <si>
    <t xml:space="preserve">زياره المكتب ومتابعه تحصيل دفعه عهود الياسي</t>
  </si>
  <si>
    <t xml:space="preserve">زياره المكتب ومقابله مهندس محمد ومتابعه مشاريع جدي</t>
  </si>
  <si>
    <t xml:space="preserve">زياره المكتب ومتابعه مشاريع جديدة مهندس محمد السيد</t>
  </si>
  <si>
    <t xml:space="preserve">زياره الموقع ومقابله المالك مع محمد عبدالستار وتم </t>
  </si>
  <si>
    <t xml:space="preserve">زياره الموقع ومقابله مهندس حيدر وجاري ترتيب مكان ا</t>
  </si>
  <si>
    <t xml:space="preserve">20:10</t>
  </si>
  <si>
    <t xml:space="preserve">Site Visit تم : تم زياره الموقع ومقابله م محمد رمض</t>
  </si>
  <si>
    <t xml:space="preserve">20:11</t>
  </si>
  <si>
    <t xml:space="preserve">Site Visit تم : تم زياره الموقع لمقابله المهندس وت</t>
  </si>
  <si>
    <t xml:space="preserve">20:12</t>
  </si>
  <si>
    <t xml:space="preserve">Site Visit تم : تم زياره الموقع وتوضيح الشغل المطل</t>
  </si>
  <si>
    <t xml:space="preserve">20:13</t>
  </si>
  <si>
    <t xml:space="preserve">22:14</t>
  </si>
  <si>
    <t xml:space="preserve">Site Visit تم : تم زياره الموقع ومقابله المالك وشر</t>
  </si>
  <si>
    <t xml:space="preserve">22:29</t>
  </si>
  <si>
    <t xml:space="preserve">الاجتماع تم : تم زياره المكتب ومقابله مهندسه المكت</t>
  </si>
  <si>
    <t xml:space="preserve">22:46</t>
  </si>
  <si>
    <t xml:space="preserve">الاجتماع تم : تم زياره المكتب والتجتماع معه والاست</t>
  </si>
  <si>
    <t xml:space="preserve">الاجتماع تم : تم الاجتماع معه في موقع حمد النيادي </t>
  </si>
  <si>
    <t xml:space="preserve">الاجتماع تم : تم التواصل والتعريف بالزيادة ومنتظر </t>
  </si>
  <si>
    <t xml:space="preserve">22:55</t>
  </si>
  <si>
    <t xml:space="preserve">الاجتماع تم : ٩ مكاتب ٥ مقابله ١ عقد تكييف ١ عقد م</t>
  </si>
  <si>
    <t xml:space="preserve">00:00</t>
  </si>
  <si>
    <t xml:space="preserve">المهام المراد تنفيذها تم : تم زياره 5 مكاتب 4 مقاب</t>
  </si>
  <si>
    <t xml:space="preserve">To Do done Original note: زيارة ٨ مكاتب و٣ مقابلات</t>
  </si>
  <si>
    <t xml:space="preserve">10:09</t>
  </si>
  <si>
    <t xml:space="preserve">10:10</t>
  </si>
  <si>
    <t xml:space="preserve">تم الاجتماع مع العميل وزوجته في المعرض وعمل عرض سع</t>
  </si>
  <si>
    <t xml:space="preserve">تم زيارة المكتب ومقابله م طارق وتسلم شهاده ثرد بار</t>
  </si>
  <si>
    <t xml:space="preserve">10:19</t>
  </si>
  <si>
    <t xml:space="preserve">زيارة المكتب ومقابله م عمر ومتابعه المشاريع وارسل </t>
  </si>
  <si>
    <t xml:space="preserve">زيارة المكتب ومقابله م صهيب واخذ رقم مالك وتم التو</t>
  </si>
  <si>
    <t xml:space="preserve">10:24</t>
  </si>
  <si>
    <t xml:space="preserve">تم تسليم المصعد للعميل فيلا العين</t>
  </si>
  <si>
    <t xml:space="preserve">تم زيارة المكتب وارسال ايميل للمشتريات</t>
  </si>
  <si>
    <t xml:space="preserve">11:49</t>
  </si>
  <si>
    <t xml:space="preserve">تم زيارة المكتب ومقابلة مهندسة ليناس وارسال ايميل </t>
  </si>
  <si>
    <t xml:space="preserve">11:58</t>
  </si>
  <si>
    <t xml:space="preserve">تم زيارة المكتب وارسال ايميل المشتريات مهندس ارفين</t>
  </si>
  <si>
    <t xml:space="preserve">12:01</t>
  </si>
  <si>
    <t xml:space="preserve">تم مقابلة مضر بو حدور وترتيب موعد مع المهندس يوم ا</t>
  </si>
  <si>
    <t xml:space="preserve">12:08</t>
  </si>
  <si>
    <t xml:space="preserve">تم مقابلة ريسبشن مارتينا وسيتم تحديد موعد مع المهن</t>
  </si>
  <si>
    <t xml:space="preserve">تم مقابلة مهندس التكييف.. مشروع تركيب فقط 200 فيلا</t>
  </si>
  <si>
    <t xml:space="preserve">12:13</t>
  </si>
  <si>
    <t xml:space="preserve">تم مقابلة استاذ ايمن.. وسيتم الزيارة مرة اخرى لمقا</t>
  </si>
  <si>
    <t xml:space="preserve">تم مقابلة مهندس فيراس</t>
  </si>
  <si>
    <t xml:space="preserve">12:17</t>
  </si>
  <si>
    <t xml:space="preserve">تم مقابلة الريسيبشن وارسال ايميل</t>
  </si>
  <si>
    <t xml:space="preserve">تم مقابلة مهندس احمد لمتابعة عنود مصعد وصالح الكند</t>
  </si>
  <si>
    <t xml:space="preserve">12:22</t>
  </si>
  <si>
    <t xml:space="preserve">تم إرسال عرض السعر</t>
  </si>
  <si>
    <t xml:space="preserve">13:45</t>
  </si>
  <si>
    <t xml:space="preserve">مكالمة تم : تم التواصل مع المهندس ومحاوله تواصل مع</t>
  </si>
  <si>
    <t xml:space="preserve">13:47</t>
  </si>
  <si>
    <t xml:space="preserve">الاجتماع تم : تمت زياره للمكتب ومقابله م نصر لمتاب</t>
  </si>
  <si>
    <t xml:space="preserve">13:50</t>
  </si>
  <si>
    <t xml:space="preserve">الاجتماع تم : تمت زياره للمكتب ومقابله م فهد والات</t>
  </si>
  <si>
    <t xml:space="preserve">14:20</t>
  </si>
  <si>
    <t xml:space="preserve">تم زيارة المكتب اليوم ومقابله المهندس عمرو سليمان </t>
  </si>
  <si>
    <t xml:space="preserve">14:23</t>
  </si>
  <si>
    <t xml:space="preserve">تم مقابله الاستشاري وارسله عرض السعر للمصعد وهيتم </t>
  </si>
  <si>
    <t xml:space="preserve">14:24</t>
  </si>
  <si>
    <t xml:space="preserve">تم مقابله المهندس شريف اليوم ومناقشه عده مشاريع قد</t>
  </si>
  <si>
    <t xml:space="preserve">To Do done Original note: تم التواصل والمتابعه مع </t>
  </si>
  <si>
    <t xml:space="preserve">Call done Original note: تم مقابله الاستشاري وقال </t>
  </si>
  <si>
    <t xml:space="preserve">Call done Original note: تم التواصل وتحديد ميعاد ا</t>
  </si>
  <si>
    <t xml:space="preserve">14:49</t>
  </si>
  <si>
    <t xml:space="preserve">15:06</t>
  </si>
  <si>
    <t xml:space="preserve">خليفه الطنيجي تم زيارة مكتب المقاول والمناقشه للتف</t>
  </si>
  <si>
    <t xml:space="preserve">15:07</t>
  </si>
  <si>
    <t xml:space="preserve">Call done Original note: المقاول رجع ف كلامه وم مق</t>
  </si>
  <si>
    <t xml:space="preserve">To Do done Original note: تم تظبيط السعر وقال هيرا</t>
  </si>
  <si>
    <t xml:space="preserve">زيارة الموقع ومقابلة المهندس أنور والمالك لا يوجد </t>
  </si>
  <si>
    <t xml:space="preserve">زيارة الموقع ومقابلة المهندس فراس يوجد مصعد قالي ا</t>
  </si>
  <si>
    <t xml:space="preserve">زيارة الموقع ومقابلة المهندس زيارة متابعة عرض سعر </t>
  </si>
  <si>
    <t xml:space="preserve">16:20</t>
  </si>
  <si>
    <t xml:space="preserve">تم التواصل بالواتس اب مع الاستشاري وارسل مخطط مصعد</t>
  </si>
  <si>
    <t xml:space="preserve">زيارة الموقع للمعاينة والمتابعة ومقابلة المقاول</t>
  </si>
  <si>
    <t xml:space="preserve">زيارة الموقع للمعاينة موقع فيصل الكعبي</t>
  </si>
  <si>
    <t xml:space="preserve">16:25</t>
  </si>
  <si>
    <t xml:space="preserve">مقابله المهندس محمد وتم استلام الشيك باقي دفعة الت</t>
  </si>
  <si>
    <t xml:space="preserve">16:29</t>
  </si>
  <si>
    <t xml:space="preserve">مكتب الموناليزا للمقاولات العامه - م. دينا تم الزي</t>
  </si>
  <si>
    <t xml:space="preserve">16:31</t>
  </si>
  <si>
    <t xml:space="preserve">تم المقابله معاه النهارده وقال المشاريع واقفه حالي</t>
  </si>
  <si>
    <t xml:space="preserve">فيلا ساكنه وتم مقابلهوالمالكه والسرح والمعاينه مطو</t>
  </si>
  <si>
    <t xml:space="preserve">تم زيارة الموقع ورفع المقاسات وتصوير فديو وارساله </t>
  </si>
  <si>
    <t xml:space="preserve">تم زيارة الموقع ومقابله م محمد حسين ورفع المقاسات </t>
  </si>
  <si>
    <t xml:space="preserve">تم زيارة المكتب ومقاببه م الديكور والاتفاق ع التصن</t>
  </si>
  <si>
    <t xml:space="preserve">17:15</t>
  </si>
  <si>
    <t xml:space="preserve">تم ارسال مخكط من المالك والمقابله ف مكتب ريل اميج </t>
  </si>
  <si>
    <t xml:space="preserve">معاينه الموقع ورفع المقاسات والتواصل مع المالك وطل</t>
  </si>
  <si>
    <t xml:space="preserve">18:41</t>
  </si>
  <si>
    <t xml:space="preserve">تم زياره الموقع حسب الموعد من احمد ديناري ومقابله </t>
  </si>
  <si>
    <t xml:space="preserve">18:47</t>
  </si>
  <si>
    <t xml:space="preserve">زياره الموقع سالم عبدالله الكعبي ورفع المقاسات وجا</t>
  </si>
  <si>
    <t xml:space="preserve">18:49</t>
  </si>
  <si>
    <t xml:space="preserve">معاينه الموقع والتواصل مع مهندس احمد لايرد متابعه</t>
  </si>
  <si>
    <t xml:space="preserve">18:51</t>
  </si>
  <si>
    <t xml:space="preserve">زياره الموقع ومقابله مهندس محمد فخامه الاداء للمقا</t>
  </si>
  <si>
    <t xml:space="preserve">الاجتماع تم : تم مقابله الاء سكرتيره المكتب ودايما</t>
  </si>
  <si>
    <t xml:space="preserve">الاجتماع تم : تم زياره المكتب ومقابله م احمد ونتاب</t>
  </si>
  <si>
    <t xml:space="preserve">الاجتماع تم : تم مقابله م عبده ومتابعه مشروع خالد </t>
  </si>
  <si>
    <t xml:space="preserve">الاجتماع تم : عمل عرض سعر مصعد</t>
  </si>
  <si>
    <t xml:space="preserve">13:54</t>
  </si>
  <si>
    <t xml:space="preserve">الاجتماع تم : تم التواصل لمتابعه عرض السعر وقالت ل</t>
  </si>
  <si>
    <t xml:space="preserve">الاجتماع تم : تم الاتصال والشرح ومنتظر مقابله علي </t>
  </si>
  <si>
    <t xml:space="preserve">الاجتماع تم : تم زياره المكتب ومقابله م م رمضان وت</t>
  </si>
  <si>
    <t xml:space="preserve">20:33</t>
  </si>
  <si>
    <t xml:space="preserve">الاجتماع تم : تم مقابله م اركان واخبرني انه طالب ع</t>
  </si>
  <si>
    <t xml:space="preserve">الاجتماع تم : تم زياره المكتب ومقابله م علي وشرح ا</t>
  </si>
  <si>
    <t xml:space="preserve">الاجتماع تم : تم زياره المكتب ومقابله م فؤاد وشرح </t>
  </si>
  <si>
    <t xml:space="preserve">20:40</t>
  </si>
  <si>
    <t xml:space="preserve">الاجتماع تم : تم زياره المكتب وتسليمه عرض السعر وش</t>
  </si>
  <si>
    <t xml:space="preserve">20:41</t>
  </si>
  <si>
    <t xml:space="preserve">الاجتماع تم : تم زياره المكتب ولم يكن م عبدالعزيز </t>
  </si>
  <si>
    <t xml:space="preserve">تم مقابله المالك خسب الموعد وشرح كافه التفاصيل وعر</t>
  </si>
  <si>
    <t xml:space="preserve">13:42</t>
  </si>
  <si>
    <t xml:space="preserve">معاينه 4 فلل ورفع المقاسات والتواصل مع مهندس محمد </t>
  </si>
  <si>
    <t xml:space="preserve">معاينه الموقع والتواصل مع مهندس محمد استون ماستر ل</t>
  </si>
  <si>
    <t xml:space="preserve">معاينه الموقع والتواصل مع مهندس عبدالقاهر والمالك </t>
  </si>
  <si>
    <t xml:space="preserve">تم عمل عرض سعر للمالك ومتابعه لزيارة معرض العين</t>
  </si>
  <si>
    <t xml:space="preserve">معاينه الموقع والتواصل مع شركة قلعة الشموع للمقاول</t>
  </si>
  <si>
    <t xml:space="preserve">13:53</t>
  </si>
  <si>
    <t xml:space="preserve">معاينه 2فيلا ورفع المقاسات والتواصل مع المالك صاحب</t>
  </si>
  <si>
    <t xml:space="preserve">14:17</t>
  </si>
  <si>
    <t xml:space="preserve">مكتب اعمار الخليج للمقاولات - المهندس سيد تم التوا</t>
  </si>
  <si>
    <t xml:space="preserve">الاجتماع تم : تتتتتتت</t>
  </si>
  <si>
    <t xml:space="preserve">زيارة الموقع ومقابلة المهندس محمد لا يوجد مصعد وتم</t>
  </si>
  <si>
    <t xml:space="preserve">16:16</t>
  </si>
  <si>
    <t xml:space="preserve">Site Visit تم : تم زياره الموقع وتوضيح الاعمال الم</t>
  </si>
  <si>
    <t xml:space="preserve">Site Visit تم : تم زياره الموقع والارسال للعمل لتج</t>
  </si>
  <si>
    <t xml:space="preserve">زيارة الموقع ومقابلة المهندس ناجي مطلوب عرض سعر مص</t>
  </si>
  <si>
    <t xml:space="preserve">تم زيارة الموقع ومقابلة م اشرف ورفع المقاسات وتسلي</t>
  </si>
  <si>
    <t xml:space="preserve">زيارة الموقع يوجد مصعد وتم الاتصال على مهندس احمد </t>
  </si>
  <si>
    <t xml:space="preserve">زيارة الموقع يوجد مصعد وتم الاتصال على مهندس لم ير</t>
  </si>
  <si>
    <t xml:space="preserve">تمم زيارة الموقع ومقابلة م عليم وتم اخذ رقم م خالد</t>
  </si>
  <si>
    <t xml:space="preserve">تم زيارة الموقع ومقابلة م محمود وعمل عرض سعر مصعد</t>
  </si>
  <si>
    <t xml:space="preserve">17:17</t>
  </si>
  <si>
    <t xml:space="preserve">تم زيارة الموقع ومقابلة المالك ولا يوجد مصعد وقال </t>
  </si>
  <si>
    <t xml:space="preserve">تم زيارة الموقع ولا يوجد مصعد وتم التواصل مع م حمد</t>
  </si>
  <si>
    <t xml:space="preserve">تم زيارة الموقع ولا يوجد مصعد وتم التواصل مع م محم</t>
  </si>
  <si>
    <t xml:space="preserve">17:27</t>
  </si>
  <si>
    <t xml:space="preserve">تم زيارة الموقع ومقابله المالك ولا يوجد مصعد</t>
  </si>
  <si>
    <t xml:space="preserve">17:31</t>
  </si>
  <si>
    <t xml:space="preserve">تم زيارة الموقع ورفع المقاسات ومقابله م اشرف وقال </t>
  </si>
  <si>
    <t xml:space="preserve">Site Visit تم : تم زياره الموقع والارسال للمالك لا</t>
  </si>
  <si>
    <t xml:space="preserve">21:38</t>
  </si>
  <si>
    <t xml:space="preserve">Site Visit تم : تم زياره الموقع والارسال للمالك وا</t>
  </si>
  <si>
    <t xml:space="preserve">الاجتماع تم : تم التواصل لتاكيد الديكورات وبدا الت</t>
  </si>
  <si>
    <t xml:space="preserve">الاجتماع تم : تم التواصل ومتابعه عرض سعر التكييف و</t>
  </si>
  <si>
    <t xml:space="preserve">00:01</t>
  </si>
  <si>
    <t xml:space="preserve">الاجتماع تم : تم التواصل ومتابعه مشروع عاىده الهند</t>
  </si>
  <si>
    <t xml:space="preserve">00:03</t>
  </si>
  <si>
    <t xml:space="preserve">الاجتماع تم : عميله تم تركيب المصعد لها تم المقابل</t>
  </si>
  <si>
    <t xml:space="preserve">00:05</t>
  </si>
  <si>
    <t xml:space="preserve">الاجتماع تم : ١٥ موقع ٣ مقابله</t>
  </si>
  <si>
    <t xml:space="preserve">01:27</t>
  </si>
  <si>
    <t xml:space="preserve">Site Visit تم : تمت زياره الموقع ومقابله الفورمان </t>
  </si>
  <si>
    <t xml:space="preserve">الاجتماع تم : تمت زياره للمكتب وانتظار المدير العا</t>
  </si>
  <si>
    <t xml:space="preserve">01:29</t>
  </si>
  <si>
    <t xml:space="preserve">الاجتماع تم : تمت زياره للمكتب وعدم تواجد اي من ال</t>
  </si>
  <si>
    <t xml:space="preserve">01:30</t>
  </si>
  <si>
    <t xml:space="preserve">المهام المراد تنفيذها تم : تمت زياره 5 مكاتب 2 مقا</t>
  </si>
  <si>
    <t xml:space="preserve">10:35</t>
  </si>
  <si>
    <t xml:space="preserve">تم الزيارة اليوم ومناقشه عده مشاريع وف انتظار الرد</t>
  </si>
  <si>
    <t xml:space="preserve">12:59</t>
  </si>
  <si>
    <t xml:space="preserve">13:18</t>
  </si>
  <si>
    <t xml:space="preserve">تم زياره المكتب ومقابله مهندس محمد كنعان واخذ مخطط</t>
  </si>
  <si>
    <t xml:space="preserve">13:33</t>
  </si>
  <si>
    <t xml:space="preserve">زياره المكتب ومقابله مهندسة احلام ومتابعه وقت اخر </t>
  </si>
  <si>
    <t xml:space="preserve">زياره المكتب ومقابله ا رائد واستلام عقد الصيانه وا</t>
  </si>
  <si>
    <t xml:space="preserve">الاجتماع تم : تمت زياره للمالك للمعرض ودفع قيمه ال</t>
  </si>
  <si>
    <t xml:space="preserve">زياره المكتب ومتابعه مع مهندس وائل</t>
  </si>
  <si>
    <t xml:space="preserve">زياره المكتب ومقابله مهندس فرج ومتابعه مشاريع جديد</t>
  </si>
  <si>
    <t xml:space="preserve">زياره المكتب ومتابعه مع مهندس حمدان في ابوظبي</t>
  </si>
  <si>
    <t xml:space="preserve">13:56</t>
  </si>
  <si>
    <t xml:space="preserve">زياره المكتب ومقابله مهندسة رند ومتابعه مع مهندس م</t>
  </si>
  <si>
    <t xml:space="preserve">13:58</t>
  </si>
  <si>
    <t xml:space="preserve">زياره المكتب وتقديم البروفيل ومتابعه</t>
  </si>
  <si>
    <t xml:space="preserve">14:00</t>
  </si>
  <si>
    <t xml:space="preserve">مكالمة تم : تم تدريب العميل وتسليمه المصعد بحمد ال</t>
  </si>
  <si>
    <t xml:space="preserve">15:04</t>
  </si>
  <si>
    <t xml:space="preserve">الاجتماع تم : تمت زياره للمكتب ومقابله م ماهر وسفر</t>
  </si>
  <si>
    <t xml:space="preserve">الاجتماع في الموقع مع المقاول ومعاينه الابراج 4</t>
  </si>
  <si>
    <t xml:space="preserve">زيارة الموقع ومقابلة المهندس عبدالرحمن مطلوب عرض س</t>
  </si>
  <si>
    <t xml:space="preserve">16:47</t>
  </si>
  <si>
    <t xml:space="preserve">تم الدوام من المعرض والتواصل مع عملاء السوشيال ميد</t>
  </si>
  <si>
    <t xml:space="preserve">زيارة الموقع ويوجد مصعد وتم الاتصال على مهندس ايها</t>
  </si>
  <si>
    <t xml:space="preserve">تم الاجتماع مع العميل في المعرض مطولا مع ىزوجته وش</t>
  </si>
  <si>
    <t xml:space="preserve">الدوام من المعرض للاتصال علي أرقام السوشيال مديا</t>
  </si>
  <si>
    <t xml:space="preserve">Site Visit تم : تم زياره الموقع والارسال للمالك وم</t>
  </si>
  <si>
    <t xml:space="preserve">الاجتماع تم : اجتماع مع ابو عمار</t>
  </si>
  <si>
    <t xml:space="preserve">09:14</t>
  </si>
  <si>
    <t xml:space="preserve">الاجتماع تم : تم التواصل امس تحوسل عرض سعر فهد الم</t>
  </si>
  <si>
    <t xml:space="preserve">09:17</t>
  </si>
  <si>
    <t xml:space="preserve">الاجتماع تم : تم التواصل لتنسيق عقد فهد المرزوقي م</t>
  </si>
  <si>
    <t xml:space="preserve">09:19</t>
  </si>
  <si>
    <t xml:space="preserve">الاجتماع تم : تم التواصل لمتابعه مشروع مطر المزروع</t>
  </si>
  <si>
    <t xml:space="preserve">09:22</t>
  </si>
  <si>
    <t xml:space="preserve">الاجتماع تم : تم التواصل لتعريف بالشركه والاستعلام</t>
  </si>
  <si>
    <t xml:space="preserve">09:25</t>
  </si>
  <si>
    <t xml:space="preserve">الاجتماع تم : تم التواصل وعمل عرض سعر تكييف ثم الت</t>
  </si>
  <si>
    <t xml:space="preserve">09:27</t>
  </si>
  <si>
    <t xml:space="preserve">الاجتماع تم : تم عمل عرض سعر تكييف عن طريق المقاول</t>
  </si>
  <si>
    <t xml:space="preserve">09:28</t>
  </si>
  <si>
    <t xml:space="preserve">الاجتماع تم : تم التواصل امس لمتابعه التقفيل حول ا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</si>
</sst>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الفرص'!$D$2:$D$195,$A5)</f>
        <v>23</v>
      </c>
      <c r="C5" s="5" t="n">
        <f aca="false">COUNTIFS('تفاصيل الفرص'!$D$2:$D$195,$A5,'تفاصيل الفرص'!$I$2:$I$195,"نعم")</f>
        <v>23</v>
      </c>
      <c r="D5" s="5" t="n">
        <f aca="false">COUNTIFS('تفاصيل الفرص'!$D$2:$D$195,$A5,'تفاصيل الفرص'!$K$2:$K$195,"نعم")</f>
        <v>1</v>
      </c>
      <c r="E5" s="5" t="n">
        <f aca="false">COUNTIFS('تفاصيل الفرص'!$D$2:$D$195,$A5,'تفاصيل الفرص'!$M$2:$M$195,"نعم")</f>
        <v>10</v>
      </c>
      <c r="F5" s="5" t="n">
        <f aca="false">COUNTIFS('تفاصيل الفرص'!$D$2:$D$195,$A5,'تفاصيل الفرص'!$O$2:$O$195,"نعم")</f>
        <v>11</v>
      </c>
      <c r="G5" s="5" t="n">
        <f aca="false">COUNTIFS('تفاصيل الفرص'!$D$2:$D$195,$A5,'تفاصيل الفرص'!$Q$2:$Q$195,"نعم")</f>
        <v>22</v>
      </c>
      <c r="H5" s="5" t="n">
        <f aca="false">COUNTIFS('تفاصيل الفرص'!$D$2:$D$195,$A5,'تفاصيل الفرص'!$S$2:$S$195,"نعم")</f>
        <v>0</v>
      </c>
      <c r="I5" s="5" t="n">
        <f aca="false">COUNTIFS('تفاصيل الفرص'!$D$2:$D$195,$A5,'تفاصيل الفرص'!$U$2:$U$195,"نعم")</f>
        <v>0</v>
      </c>
      <c r="J5" s="5" t="n">
        <f aca="false">COUNTIFS('تفاصيل الفرص'!$D$2:$D$195,$A5,'تفاصيل الفرص'!$W$2:$W$195,"نعم")</f>
        <v>1</v>
      </c>
      <c r="K5" s="6" t="n">
        <f aca="false">IF($B5=0,0,SUM(C5:J5)/($B5*8))</f>
        <v>0.369565217391304</v>
      </c>
      <c r="L5" s="5" t="n">
        <f aca="false">COUNTIF('سجل الأكشنات'!$D$2:$D$422,$A5)</f>
        <v>56</v>
      </c>
      <c r="M5" s="5" t="n">
        <f aca="false">COUNTIFS('سجل الأكشنات'!$D$2:$D$422,$A5,'سجل الأكشنات'!$H$2:$H$422,"تفصيلي")</f>
        <v>47</v>
      </c>
      <c r="N5" s="5" t="n">
        <f aca="false">L5-M5</f>
        <v>9</v>
      </c>
      <c r="O5" s="6" t="n">
        <f aca="false">IF($L5=0,0,M5/L5)</f>
        <v>0.839285714285714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الفرص'!$D$2:$D$195,$A6)</f>
        <v>29</v>
      </c>
      <c r="C6" s="5" t="n">
        <f aca="false">COUNTIFS('تفاصيل الفرص'!$D$2:$D$195,$A6,'تفاصيل الفرص'!$I$2:$I$195,"نعم")</f>
        <v>9</v>
      </c>
      <c r="D6" s="5" t="n">
        <f aca="false">COUNTIFS('تفاصيل الفرص'!$D$2:$D$195,$A6,'تفاصيل الفرص'!$K$2:$K$195,"نعم")</f>
        <v>11</v>
      </c>
      <c r="E6" s="5" t="n">
        <f aca="false">COUNTIFS('تفاصيل الفرص'!$D$2:$D$195,$A6,'تفاصيل الفرص'!$M$2:$M$195,"نعم")</f>
        <v>12</v>
      </c>
      <c r="F6" s="5" t="n">
        <f aca="false">COUNTIFS('تفاصيل الفرص'!$D$2:$D$195,$A6,'تفاصيل الفرص'!$O$2:$O$195,"نعم")</f>
        <v>10</v>
      </c>
      <c r="G6" s="5" t="n">
        <f aca="false">COUNTIFS('تفاصيل الفرص'!$D$2:$D$195,$A6,'تفاصيل الفرص'!$Q$2:$Q$195,"نعم")</f>
        <v>9</v>
      </c>
      <c r="H6" s="5" t="n">
        <f aca="false">COUNTIFS('تفاصيل الفرص'!$D$2:$D$195,$A6,'تفاصيل الفرص'!$S$2:$S$195,"نعم")</f>
        <v>1</v>
      </c>
      <c r="I6" s="5" t="n">
        <f aca="false">COUNTIFS('تفاصيل الفرص'!$D$2:$D$195,$A6,'تفاصيل الفرص'!$U$2:$U$195,"نعم")</f>
        <v>2</v>
      </c>
      <c r="J6" s="5" t="n">
        <f aca="false">COUNTIFS('تفاصيل الفرص'!$D$2:$D$195,$A6,'تفاصيل الفرص'!$W$2:$W$195,"نعم")</f>
        <v>0</v>
      </c>
      <c r="K6" s="6" t="n">
        <f aca="false">IF($B6=0,0,SUM(C6:J6)/($B6*8))</f>
        <v>0.232758620689655</v>
      </c>
      <c r="L6" s="5" t="n">
        <f aca="false">COUNTIF('سجل الأكشنات'!$D$2:$D$422,$A6)</f>
        <v>62</v>
      </c>
      <c r="M6" s="5" t="n">
        <f aca="false">COUNTIFS('سجل الأكشنات'!$D$2:$D$422,$A6,'سجل الأكشنات'!$H$2:$H$422,"تفصيلي")</f>
        <v>51</v>
      </c>
      <c r="N6" s="5" t="n">
        <f aca="false">L6-M6</f>
        <v>11</v>
      </c>
      <c r="O6" s="6" t="n">
        <f aca="false">IF($L6=0,0,M6/L6)</f>
        <v>0.82258064516129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الفرص'!$D$2:$D$195,$A7)</f>
        <v>24</v>
      </c>
      <c r="C7" s="5" t="n">
        <f aca="false">COUNTIFS('تفاصيل الفرص'!$D$2:$D$195,$A7,'تفاصيل الفرص'!$I$2:$I$195,"نعم")</f>
        <v>24</v>
      </c>
      <c r="D7" s="5" t="n">
        <f aca="false">COUNTIFS('تفاصيل الفرص'!$D$2:$D$195,$A7,'تفاصيل الفرص'!$K$2:$K$195,"نعم")</f>
        <v>0</v>
      </c>
      <c r="E7" s="5" t="n">
        <f aca="false">COUNTIFS('تفاصيل الفرص'!$D$2:$D$195,$A7,'تفاصيل الفرص'!$M$2:$M$195,"نعم")</f>
        <v>11</v>
      </c>
      <c r="F7" s="5" t="n">
        <f aca="false">COUNTIFS('تفاصيل الفرص'!$D$2:$D$195,$A7,'تفاصيل الفرص'!$O$2:$O$195,"نعم")</f>
        <v>12</v>
      </c>
      <c r="G7" s="5" t="n">
        <f aca="false">COUNTIFS('تفاصيل الفرص'!$D$2:$D$195,$A7,'تفاصيل الفرص'!$Q$2:$Q$195,"نعم")</f>
        <v>2</v>
      </c>
      <c r="H7" s="5" t="n">
        <f aca="false">COUNTIFS('تفاصيل الفرص'!$D$2:$D$195,$A7,'تفاصيل الفرص'!$S$2:$S$195,"نعم")</f>
        <v>4</v>
      </c>
      <c r="I7" s="5" t="n">
        <f aca="false">COUNTIFS('تفاصيل الفرص'!$D$2:$D$195,$A7,'تفاصيل الفرص'!$U$2:$U$195,"نعم")</f>
        <v>2</v>
      </c>
      <c r="J7" s="5" t="n">
        <f aca="false">COUNTIFS('تفاصيل الفرص'!$D$2:$D$195,$A7,'تفاصيل الفرص'!$W$2:$W$195,"نعم")</f>
        <v>6</v>
      </c>
      <c r="K7" s="6" t="n">
        <f aca="false">IF($B7=0,0,SUM(C7:J7)/($B7*8))</f>
        <v>0.317708333333333</v>
      </c>
      <c r="L7" s="5" t="n">
        <f aca="false">COUNTIF('سجل الأكشنات'!$D$2:$D$422,$A7)</f>
        <v>23</v>
      </c>
      <c r="M7" s="5" t="n">
        <f aca="false">COUNTIFS('سجل الأكشنات'!$D$2:$D$422,$A7,'سجل الأكشنات'!$H$2:$H$422,"تفصيلي")</f>
        <v>12</v>
      </c>
      <c r="N7" s="5" t="n">
        <f aca="false">L7-M7</f>
        <v>11</v>
      </c>
      <c r="O7" s="6" t="n">
        <f aca="false">IF($L7=0,0,M7/L7)</f>
        <v>0.521739130434783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الفرص'!$D$2:$D$195,$A8)</f>
        <v>8</v>
      </c>
      <c r="C8" s="5" t="n">
        <f aca="false">COUNTIFS('تفاصيل الفرص'!$D$2:$D$195,$A8,'تفاصيل الفرص'!$I$2:$I$195,"نعم")</f>
        <v>1</v>
      </c>
      <c r="D8" s="5" t="n">
        <f aca="false">COUNTIFS('تفاصيل الفرص'!$D$2:$D$195,$A8,'تفاصيل الفرص'!$K$2:$K$195,"نعم")</f>
        <v>0</v>
      </c>
      <c r="E8" s="5" t="n">
        <f aca="false">COUNTIFS('تفاصيل الفرص'!$D$2:$D$195,$A8,'تفاصيل الفرص'!$M$2:$M$195,"نعم")</f>
        <v>2</v>
      </c>
      <c r="F8" s="5" t="n">
        <f aca="false">COUNTIFS('تفاصيل الفرص'!$D$2:$D$195,$A8,'تفاصيل الفرص'!$O$2:$O$195,"نعم")</f>
        <v>1</v>
      </c>
      <c r="G8" s="5" t="n">
        <f aca="false">COUNTIFS('تفاصيل الفرص'!$D$2:$D$195,$A8,'تفاصيل الفرص'!$Q$2:$Q$195,"نعم")</f>
        <v>0</v>
      </c>
      <c r="H8" s="5" t="n">
        <f aca="false">COUNTIFS('تفاصيل الفرص'!$D$2:$D$195,$A8,'تفاصيل الفرص'!$S$2:$S$195,"نعم")</f>
        <v>0</v>
      </c>
      <c r="I8" s="5" t="n">
        <f aca="false">COUNTIFS('تفاصيل الفرص'!$D$2:$D$195,$A8,'تفاصيل الفرص'!$U$2:$U$195,"نعم")</f>
        <v>0</v>
      </c>
      <c r="J8" s="5" t="n">
        <f aca="false">COUNTIFS('تفاصيل الفرص'!$D$2:$D$195,$A8,'تفاصيل الفرص'!$W$2:$W$195,"نعم")</f>
        <v>0</v>
      </c>
      <c r="K8" s="6" t="n">
        <f aca="false">IF($B8=0,0,SUM(C8:J8)/($B8*8))</f>
        <v>0.0625</v>
      </c>
      <c r="L8" s="5" t="n">
        <f aca="false">COUNTIF('سجل الأكشنات'!$D$2:$D$422,$A8)</f>
        <v>40</v>
      </c>
      <c r="M8" s="5" t="n">
        <f aca="false">COUNTIFS('سجل الأكشنات'!$D$2:$D$422,$A8,'سجل الأكشنات'!$H$2:$H$422,"تفصيلي")</f>
        <v>39</v>
      </c>
      <c r="N8" s="5" t="n">
        <f aca="false">L8-M8</f>
        <v>1</v>
      </c>
      <c r="O8" s="6" t="n">
        <f aca="false">IF($L8=0,0,M8/L8)</f>
        <v>0.975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الفرص'!$D$2:$D$195,$A9)</f>
        <v>8</v>
      </c>
      <c r="C9" s="5" t="n">
        <f aca="false">COUNTIFS('تفاصيل الفرص'!$D$2:$D$195,$A9,'تفاصيل الفرص'!$I$2:$I$195,"نعم")</f>
        <v>8</v>
      </c>
      <c r="D9" s="5" t="n">
        <f aca="false">COUNTIFS('تفاصيل الفرص'!$D$2:$D$195,$A9,'تفاصيل الفرص'!$K$2:$K$195,"نعم")</f>
        <v>2</v>
      </c>
      <c r="E9" s="5" t="n">
        <f aca="false">COUNTIFS('تفاصيل الفرص'!$D$2:$D$195,$A9,'تفاصيل الفرص'!$M$2:$M$195,"نعم")</f>
        <v>3</v>
      </c>
      <c r="F9" s="5" t="n">
        <f aca="false">COUNTIFS('تفاصيل الفرص'!$D$2:$D$195,$A9,'تفاصيل الفرص'!$O$2:$O$195,"نعم")</f>
        <v>3</v>
      </c>
      <c r="G9" s="5" t="n">
        <f aca="false">COUNTIFS('تفاصيل الفرص'!$D$2:$D$195,$A9,'تفاصيل الفرص'!$Q$2:$Q$195,"نعم")</f>
        <v>6</v>
      </c>
      <c r="H9" s="5" t="n">
        <f aca="false">COUNTIFS('تفاصيل الفرص'!$D$2:$D$195,$A9,'تفاصيل الفرص'!$S$2:$S$195,"نعم")</f>
        <v>2</v>
      </c>
      <c r="I9" s="5" t="n">
        <f aca="false">COUNTIFS('تفاصيل الفرص'!$D$2:$D$195,$A9,'تفاصيل الفرص'!$U$2:$U$195,"نعم")</f>
        <v>2</v>
      </c>
      <c r="J9" s="5" t="n">
        <f aca="false">COUNTIFS('تفاصيل الفرص'!$D$2:$D$195,$A9,'تفاصيل الفرص'!$W$2:$W$195,"نعم")</f>
        <v>4</v>
      </c>
      <c r="K9" s="6" t="n">
        <f aca="false">IF($B9=0,0,SUM(C9:J9)/($B9*8))</f>
        <v>0.46875</v>
      </c>
      <c r="L9" s="5" t="n">
        <f aca="false">COUNTIF('سجل الأكشنات'!$D$2:$D$422,$A9)</f>
        <v>39</v>
      </c>
      <c r="M9" s="5" t="n">
        <f aca="false">COUNTIFS('سجل الأكشنات'!$D$2:$D$422,$A9,'سجل الأكشنات'!$H$2:$H$422,"تفصيلي")</f>
        <v>25</v>
      </c>
      <c r="N9" s="5" t="n">
        <f aca="false">L9-M9</f>
        <v>14</v>
      </c>
      <c r="O9" s="6" t="n">
        <f aca="false">IF($L9=0,0,M9/L9)</f>
        <v>0.641025641025641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الفرص'!$D$2:$D$195,$A10)</f>
        <v>7</v>
      </c>
      <c r="C10" s="5" t="n">
        <f aca="false">COUNTIFS('تفاصيل الفرص'!$D$2:$D$195,$A10,'تفاصيل الفرص'!$I$2:$I$195,"نعم")</f>
        <v>1</v>
      </c>
      <c r="D10" s="5" t="n">
        <f aca="false">COUNTIFS('تفاصيل الفرص'!$D$2:$D$195,$A10,'تفاصيل الفرص'!$K$2:$K$195,"نعم")</f>
        <v>0</v>
      </c>
      <c r="E10" s="5" t="n">
        <f aca="false">COUNTIFS('تفاصيل الفرص'!$D$2:$D$195,$A10,'تفاصيل الفرص'!$M$2:$M$195,"نعم")</f>
        <v>1</v>
      </c>
      <c r="F10" s="5" t="n">
        <f aca="false">COUNTIFS('تفاصيل الفرص'!$D$2:$D$195,$A10,'تفاصيل الفرص'!$O$2:$O$195,"نعم")</f>
        <v>1</v>
      </c>
      <c r="G10" s="5" t="n">
        <f aca="false">COUNTIFS('تفاصيل الفرص'!$D$2:$D$195,$A10,'تفاصيل الفرص'!$Q$2:$Q$195,"نعم")</f>
        <v>0</v>
      </c>
      <c r="H10" s="5" t="n">
        <f aca="false">COUNTIFS('تفاصيل الفرص'!$D$2:$D$195,$A10,'تفاصيل الفرص'!$S$2:$S$195,"نعم")</f>
        <v>0</v>
      </c>
      <c r="I10" s="5" t="n">
        <f aca="false">COUNTIFS('تفاصيل الفرص'!$D$2:$D$195,$A10,'تفاصيل الفرص'!$U$2:$U$195,"نعم")</f>
        <v>0</v>
      </c>
      <c r="J10" s="5" t="n">
        <f aca="false">COUNTIFS('تفاصيل الفرص'!$D$2:$D$195,$A10,'تفاصيل الفرص'!$W$2:$W$195,"نعم")</f>
        <v>0</v>
      </c>
      <c r="K10" s="6" t="n">
        <f aca="false">IF($B10=0,0,SUM(C10:J10)/($B10*8))</f>
        <v>0.0535714285714286</v>
      </c>
      <c r="L10" s="5" t="n">
        <f aca="false">COUNTIF('سجل الأكشنات'!$D$2:$D$422,$A10)</f>
        <v>51</v>
      </c>
      <c r="M10" s="5" t="n">
        <f aca="false">COUNTIFS('سجل الأكشنات'!$D$2:$D$422,$A10,'سجل الأكشنات'!$H$2:$H$422,"تفصيلي")</f>
        <v>49</v>
      </c>
      <c r="N10" s="5" t="n">
        <f aca="false">L10-M10</f>
        <v>2</v>
      </c>
      <c r="O10" s="6" t="n">
        <f aca="false">IF($L10=0,0,M10/L10)</f>
        <v>0.96078431372549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الفرص'!$D$2:$D$195,$A11)</f>
        <v>65</v>
      </c>
      <c r="C11" s="5" t="n">
        <f aca="false">COUNTIFS('تفاصيل الفرص'!$D$2:$D$195,$A11,'تفاصيل الفرص'!$I$2:$I$195,"نعم")</f>
        <v>11</v>
      </c>
      <c r="D11" s="5" t="n">
        <f aca="false">COUNTIFS('تفاصيل الفرص'!$D$2:$D$195,$A11,'تفاصيل الفرص'!$K$2:$K$195,"نعم")</f>
        <v>1</v>
      </c>
      <c r="E11" s="5" t="n">
        <f aca="false">COUNTIFS('تفاصيل الفرص'!$D$2:$D$195,$A11,'تفاصيل الفرص'!$M$2:$M$195,"نعم")</f>
        <v>0</v>
      </c>
      <c r="F11" s="5" t="n">
        <f aca="false">COUNTIFS('تفاصيل الفرص'!$D$2:$D$195,$A11,'تفاصيل الفرص'!$O$2:$O$195,"نعم")</f>
        <v>1</v>
      </c>
      <c r="G11" s="5" t="n">
        <f aca="false">COUNTIFS('تفاصيل الفرص'!$D$2:$D$195,$A11,'تفاصيل الفرص'!$Q$2:$Q$195,"نعم")</f>
        <v>1</v>
      </c>
      <c r="H11" s="5" t="n">
        <f aca="false">COUNTIFS('تفاصيل الفرص'!$D$2:$D$195,$A11,'تفاصيل الفرص'!$S$2:$S$195,"نعم")</f>
        <v>0</v>
      </c>
      <c r="I11" s="5" t="n">
        <f aca="false">COUNTIFS('تفاصيل الفرص'!$D$2:$D$195,$A11,'تفاصيل الفرص'!$U$2:$U$195,"نعم")</f>
        <v>0</v>
      </c>
      <c r="J11" s="5" t="n">
        <f aca="false">COUNTIFS('تفاصيل الفرص'!$D$2:$D$195,$A11,'تفاصيل الفرص'!$W$2:$W$195,"نعم")</f>
        <v>0</v>
      </c>
      <c r="K11" s="6" t="n">
        <f aca="false">IF($B11=0,0,SUM(C11:J11)/($B11*8))</f>
        <v>0.0269230769230769</v>
      </c>
      <c r="L11" s="5" t="n">
        <f aca="false">COUNTIF('سجل الأكشنات'!$D$2:$D$422,$A11)</f>
        <v>73</v>
      </c>
      <c r="M11" s="5" t="n">
        <f aca="false">COUNTIFS('سجل الأكشنات'!$D$2:$D$422,$A11,'سجل الأكشنات'!$H$2:$H$422,"تفصيلي")</f>
        <v>57</v>
      </c>
      <c r="N11" s="5" t="n">
        <f aca="false">L11-M11</f>
        <v>16</v>
      </c>
      <c r="O11" s="6" t="n">
        <f aca="false">IF($L11=0,0,M11/L11)</f>
        <v>0.780821917808219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الفرص'!$D$2:$D$195,$A12)</f>
        <v>29</v>
      </c>
      <c r="C12" s="5" t="n">
        <f aca="false">COUNTIFS('تفاصيل الفرص'!$D$2:$D$195,$A12,'تفاصيل الفرص'!$I$2:$I$195,"نعم")</f>
        <v>29</v>
      </c>
      <c r="D12" s="5" t="n">
        <f aca="false">COUNTIFS('تفاصيل الفرص'!$D$2:$D$195,$A12,'تفاصيل الفرص'!$K$2:$K$195,"نعم")</f>
        <v>0</v>
      </c>
      <c r="E12" s="5" t="n">
        <f aca="false">COUNTIFS('تفاصيل الفرص'!$D$2:$D$195,$A12,'تفاصيل الفرص'!$M$2:$M$195,"نعم")</f>
        <v>1</v>
      </c>
      <c r="F12" s="5" t="n">
        <f aca="false">COUNTIFS('تفاصيل الفرص'!$D$2:$D$195,$A12,'تفاصيل الفرص'!$O$2:$O$195,"نعم")</f>
        <v>0</v>
      </c>
      <c r="G12" s="5" t="n">
        <f aca="false">COUNTIFS('تفاصيل الفرص'!$D$2:$D$195,$A12,'تفاصيل الفرص'!$Q$2:$Q$195,"نعم")</f>
        <v>1</v>
      </c>
      <c r="H12" s="5" t="n">
        <f aca="false">COUNTIFS('تفاصيل الفرص'!$D$2:$D$195,$A12,'تفاصيل الفرص'!$S$2:$S$195,"نعم")</f>
        <v>0</v>
      </c>
      <c r="I12" s="5" t="n">
        <f aca="false">COUNTIFS('تفاصيل الفرص'!$D$2:$D$195,$A12,'تفاصيل الفرص'!$U$2:$U$195,"نعم")</f>
        <v>1</v>
      </c>
      <c r="J12" s="5" t="n">
        <f aca="false">COUNTIFS('تفاصيل الفرص'!$D$2:$D$195,$A12,'تفاصيل الفرص'!$W$2:$W$195,"نعم")</f>
        <v>0</v>
      </c>
      <c r="K12" s="6" t="n">
        <f aca="false">IF($B12=0,0,SUM(C12:J12)/($B12*8))</f>
        <v>0.137931034482759</v>
      </c>
      <c r="L12" s="5" t="n">
        <f aca="false">COUNTIF('سجل الأكشنات'!$D$2:$D$422,$A12)</f>
        <v>54</v>
      </c>
      <c r="M12" s="5" t="n">
        <f aca="false">COUNTIFS('سجل الأكشنات'!$D$2:$D$422,$A12,'سجل الأكشنات'!$H$2:$H$422,"تفصيلي")</f>
        <v>49</v>
      </c>
      <c r="N12" s="5" t="n">
        <f aca="false">L12-M12</f>
        <v>5</v>
      </c>
      <c r="O12" s="6" t="n">
        <f aca="false">IF($L12=0,0,M12/L12)</f>
        <v>0.907407407407407</v>
      </c>
      <c r="P12" s="4" t="s">
        <v>33</v>
      </c>
    </row>
    <row r="13" customFormat="false" ht="45.75" hidden="false" customHeight="true" outlineLevel="0" collapsed="false">
      <c r="A13" s="4" t="s">
        <v>34</v>
      </c>
      <c r="B13" s="5" t="n">
        <f aca="false">COUNTIF('تفاصيل الفرص'!$D$2:$D$195,$A13)</f>
        <v>1</v>
      </c>
      <c r="C13" s="5" t="n">
        <f aca="false">COUNTIFS('تفاصيل الفرص'!$D$2:$D$195,$A13,'تفاصيل الفرص'!$I$2:$I$195,"نعم")</f>
        <v>1</v>
      </c>
      <c r="D13" s="5" t="n">
        <f aca="false">COUNTIFS('تفاصيل الفرص'!$D$2:$D$195,$A13,'تفاصيل الفرص'!$K$2:$K$195,"نعم")</f>
        <v>1</v>
      </c>
      <c r="E13" s="5" t="n">
        <f aca="false">COUNTIFS('تفاصيل الفرص'!$D$2:$D$195,$A13,'تفاصيل الفرص'!$M$2:$M$195,"نعم")</f>
        <v>1</v>
      </c>
      <c r="F13" s="5" t="n">
        <f aca="false">COUNTIFS('تفاصيل الفرص'!$D$2:$D$195,$A13,'تفاصيل الفرص'!$O$2:$O$195,"نعم")</f>
        <v>0</v>
      </c>
      <c r="G13" s="5" t="n">
        <f aca="false">COUNTIFS('تفاصيل الفرص'!$D$2:$D$195,$A13,'تفاصيل الفرص'!$Q$2:$Q$195,"نعم")</f>
        <v>1</v>
      </c>
      <c r="H13" s="5" t="n">
        <f aca="false">COUNTIFS('تفاصيل الفرص'!$D$2:$D$195,$A13,'تفاصيل الفرص'!$S$2:$S$195,"نعم")</f>
        <v>0</v>
      </c>
      <c r="I13" s="5" t="n">
        <f aca="false">COUNTIFS('تفاصيل الفرص'!$D$2:$D$195,$A13,'تفاصيل الفرص'!$U$2:$U$195,"نعم")</f>
        <v>0</v>
      </c>
      <c r="J13" s="5" t="n">
        <f aca="false">COUNTIFS('تفاصيل الفرص'!$D$2:$D$195,$A13,'تفاصيل الفرص'!$W$2:$W$195,"نعم")</f>
        <v>0</v>
      </c>
      <c r="K13" s="6" t="n">
        <f aca="false">IF($B13=0,0,SUM(C13:J13)/($B13*8))</f>
        <v>0.5</v>
      </c>
      <c r="L13" s="5" t="n">
        <f aca="false">COUNTIF('سجل الأكشنات'!$D$2:$D$422,$A13)</f>
        <v>23</v>
      </c>
      <c r="M13" s="5" t="n">
        <f aca="false">COUNTIFS('سجل الأكشنات'!$D$2:$D$422,$A13,'سجل الأكشنات'!$H$2:$H$422,"تفصيلي")</f>
        <v>18</v>
      </c>
      <c r="N13" s="5" t="n">
        <f aca="false">L13-M13</f>
        <v>5</v>
      </c>
      <c r="O13" s="6" t="n">
        <f aca="false">IF($L13=0,0,M13/L13)</f>
        <v>0.782608695652174</v>
      </c>
      <c r="P13" s="4" t="s">
        <v>35</v>
      </c>
    </row>
    <row r="14" customFormat="false" ht="15" hidden="false" customHeight="false" outlineLevel="0" collapsed="false">
      <c r="A14" s="7" t="s">
        <v>36</v>
      </c>
      <c r="B14" s="8" t="n">
        <f aca="false">SUM(B5:B13)</f>
        <v>194</v>
      </c>
      <c r="C14" s="8" t="n">
        <f aca="false">SUM(C5:C13)</f>
        <v>107</v>
      </c>
      <c r="D14" s="8" t="n">
        <f aca="false">SUM(D5:D13)</f>
        <v>16</v>
      </c>
      <c r="E14" s="8" t="n">
        <f aca="false">SUM(E5:E13)</f>
        <v>41</v>
      </c>
      <c r="F14" s="8" t="n">
        <f aca="false">SUM(F5:F13)</f>
        <v>39</v>
      </c>
      <c r="G14" s="8" t="n">
        <f aca="false">SUM(G5:G13)</f>
        <v>42</v>
      </c>
      <c r="H14" s="8" t="n">
        <f aca="false">SUM(H5:H13)</f>
        <v>7</v>
      </c>
      <c r="I14" s="8" t="n">
        <f aca="false">SUM(I5:I13)</f>
        <v>7</v>
      </c>
      <c r="J14" s="8" t="n">
        <f aca="false">SUM(J5:J13)</f>
        <v>11</v>
      </c>
      <c r="K14" s="9" t="n">
        <f aca="false">IF($B14=0,0,SUM(C14:J14)/($B14*8))</f>
        <v>0.173969072164948</v>
      </c>
      <c r="L14" s="8" t="n">
        <f aca="false">SUM(L5:L13)</f>
        <v>421</v>
      </c>
      <c r="M14" s="8" t="n">
        <f aca="false">SUM(M5:M13)</f>
        <v>347</v>
      </c>
      <c r="N14" s="8" t="n">
        <f aca="false">SUM(N5:N13)</f>
        <v>74</v>
      </c>
      <c r="O14" s="9" t="n">
        <f aca="false">IF($L14=0,0,M14/L14)</f>
        <v>0.824228028503563</v>
      </c>
      <c r="P14" s="7"/>
    </row>
    <row r="16" customFormat="false" ht="15" hidden="false" customHeight="false" outlineLevel="0" collapsed="false">
      <c r="A16" s="10" t="s">
        <v>37</v>
      </c>
    </row>
    <row r="17" customFormat="false" ht="15" hidden="false" customHeight="false" outlineLevel="0" collapsed="false">
      <c r="A17" s="11" t="s">
        <v>38</v>
      </c>
    </row>
    <row r="18" customFormat="false" ht="15" hidden="false" customHeight="false" outlineLevel="0" collapsed="false">
      <c r="A18" s="11" t="s">
        <v>39</v>
      </c>
    </row>
    <row r="19" customFormat="false" ht="15" hidden="false" customHeight="false" outlineLevel="0" collapsed="false">
      <c r="A19" s="11" t="s">
        <v>40</v>
      </c>
    </row>
    <row r="20" customFormat="false" ht="15" hidden="false" customHeight="false" outlineLevel="0" collapsed="false">
      <c r="A20" s="11" t="s">
        <v>41</v>
      </c>
    </row>
    <row r="21" customFormat="false" ht="15" hidden="false" customHeight="false" outlineLevel="0" collapsed="false">
      <c r="A21" s="11" t="s">
        <v>42</v>
      </c>
    </row>
    <row r="22" customFormat="false" ht="15" hidden="false" customHeight="false" outlineLevel="0" collapsed="false">
      <c r="A22" s="11" t="s">
        <v>43</v>
      </c>
    </row>
    <row r="23" customFormat="false" ht="15" hidden="false" customHeight="false" outlineLevel="0" collapsed="false">
      <c r="A23" s="11" t="s">
        <v>44</v>
      </c>
    </row>
  </sheetData>
  <mergeCells count="2">
    <mergeCell ref="A1:N1"/>
    <mergeCell ref="A2:N2"/>
  </mergeCells>
  <conditionalFormatting sqref="K5:K13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3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45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46</v>
      </c>
      <c r="B3" s="3" t="s">
        <v>47</v>
      </c>
      <c r="C3" s="3" t="s">
        <v>2</v>
      </c>
      <c r="D3" s="3" t="s">
        <v>3</v>
      </c>
      <c r="E3" s="3" t="s">
        <v>48</v>
      </c>
      <c r="F3" s="3" t="s">
        <v>49</v>
      </c>
      <c r="G3" s="3" t="s">
        <v>14</v>
      </c>
      <c r="H3" s="3" t="s">
        <v>15</v>
      </c>
      <c r="I3" s="3" t="s">
        <v>50</v>
      </c>
    </row>
    <row r="4" customFormat="false" ht="15" hidden="false" customHeight="false" outlineLevel="0" collapsed="false">
      <c r="A4" s="5" t="s">
        <v>51</v>
      </c>
      <c r="B4" s="5" t="s">
        <v>52</v>
      </c>
      <c r="C4" s="4" t="s">
        <v>18</v>
      </c>
      <c r="D4" s="5" t="n">
        <f aca="false">COUNTIFS('تفاصيل الفرص'!$B$2:$B$195,$B4,'تفاصيل الفرص'!$D$2:$D$195,$C4)</f>
        <v>0</v>
      </c>
      <c r="E4" s="5" t="n">
        <f aca="false">COUNTIFS('تفاصيل الفرص'!$B$2:$B$195,$B4,'تفاصيل الفرص'!$D$2:$D$195,$C4,'تفاصيل الفرص'!$X$2:$X$195,0)</f>
        <v>0</v>
      </c>
      <c r="F4" s="5" t="n">
        <f aca="false">COUNTIFS('سجل الأكشنات'!$B$2:$B$422,$B4,'سجل الأكشنات'!$D$2:$D$422,$C4)</f>
        <v>0</v>
      </c>
      <c r="G4" s="5" t="n">
        <f aca="false">COUNTIFS('سجل الأكشنات'!$B$2:$B$422,$B4,'سجل الأكشنات'!$D$2:$D$422,$C4,'سجل الأكشنات'!$H$2:$H$422,"تفصيلي")</f>
        <v>0</v>
      </c>
      <c r="H4" s="5" t="n">
        <f aca="false">F4-G4</f>
        <v>0</v>
      </c>
      <c r="I4" s="5" t="str">
        <f aca="false">IF($B4&gt;"2026-07-27","لا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51</v>
      </c>
      <c r="B5" s="5" t="s">
        <v>52</v>
      </c>
      <c r="C5" s="4" t="s">
        <v>20</v>
      </c>
      <c r="D5" s="5" t="n">
        <f aca="false">COUNTIFS('تفاصيل الفرص'!$B$2:$B$195,$B5,'تفاصيل الفرص'!$D$2:$D$195,$C5)</f>
        <v>0</v>
      </c>
      <c r="E5" s="5" t="n">
        <f aca="false">COUNTIFS('تفاصيل الفرص'!$B$2:$B$195,$B5,'تفاصيل الفرص'!$D$2:$D$195,$C5,'تفاصيل الفرص'!$X$2:$X$195,0)</f>
        <v>0</v>
      </c>
      <c r="F5" s="5" t="n">
        <f aca="false">COUNTIFS('سجل الأكشنات'!$B$2:$B$422,$B5,'سجل الأكشنات'!$D$2:$D$422,$C5)</f>
        <v>3</v>
      </c>
      <c r="G5" s="5" t="n">
        <f aca="false">COUNTIFS('سجل الأكشنات'!$B$2:$B$422,$B5,'سجل الأكشنات'!$D$2:$D$422,$C5,'سجل الأكشنات'!$H$2:$H$422,"تفصيلي")</f>
        <v>3</v>
      </c>
      <c r="H5" s="5" t="n">
        <f aca="false">F5-G5</f>
        <v>0</v>
      </c>
      <c r="I5" s="5" t="str">
        <f aca="false">IF($B5&gt;"2026-07-27","لا توجد بيانات بعد",IF(AND(D5=0,F5=0),"بدون نشاط","نشِط"))</f>
        <v>نشِط</v>
      </c>
    </row>
    <row r="6" customFormat="false" ht="15" hidden="false" customHeight="false" outlineLevel="0" collapsed="false">
      <c r="A6" s="5" t="s">
        <v>51</v>
      </c>
      <c r="B6" s="5" t="s">
        <v>52</v>
      </c>
      <c r="C6" s="4" t="s">
        <v>22</v>
      </c>
      <c r="D6" s="5" t="n">
        <f aca="false">COUNTIFS('تفاصيل الفرص'!$B$2:$B$195,$B6,'تفاصيل الفرص'!$D$2:$D$195,$C6)</f>
        <v>1</v>
      </c>
      <c r="E6" s="5" t="n">
        <f aca="false">COUNTIFS('تفاصيل الفرص'!$B$2:$B$195,$B6,'تفاصيل الفرص'!$D$2:$D$195,$C6,'تفاصيل الفرص'!$X$2:$X$195,0)</f>
        <v>0</v>
      </c>
      <c r="F6" s="5" t="n">
        <f aca="false">COUNTIFS('سجل الأكشنات'!$B$2:$B$422,$B6,'سجل الأكشنات'!$D$2:$D$422,$C6)</f>
        <v>1</v>
      </c>
      <c r="G6" s="5" t="n">
        <f aca="false">COUNTIFS('سجل الأكشنات'!$B$2:$B$422,$B6,'سجل الأكشنات'!$D$2:$D$422,$C6,'سجل الأكشنات'!$H$2:$H$422,"تفصيلي")</f>
        <v>1</v>
      </c>
      <c r="H6" s="5" t="n">
        <f aca="false">F6-G6</f>
        <v>0</v>
      </c>
      <c r="I6" s="5" t="str">
        <f aca="false">IF($B6&gt;"2026-07-27","لا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51</v>
      </c>
      <c r="B7" s="5" t="s">
        <v>52</v>
      </c>
      <c r="C7" s="4" t="s">
        <v>24</v>
      </c>
      <c r="D7" s="5" t="n">
        <f aca="false">COUNTIFS('تفاصيل الفرص'!$B$2:$B$195,$B7,'تفاصيل الفرص'!$D$2:$D$195,$C7)</f>
        <v>2</v>
      </c>
      <c r="E7" s="5" t="n">
        <f aca="false">COUNTIFS('تفاصيل الفرص'!$B$2:$B$195,$B7,'تفاصيل الفرص'!$D$2:$D$195,$C7,'تفاصيل الفرص'!$X$2:$X$195,0)</f>
        <v>0</v>
      </c>
      <c r="F7" s="5" t="n">
        <f aca="false">COUNTIFS('سجل الأكشنات'!$B$2:$B$422,$B7,'سجل الأكشنات'!$D$2:$D$422,$C7)</f>
        <v>4</v>
      </c>
      <c r="G7" s="5" t="n">
        <f aca="false">COUNTIFS('سجل الأكشنات'!$B$2:$B$422,$B7,'سجل الأكشنات'!$D$2:$D$422,$C7,'سجل الأكشنات'!$H$2:$H$422,"تفصيلي")</f>
        <v>4</v>
      </c>
      <c r="H7" s="5" t="n">
        <f aca="false">F7-G7</f>
        <v>0</v>
      </c>
      <c r="I7" s="5" t="str">
        <f aca="false">IF($B7&gt;"2026-07-27","لا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51</v>
      </c>
      <c r="B8" s="5" t="s">
        <v>52</v>
      </c>
      <c r="C8" s="4" t="s">
        <v>26</v>
      </c>
      <c r="D8" s="5" t="n">
        <f aca="false">COUNTIFS('تفاصيل الفرص'!$B$2:$B$195,$B8,'تفاصيل الفرص'!$D$2:$D$195,$C8)</f>
        <v>0</v>
      </c>
      <c r="E8" s="5" t="n">
        <f aca="false">COUNTIFS('تفاصيل الفرص'!$B$2:$B$195,$B8,'تفاصيل الفرص'!$D$2:$D$195,$C8,'تفاصيل الفرص'!$X$2:$X$195,0)</f>
        <v>0</v>
      </c>
      <c r="F8" s="5" t="n">
        <f aca="false">COUNTIFS('سجل الأكشنات'!$B$2:$B$422,$B8,'سجل الأكشنات'!$D$2:$D$422,$C8)</f>
        <v>5</v>
      </c>
      <c r="G8" s="5" t="n">
        <f aca="false">COUNTIFS('سجل الأكشنات'!$B$2:$B$422,$B8,'سجل الأكشنات'!$D$2:$D$422,$C8,'سجل الأكشنات'!$H$2:$H$422,"تفصيلي")</f>
        <v>1</v>
      </c>
      <c r="H8" s="5" t="n">
        <f aca="false">F8-G8</f>
        <v>4</v>
      </c>
      <c r="I8" s="5" t="str">
        <f aca="false">IF($B8&gt;"2026-07-27","لا توجد بيانات بعد",IF(AND(D8=0,F8=0),"بدون نشاط","نشِط"))</f>
        <v>نشِط</v>
      </c>
    </row>
    <row r="9" customFormat="false" ht="15" hidden="false" customHeight="false" outlineLevel="0" collapsed="false">
      <c r="A9" s="5" t="s">
        <v>51</v>
      </c>
      <c r="B9" s="5" t="s">
        <v>52</v>
      </c>
      <c r="C9" s="4" t="s">
        <v>28</v>
      </c>
      <c r="D9" s="5" t="n">
        <f aca="false">COUNTIFS('تفاصيل الفرص'!$B$2:$B$195,$B9,'تفاصيل الفرص'!$D$2:$D$195,$C9)</f>
        <v>0</v>
      </c>
      <c r="E9" s="5" t="n">
        <f aca="false">COUNTIFS('تفاصيل الفرص'!$B$2:$B$195,$B9,'تفاصيل الفرص'!$D$2:$D$195,$C9,'تفاصيل الفرص'!$X$2:$X$195,0)</f>
        <v>0</v>
      </c>
      <c r="F9" s="5" t="n">
        <f aca="false">COUNTIFS('سجل الأكشنات'!$B$2:$B$422,$B9,'سجل الأكشنات'!$D$2:$D$422,$C9)</f>
        <v>1</v>
      </c>
      <c r="G9" s="5" t="n">
        <f aca="false">COUNTIFS('سجل الأكشنات'!$B$2:$B$422,$B9,'سجل الأكشنات'!$D$2:$D$422,$C9,'سجل الأكشنات'!$H$2:$H$422,"تفصيلي")</f>
        <v>1</v>
      </c>
      <c r="H9" s="5" t="n">
        <f aca="false">F9-G9</f>
        <v>0</v>
      </c>
      <c r="I9" s="5" t="str">
        <f aca="false">IF($B9&gt;"2026-07-27","لا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51</v>
      </c>
      <c r="B10" s="5" t="s">
        <v>52</v>
      </c>
      <c r="C10" s="4" t="s">
        <v>30</v>
      </c>
      <c r="D10" s="5" t="n">
        <f aca="false">COUNTIFS('تفاصيل الفرص'!$B$2:$B$195,$B10,'تفاصيل الفرص'!$D$2:$D$195,$C10)</f>
        <v>5</v>
      </c>
      <c r="E10" s="5" t="n">
        <f aca="false">COUNTIFS('تفاصيل الفرص'!$B$2:$B$195,$B10,'تفاصيل الفرص'!$D$2:$D$195,$C10,'تفاصيل الفرص'!$X$2:$X$195,0)</f>
        <v>0</v>
      </c>
      <c r="F10" s="5" t="n">
        <f aca="false">COUNTIFS('سجل الأكشنات'!$B$2:$B$422,$B10,'سجل الأكشنات'!$D$2:$D$422,$C10)</f>
        <v>5</v>
      </c>
      <c r="G10" s="5" t="n">
        <f aca="false">COUNTIFS('سجل الأكشنات'!$B$2:$B$422,$B10,'سجل الأكشنات'!$D$2:$D$422,$C10,'سجل الأكشنات'!$H$2:$H$422,"تفصيلي")</f>
        <v>5</v>
      </c>
      <c r="H10" s="5" t="n">
        <f aca="false">F10-G10</f>
        <v>0</v>
      </c>
      <c r="I10" s="5" t="str">
        <f aca="false">IF($B10&gt;"2026-07-27","لا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51</v>
      </c>
      <c r="B11" s="5" t="s">
        <v>52</v>
      </c>
      <c r="C11" s="4" t="s">
        <v>32</v>
      </c>
      <c r="D11" s="5" t="n">
        <f aca="false">COUNTIFS('تفاصيل الفرص'!$B$2:$B$195,$B11,'تفاصيل الفرص'!$D$2:$D$195,$C11)</f>
        <v>6</v>
      </c>
      <c r="E11" s="5" t="n">
        <f aca="false">COUNTIFS('تفاصيل الفرص'!$B$2:$B$195,$B11,'تفاصيل الفرص'!$D$2:$D$195,$C11,'تفاصيل الفرص'!$X$2:$X$195,0)</f>
        <v>0</v>
      </c>
      <c r="F11" s="5" t="n">
        <f aca="false">COUNTIFS('سجل الأكشنات'!$B$2:$B$422,$B11,'سجل الأكشنات'!$D$2:$D$422,$C11)</f>
        <v>9</v>
      </c>
      <c r="G11" s="5" t="n">
        <f aca="false">COUNTIFS('سجل الأكشنات'!$B$2:$B$422,$B11,'سجل الأكشنات'!$D$2:$D$422,$C11,'سجل الأكشنات'!$H$2:$H$422,"تفصيلي")</f>
        <v>8</v>
      </c>
      <c r="H11" s="5" t="n">
        <f aca="false">F11-G11</f>
        <v>1</v>
      </c>
      <c r="I11" s="5" t="str">
        <f aca="false">IF($B11&gt;"2026-07-27","لا توجد بيانات بعد",IF(AND(D11=0,F11=0),"بدون نشاط","نشِط"))</f>
        <v>نشِط</v>
      </c>
    </row>
    <row r="12" customFormat="false" ht="15" hidden="false" customHeight="false" outlineLevel="0" collapsed="false">
      <c r="A12" s="5" t="s">
        <v>51</v>
      </c>
      <c r="B12" s="5" t="s">
        <v>52</v>
      </c>
      <c r="C12" s="4" t="s">
        <v>34</v>
      </c>
      <c r="D12" s="5" t="n">
        <f aca="false">COUNTIFS('تفاصيل الفرص'!$B$2:$B$195,$B12,'تفاصيل الفرص'!$D$2:$D$195,$C12)</f>
        <v>0</v>
      </c>
      <c r="E12" s="5" t="n">
        <f aca="false">COUNTIFS('تفاصيل الفرص'!$B$2:$B$195,$B12,'تفاصيل الفرص'!$D$2:$D$195,$C12,'تفاصيل الفرص'!$X$2:$X$195,0)</f>
        <v>0</v>
      </c>
      <c r="F12" s="5" t="n">
        <f aca="false">COUNTIFS('سجل الأكشنات'!$B$2:$B$422,$B12,'سجل الأكشنات'!$D$2:$D$422,$C12)</f>
        <v>15</v>
      </c>
      <c r="G12" s="5" t="n">
        <f aca="false">COUNTIFS('سجل الأكشنات'!$B$2:$B$422,$B12,'سجل الأكشنات'!$D$2:$D$422,$C12,'سجل الأكشنات'!$H$2:$H$422,"تفصيلي")</f>
        <v>10</v>
      </c>
      <c r="H12" s="5" t="n">
        <f aca="false">F12-G12</f>
        <v>5</v>
      </c>
      <c r="I12" s="5" t="str">
        <f aca="false">IF($B12&gt;"2026-07-27","لا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53</v>
      </c>
      <c r="B13" s="12" t="s">
        <v>54</v>
      </c>
      <c r="C13" s="13" t="s">
        <v>18</v>
      </c>
      <c r="D13" s="12" t="n">
        <f aca="false">COUNTIFS('تفاصيل الفرص'!$B$2:$B$195,$B13,'تفاصيل الفرص'!$D$2:$D$195,$C13)</f>
        <v>0</v>
      </c>
      <c r="E13" s="12" t="n">
        <f aca="false">COUNTIFS('تفاصيل الفرص'!$B$2:$B$195,$B13,'تفاصيل الفرص'!$D$2:$D$195,$C13,'تفاصيل الفرص'!$X$2:$X$195,0)</f>
        <v>0</v>
      </c>
      <c r="F13" s="12" t="n">
        <f aca="false">COUNTIFS('سجل الأكشنات'!$B$2:$B$422,$B13,'سجل الأكشنات'!$D$2:$D$422,$C13)</f>
        <v>0</v>
      </c>
      <c r="G13" s="12" t="n">
        <f aca="false">COUNTIFS('سجل الأكشنات'!$B$2:$B$422,$B13,'سجل الأكشنات'!$D$2:$D$422,$C13,'سجل الأكشنات'!$H$2:$H$422,"تفصيلي")</f>
        <v>0</v>
      </c>
      <c r="H13" s="12" t="n">
        <f aca="false">F13-G13</f>
        <v>0</v>
      </c>
      <c r="I13" s="12" t="str">
        <f aca="false">IF($B13&gt;"2026-07-27","لا توجد بيانات بعد",IF(AND(D13=0,F13=0),"بدون نشاط","نشِط"))</f>
        <v>بدون نشاط</v>
      </c>
    </row>
    <row r="14" customFormat="false" ht="15" hidden="false" customHeight="false" outlineLevel="0" collapsed="false">
      <c r="A14" s="12" t="s">
        <v>53</v>
      </c>
      <c r="B14" s="12" t="s">
        <v>54</v>
      </c>
      <c r="C14" s="13" t="s">
        <v>20</v>
      </c>
      <c r="D14" s="12" t="n">
        <f aca="false">COUNTIFS('تفاصيل الفرص'!$B$2:$B$195,$B14,'تفاصيل الفرص'!$D$2:$D$195,$C14)</f>
        <v>0</v>
      </c>
      <c r="E14" s="12" t="n">
        <f aca="false">COUNTIFS('تفاصيل الفرص'!$B$2:$B$195,$B14,'تفاصيل الفرص'!$D$2:$D$195,$C14,'تفاصيل الفرص'!$X$2:$X$195,0)</f>
        <v>0</v>
      </c>
      <c r="F14" s="12" t="n">
        <f aca="false">COUNTIFS('سجل الأكشنات'!$B$2:$B$422,$B14,'سجل الأكشنات'!$D$2:$D$422,$C14)</f>
        <v>3</v>
      </c>
      <c r="G14" s="12" t="n">
        <f aca="false">COUNTIFS('سجل الأكشنات'!$B$2:$B$422,$B14,'سجل الأكشنات'!$D$2:$D$422,$C14,'سجل الأكشنات'!$H$2:$H$422,"تفصيلي")</f>
        <v>3</v>
      </c>
      <c r="H14" s="12" t="n">
        <f aca="false">F14-G14</f>
        <v>0</v>
      </c>
      <c r="I14" s="12" t="str">
        <f aca="false">IF($B14&gt;"2026-07-27","لا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53</v>
      </c>
      <c r="B15" s="12" t="s">
        <v>54</v>
      </c>
      <c r="C15" s="13" t="s">
        <v>22</v>
      </c>
      <c r="D15" s="12" t="n">
        <f aca="false">COUNTIFS('تفاصيل الفرص'!$B$2:$B$195,$B15,'تفاصيل الفرص'!$D$2:$D$195,$C15)</f>
        <v>1</v>
      </c>
      <c r="E15" s="12" t="n">
        <f aca="false">COUNTIFS('تفاصيل الفرص'!$B$2:$B$195,$B15,'تفاصيل الفرص'!$D$2:$D$195,$C15,'تفاصيل الفرص'!$X$2:$X$195,0)</f>
        <v>0</v>
      </c>
      <c r="F15" s="12" t="n">
        <f aca="false">COUNTIFS('سجل الأكشنات'!$B$2:$B$422,$B15,'سجل الأكشنات'!$D$2:$D$422,$C15)</f>
        <v>1</v>
      </c>
      <c r="G15" s="12" t="n">
        <f aca="false">COUNTIFS('سجل الأكشنات'!$B$2:$B$422,$B15,'سجل الأكشنات'!$D$2:$D$422,$C15,'سجل الأكشنات'!$H$2:$H$422,"تفصيلي")</f>
        <v>0</v>
      </c>
      <c r="H15" s="12" t="n">
        <f aca="false">F15-G15</f>
        <v>1</v>
      </c>
      <c r="I15" s="12" t="str">
        <f aca="false">IF($B15&gt;"2026-07-27","لا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53</v>
      </c>
      <c r="B16" s="12" t="s">
        <v>54</v>
      </c>
      <c r="C16" s="13" t="s">
        <v>24</v>
      </c>
      <c r="D16" s="12" t="n">
        <f aca="false">COUNTIFS('تفاصيل الفرص'!$B$2:$B$195,$B16,'تفاصيل الفرص'!$D$2:$D$195,$C16)</f>
        <v>1</v>
      </c>
      <c r="E16" s="12" t="n">
        <f aca="false">COUNTIFS('تفاصيل الفرص'!$B$2:$B$195,$B16,'تفاصيل الفرص'!$D$2:$D$195,$C16,'تفاصيل الفرص'!$X$2:$X$195,0)</f>
        <v>0</v>
      </c>
      <c r="F16" s="12" t="n">
        <f aca="false">COUNTIFS('سجل الأكشنات'!$B$2:$B$422,$B16,'سجل الأكشنات'!$D$2:$D$422,$C16)</f>
        <v>3</v>
      </c>
      <c r="G16" s="12" t="n">
        <f aca="false">COUNTIFS('سجل الأكشنات'!$B$2:$B$422,$B16,'سجل الأكشنات'!$D$2:$D$422,$C16,'سجل الأكشنات'!$H$2:$H$422,"تفصيلي")</f>
        <v>3</v>
      </c>
      <c r="H16" s="12" t="n">
        <f aca="false">F16-G16</f>
        <v>0</v>
      </c>
      <c r="I16" s="12" t="str">
        <f aca="false">IF($B16&gt;"2026-07-27","لا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53</v>
      </c>
      <c r="B17" s="12" t="s">
        <v>54</v>
      </c>
      <c r="C17" s="13" t="s">
        <v>26</v>
      </c>
      <c r="D17" s="12" t="n">
        <f aca="false">COUNTIFS('تفاصيل الفرص'!$B$2:$B$195,$B17,'تفاصيل الفرص'!$D$2:$D$195,$C17)</f>
        <v>0</v>
      </c>
      <c r="E17" s="12" t="n">
        <f aca="false">COUNTIFS('تفاصيل الفرص'!$B$2:$B$195,$B17,'تفاصيل الفرص'!$D$2:$D$195,$C17,'تفاصيل الفرص'!$X$2:$X$195,0)</f>
        <v>0</v>
      </c>
      <c r="F17" s="12" t="n">
        <f aca="false">COUNTIFS('سجل الأكشنات'!$B$2:$B$422,$B17,'سجل الأكشنات'!$D$2:$D$422,$C17)</f>
        <v>0</v>
      </c>
      <c r="G17" s="12" t="n">
        <f aca="false">COUNTIFS('سجل الأكشنات'!$B$2:$B$422,$B17,'سجل الأكشنات'!$D$2:$D$422,$C17,'سجل الأكشنات'!$H$2:$H$422,"تفصيلي")</f>
        <v>0</v>
      </c>
      <c r="H17" s="12" t="n">
        <f aca="false">F17-G17</f>
        <v>0</v>
      </c>
      <c r="I17" s="12" t="str">
        <f aca="false">IF($B17&gt;"2026-07-27","لا توجد بيانات بعد",IF(AND(D17=0,F17=0),"بدون نشاط","نشِط"))</f>
        <v>بدون نشاط</v>
      </c>
    </row>
    <row r="18" customFormat="false" ht="15" hidden="false" customHeight="false" outlineLevel="0" collapsed="false">
      <c r="A18" s="12" t="s">
        <v>53</v>
      </c>
      <c r="B18" s="12" t="s">
        <v>54</v>
      </c>
      <c r="C18" s="13" t="s">
        <v>28</v>
      </c>
      <c r="D18" s="12" t="n">
        <f aca="false">COUNTIFS('تفاصيل الفرص'!$B$2:$B$195,$B18,'تفاصيل الفرص'!$D$2:$D$195,$C18)</f>
        <v>0</v>
      </c>
      <c r="E18" s="12" t="n">
        <f aca="false">COUNTIFS('تفاصيل الفرص'!$B$2:$B$195,$B18,'تفاصيل الفرص'!$D$2:$D$195,$C18,'تفاصيل الفرص'!$X$2:$X$195,0)</f>
        <v>0</v>
      </c>
      <c r="F18" s="12" t="n">
        <f aca="false">COUNTIFS('سجل الأكشنات'!$B$2:$B$422,$B18,'سجل الأكشنات'!$D$2:$D$422,$C18)</f>
        <v>6</v>
      </c>
      <c r="G18" s="12" t="n">
        <f aca="false">COUNTIFS('سجل الأكشنات'!$B$2:$B$422,$B18,'سجل الأكشنات'!$D$2:$D$422,$C18,'سجل الأكشنات'!$H$2:$H$422,"تفصيلي")</f>
        <v>6</v>
      </c>
      <c r="H18" s="12" t="n">
        <f aca="false">F18-G18</f>
        <v>0</v>
      </c>
      <c r="I18" s="12" t="str">
        <f aca="false">IF($B18&gt;"2026-07-27","لا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53</v>
      </c>
      <c r="B19" s="12" t="s">
        <v>54</v>
      </c>
      <c r="C19" s="13" t="s">
        <v>30</v>
      </c>
      <c r="D19" s="12" t="n">
        <f aca="false">COUNTIFS('تفاصيل الفرص'!$B$2:$B$195,$B19,'تفاصيل الفرص'!$D$2:$D$195,$C19)</f>
        <v>5</v>
      </c>
      <c r="E19" s="12" t="n">
        <f aca="false">COUNTIFS('تفاصيل الفرص'!$B$2:$B$195,$B19,'تفاصيل الفرص'!$D$2:$D$195,$C19,'تفاصيل الفرص'!$X$2:$X$195,0)</f>
        <v>0</v>
      </c>
      <c r="F19" s="12" t="n">
        <f aca="false">COUNTIFS('سجل الأكشنات'!$B$2:$B$422,$B19,'سجل الأكشنات'!$D$2:$D$422,$C19)</f>
        <v>5</v>
      </c>
      <c r="G19" s="12" t="n">
        <f aca="false">COUNTIFS('سجل الأكشنات'!$B$2:$B$422,$B19,'سجل الأكشنات'!$D$2:$D$422,$C19,'سجل الأكشنات'!$H$2:$H$422,"تفصيلي")</f>
        <v>5</v>
      </c>
      <c r="H19" s="12" t="n">
        <f aca="false">F19-G19</f>
        <v>0</v>
      </c>
      <c r="I19" s="12" t="str">
        <f aca="false">IF($B19&gt;"2026-07-27","لا توجد بيانات بعد",IF(AND(D19=0,F19=0),"بدون نشاط","نشِط"))</f>
        <v>نشِط</v>
      </c>
    </row>
    <row r="20" customFormat="false" ht="15" hidden="false" customHeight="false" outlineLevel="0" collapsed="false">
      <c r="A20" s="12" t="s">
        <v>53</v>
      </c>
      <c r="B20" s="12" t="s">
        <v>54</v>
      </c>
      <c r="C20" s="13" t="s">
        <v>32</v>
      </c>
      <c r="D20" s="12" t="n">
        <f aca="false">COUNTIFS('تفاصيل الفرص'!$B$2:$B$195,$B20,'تفاصيل الفرص'!$D$2:$D$195,$C20)</f>
        <v>3</v>
      </c>
      <c r="E20" s="12" t="n">
        <f aca="false">COUNTIFS('تفاصيل الفرص'!$B$2:$B$195,$B20,'تفاصيل الفرص'!$D$2:$D$195,$C20,'تفاصيل الفرص'!$X$2:$X$195,0)</f>
        <v>0</v>
      </c>
      <c r="F20" s="12" t="n">
        <f aca="false">COUNTIFS('سجل الأكشنات'!$B$2:$B$422,$B20,'سجل الأكشنات'!$D$2:$D$422,$C20)</f>
        <v>6</v>
      </c>
      <c r="G20" s="12" t="n">
        <f aca="false">COUNTIFS('سجل الأكشنات'!$B$2:$B$422,$B20,'سجل الأكشنات'!$D$2:$D$422,$C20,'سجل الأكشنات'!$H$2:$H$422,"تفصيلي")</f>
        <v>5</v>
      </c>
      <c r="H20" s="12" t="n">
        <f aca="false">F20-G20</f>
        <v>1</v>
      </c>
      <c r="I20" s="12" t="str">
        <f aca="false">IF($B20&gt;"2026-07-27","لا توجد بيانات بعد",IF(AND(D20=0,F20=0),"بدون نشاط","نشِط"))</f>
        <v>نشِط</v>
      </c>
    </row>
    <row r="21" customFormat="false" ht="15" hidden="false" customHeight="false" outlineLevel="0" collapsed="false">
      <c r="A21" s="12" t="s">
        <v>53</v>
      </c>
      <c r="B21" s="12" t="s">
        <v>54</v>
      </c>
      <c r="C21" s="13" t="s">
        <v>34</v>
      </c>
      <c r="D21" s="12" t="n">
        <f aca="false">COUNTIFS('تفاصيل الفرص'!$B$2:$B$195,$B21,'تفاصيل الفرص'!$D$2:$D$195,$C21)</f>
        <v>0</v>
      </c>
      <c r="E21" s="12" t="n">
        <f aca="false">COUNTIFS('تفاصيل الفرص'!$B$2:$B$195,$B21,'تفاصيل الفرص'!$D$2:$D$195,$C21,'تفاصيل الفرص'!$X$2:$X$195,0)</f>
        <v>0</v>
      </c>
      <c r="F21" s="12" t="n">
        <f aca="false">COUNTIFS('سجل الأكشنات'!$B$2:$B$422,$B21,'سجل الأكشنات'!$D$2:$D$422,$C21)</f>
        <v>7</v>
      </c>
      <c r="G21" s="12" t="n">
        <f aca="false">COUNTIFS('سجل الأكشنات'!$B$2:$B$422,$B21,'سجل الأكشنات'!$D$2:$D$422,$C21,'سجل الأكشنات'!$H$2:$H$422,"تفصيلي")</f>
        <v>7</v>
      </c>
      <c r="H21" s="12" t="n">
        <f aca="false">F21-G21</f>
        <v>0</v>
      </c>
      <c r="I21" s="12" t="str">
        <f aca="false">IF($B21&gt;"2026-07-27","لا توجد بيانات بعد",IF(AND(D21=0,F21=0),"بدون نشاط","نشِط"))</f>
        <v>نشِط</v>
      </c>
    </row>
    <row r="22" customFormat="false" ht="15" hidden="false" customHeight="false" outlineLevel="0" collapsed="false">
      <c r="A22" s="5" t="s">
        <v>55</v>
      </c>
      <c r="B22" s="5" t="s">
        <v>56</v>
      </c>
      <c r="C22" s="4" t="s">
        <v>18</v>
      </c>
      <c r="D22" s="5" t="n">
        <f aca="false">COUNTIFS('تفاصيل الفرص'!$B$2:$B$195,$B22,'تفاصيل الفرص'!$D$2:$D$195,$C22)</f>
        <v>0</v>
      </c>
      <c r="E22" s="5" t="n">
        <f aca="false">COUNTIFS('تفاصيل الفرص'!$B$2:$B$195,$B22,'تفاصيل الفرص'!$D$2:$D$195,$C22,'تفاصيل الفرص'!$X$2:$X$195,0)</f>
        <v>0</v>
      </c>
      <c r="F22" s="5" t="n">
        <f aca="false">COUNTIFS('سجل الأكشنات'!$B$2:$B$422,$B22,'سجل الأكشنات'!$D$2:$D$422,$C22)</f>
        <v>2</v>
      </c>
      <c r="G22" s="5" t="n">
        <f aca="false">COUNTIFS('سجل الأكشنات'!$B$2:$B$422,$B22,'سجل الأكشنات'!$D$2:$D$422,$C22,'سجل الأكشنات'!$H$2:$H$422,"تفصيلي")</f>
        <v>2</v>
      </c>
      <c r="H22" s="5" t="n">
        <f aca="false">F22-G22</f>
        <v>0</v>
      </c>
      <c r="I22" s="5" t="str">
        <f aca="false">IF($B22&gt;"2026-07-27","لا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55</v>
      </c>
      <c r="B23" s="5" t="s">
        <v>56</v>
      </c>
      <c r="C23" s="4" t="s">
        <v>20</v>
      </c>
      <c r="D23" s="5" t="n">
        <f aca="false">COUNTIFS('تفاصيل الفرص'!$B$2:$B$195,$B23,'تفاصيل الفرص'!$D$2:$D$195,$C23)</f>
        <v>0</v>
      </c>
      <c r="E23" s="5" t="n">
        <f aca="false">COUNTIFS('تفاصيل الفرص'!$B$2:$B$195,$B23,'تفاصيل الفرص'!$D$2:$D$195,$C23,'تفاصيل الفرص'!$X$2:$X$195,0)</f>
        <v>0</v>
      </c>
      <c r="F23" s="5" t="n">
        <f aca="false">COUNTIFS('سجل الأكشنات'!$B$2:$B$422,$B23,'سجل الأكشنات'!$D$2:$D$422,$C23)</f>
        <v>0</v>
      </c>
      <c r="G23" s="5" t="n">
        <f aca="false">COUNTIFS('سجل الأكشنات'!$B$2:$B$422,$B23,'سجل الأكشنات'!$D$2:$D$422,$C23,'سجل الأكشنات'!$H$2:$H$422,"تفصيلي")</f>
        <v>0</v>
      </c>
      <c r="H23" s="5" t="n">
        <f aca="false">F23-G23</f>
        <v>0</v>
      </c>
      <c r="I23" s="5" t="str">
        <f aca="false">IF($B23&gt;"2026-07-27","لا توجد بيانات بعد",IF(AND(D23=0,F23=0),"بدون نشاط","نشِط"))</f>
        <v>بدون نشاط</v>
      </c>
    </row>
    <row r="24" customFormat="false" ht="15" hidden="false" customHeight="false" outlineLevel="0" collapsed="false">
      <c r="A24" s="5" t="s">
        <v>55</v>
      </c>
      <c r="B24" s="5" t="s">
        <v>56</v>
      </c>
      <c r="C24" s="4" t="s">
        <v>22</v>
      </c>
      <c r="D24" s="5" t="n">
        <f aca="false">COUNTIFS('تفاصيل الفرص'!$B$2:$B$195,$B24,'تفاصيل الفرص'!$D$2:$D$195,$C24)</f>
        <v>0</v>
      </c>
      <c r="E24" s="5" t="n">
        <f aca="false">COUNTIFS('تفاصيل الفرص'!$B$2:$B$195,$B24,'تفاصيل الفرص'!$D$2:$D$195,$C24,'تفاصيل الفرص'!$X$2:$X$195,0)</f>
        <v>0</v>
      </c>
      <c r="F24" s="5" t="n">
        <f aca="false">COUNTIFS('سجل الأكشنات'!$B$2:$B$422,$B24,'سجل الأكشنات'!$D$2:$D$422,$C24)</f>
        <v>0</v>
      </c>
      <c r="G24" s="5" t="n">
        <f aca="false">COUNTIFS('سجل الأكشنات'!$B$2:$B$422,$B24,'سجل الأكشنات'!$D$2:$D$422,$C24,'سجل الأكشنات'!$H$2:$H$422,"تفصيلي")</f>
        <v>0</v>
      </c>
      <c r="H24" s="5" t="n">
        <f aca="false">F24-G24</f>
        <v>0</v>
      </c>
      <c r="I24" s="5" t="str">
        <f aca="false">IF($B24&gt;"2026-07-27","لا توجد بيانات بعد",IF(AND(D24=0,F24=0),"بدون نشاط","نشِط"))</f>
        <v>بدون نشاط</v>
      </c>
    </row>
    <row r="25" customFormat="false" ht="15" hidden="false" customHeight="false" outlineLevel="0" collapsed="false">
      <c r="A25" s="5" t="s">
        <v>55</v>
      </c>
      <c r="B25" s="5" t="s">
        <v>56</v>
      </c>
      <c r="C25" s="4" t="s">
        <v>24</v>
      </c>
      <c r="D25" s="5" t="n">
        <f aca="false">COUNTIFS('تفاصيل الفرص'!$B$2:$B$195,$B25,'تفاصيل الفرص'!$D$2:$D$195,$C25)</f>
        <v>0</v>
      </c>
      <c r="E25" s="5" t="n">
        <f aca="false">COUNTIFS('تفاصيل الفرص'!$B$2:$B$195,$B25,'تفاصيل الفرص'!$D$2:$D$195,$C25,'تفاصيل الفرص'!$X$2:$X$195,0)</f>
        <v>0</v>
      </c>
      <c r="F25" s="5" t="n">
        <f aca="false">COUNTIFS('سجل الأكشنات'!$B$2:$B$422,$B25,'سجل الأكشنات'!$D$2:$D$422,$C25)</f>
        <v>0</v>
      </c>
      <c r="G25" s="5" t="n">
        <f aca="false">COUNTIFS('سجل الأكشنات'!$B$2:$B$422,$B25,'سجل الأكشنات'!$D$2:$D$422,$C25,'سجل الأكشنات'!$H$2:$H$422,"تفصيلي")</f>
        <v>0</v>
      </c>
      <c r="H25" s="5" t="n">
        <f aca="false">F25-G25</f>
        <v>0</v>
      </c>
      <c r="I25" s="5" t="str">
        <f aca="false">IF($B25&gt;"2026-07-27","لا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55</v>
      </c>
      <c r="B26" s="5" t="s">
        <v>56</v>
      </c>
      <c r="C26" s="4" t="s">
        <v>26</v>
      </c>
      <c r="D26" s="5" t="n">
        <f aca="false">COUNTIFS('تفاصيل الفرص'!$B$2:$B$195,$B26,'تفاصيل الفرص'!$D$2:$D$195,$C26)</f>
        <v>0</v>
      </c>
      <c r="E26" s="5" t="n">
        <f aca="false">COUNTIFS('تفاصيل الفرص'!$B$2:$B$195,$B26,'تفاصيل الفرص'!$D$2:$D$195,$C26,'تفاصيل الفرص'!$X$2:$X$195,0)</f>
        <v>0</v>
      </c>
      <c r="F26" s="5" t="n">
        <f aca="false">COUNTIFS('سجل الأكشنات'!$B$2:$B$422,$B26,'سجل الأكشنات'!$D$2:$D$422,$C26)</f>
        <v>0</v>
      </c>
      <c r="G26" s="5" t="n">
        <f aca="false">COUNTIFS('سجل الأكشنات'!$B$2:$B$422,$B26,'سجل الأكشنات'!$D$2:$D$422,$C26,'سجل الأكشنات'!$H$2:$H$422,"تفصيلي")</f>
        <v>0</v>
      </c>
      <c r="H26" s="5" t="n">
        <f aca="false">F26-G26</f>
        <v>0</v>
      </c>
      <c r="I26" s="5" t="str">
        <f aca="false">IF($B26&gt;"2026-07-27","لا توجد بيانات بعد",IF(AND(D26=0,F26=0),"بدون نشاط","نشِط"))</f>
        <v>بدون نشاط</v>
      </c>
    </row>
    <row r="27" customFormat="false" ht="15" hidden="false" customHeight="false" outlineLevel="0" collapsed="false">
      <c r="A27" s="5" t="s">
        <v>55</v>
      </c>
      <c r="B27" s="5" t="s">
        <v>56</v>
      </c>
      <c r="C27" s="4" t="s">
        <v>28</v>
      </c>
      <c r="D27" s="5" t="n">
        <f aca="false">COUNTIFS('تفاصيل الفرص'!$B$2:$B$195,$B27,'تفاصيل الفرص'!$D$2:$D$195,$C27)</f>
        <v>0</v>
      </c>
      <c r="E27" s="5" t="n">
        <f aca="false">COUNTIFS('تفاصيل الفرص'!$B$2:$B$195,$B27,'تفاصيل الفرص'!$D$2:$D$195,$C27,'تفاصيل الفرص'!$X$2:$X$195,0)</f>
        <v>0</v>
      </c>
      <c r="F27" s="5" t="n">
        <f aca="false">COUNTIFS('سجل الأكشنات'!$B$2:$B$422,$B27,'سجل الأكشنات'!$D$2:$D$422,$C27)</f>
        <v>0</v>
      </c>
      <c r="G27" s="5" t="n">
        <f aca="false">COUNTIFS('سجل الأكشنات'!$B$2:$B$422,$B27,'سجل الأكشنات'!$D$2:$D$422,$C27,'سجل الأكشنات'!$H$2:$H$422,"تفصيلي")</f>
        <v>0</v>
      </c>
      <c r="H27" s="5" t="n">
        <f aca="false">F27-G27</f>
        <v>0</v>
      </c>
      <c r="I27" s="5" t="str">
        <f aca="false">IF($B27&gt;"2026-07-27","لا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5" t="s">
        <v>55</v>
      </c>
      <c r="B28" s="5" t="s">
        <v>56</v>
      </c>
      <c r="C28" s="4" t="s">
        <v>30</v>
      </c>
      <c r="D28" s="5" t="n">
        <f aca="false">COUNTIFS('تفاصيل الفرص'!$B$2:$B$195,$B28,'تفاصيل الفرص'!$D$2:$D$195,$C28)</f>
        <v>0</v>
      </c>
      <c r="E28" s="5" t="n">
        <f aca="false">COUNTIFS('تفاصيل الفرص'!$B$2:$B$195,$B28,'تفاصيل الفرص'!$D$2:$D$195,$C28,'تفاصيل الفرص'!$X$2:$X$195,0)</f>
        <v>0</v>
      </c>
      <c r="F28" s="5" t="n">
        <f aca="false">COUNTIFS('سجل الأكشنات'!$B$2:$B$422,$B28,'سجل الأكشنات'!$D$2:$D$422,$C28)</f>
        <v>0</v>
      </c>
      <c r="G28" s="5" t="n">
        <f aca="false">COUNTIFS('سجل الأكشنات'!$B$2:$B$422,$B28,'سجل الأكشنات'!$D$2:$D$422,$C28,'سجل الأكشنات'!$H$2:$H$422,"تفصيلي")</f>
        <v>0</v>
      </c>
      <c r="H28" s="5" t="n">
        <f aca="false">F28-G28</f>
        <v>0</v>
      </c>
      <c r="I28" s="5" t="str">
        <f aca="false">IF($B28&gt;"2026-07-27","لا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5" t="s">
        <v>55</v>
      </c>
      <c r="B29" s="5" t="s">
        <v>56</v>
      </c>
      <c r="C29" s="4" t="s">
        <v>32</v>
      </c>
      <c r="D29" s="5" t="n">
        <f aca="false">COUNTIFS('تفاصيل الفرص'!$B$2:$B$195,$B29,'تفاصيل الفرص'!$D$2:$D$195,$C29)</f>
        <v>0</v>
      </c>
      <c r="E29" s="5" t="n">
        <f aca="false">COUNTIFS('تفاصيل الفرص'!$B$2:$B$195,$B29,'تفاصيل الفرص'!$D$2:$D$195,$C29,'تفاصيل الفرص'!$X$2:$X$195,0)</f>
        <v>0</v>
      </c>
      <c r="F29" s="5" t="n">
        <f aca="false">COUNTIFS('سجل الأكشنات'!$B$2:$B$422,$B29,'سجل الأكشنات'!$D$2:$D$422,$C29)</f>
        <v>0</v>
      </c>
      <c r="G29" s="5" t="n">
        <f aca="false">COUNTIFS('سجل الأكشنات'!$B$2:$B$422,$B29,'سجل الأكشنات'!$D$2:$D$422,$C29,'سجل الأكشنات'!$H$2:$H$422,"تفصيلي")</f>
        <v>0</v>
      </c>
      <c r="H29" s="5" t="n">
        <f aca="false">F29-G29</f>
        <v>0</v>
      </c>
      <c r="I29" s="5" t="str">
        <f aca="false">IF($B29&gt;"2026-07-27","لا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5" t="s">
        <v>55</v>
      </c>
      <c r="B30" s="5" t="s">
        <v>56</v>
      </c>
      <c r="C30" s="4" t="s">
        <v>34</v>
      </c>
      <c r="D30" s="5" t="n">
        <f aca="false">COUNTIFS('تفاصيل الفرص'!$B$2:$B$195,$B30,'تفاصيل الفرص'!$D$2:$D$195,$C30)</f>
        <v>0</v>
      </c>
      <c r="E30" s="5" t="n">
        <f aca="false">COUNTIFS('تفاصيل الفرص'!$B$2:$B$195,$B30,'تفاصيل الفرص'!$D$2:$D$195,$C30,'تفاصيل الفرص'!$X$2:$X$195,0)</f>
        <v>0</v>
      </c>
      <c r="F30" s="5" t="n">
        <f aca="false">COUNTIFS('سجل الأكشنات'!$B$2:$B$422,$B30,'سجل الأكشنات'!$D$2:$D$422,$C30)</f>
        <v>0</v>
      </c>
      <c r="G30" s="5" t="n">
        <f aca="false">COUNTIFS('سجل الأكشنات'!$B$2:$B$422,$B30,'سجل الأكشنات'!$D$2:$D$422,$C30,'سجل الأكشنات'!$H$2:$H$422,"تفصيلي")</f>
        <v>0</v>
      </c>
      <c r="H30" s="5" t="n">
        <f aca="false">F30-G30</f>
        <v>0</v>
      </c>
      <c r="I30" s="5" t="str">
        <f aca="false">IF($B30&gt;"2026-07-27","لا توجد بيانات بعد",IF(AND(D30=0,F30=0),"بدون نشاط","نشِط"))</f>
        <v>بدون نشاط</v>
      </c>
    </row>
    <row r="31" customFormat="false" ht="15" hidden="false" customHeight="false" outlineLevel="0" collapsed="false">
      <c r="A31" s="12" t="s">
        <v>57</v>
      </c>
      <c r="B31" s="12" t="s">
        <v>58</v>
      </c>
      <c r="C31" s="13" t="s">
        <v>18</v>
      </c>
      <c r="D31" s="12" t="n">
        <f aca="false">COUNTIFS('تفاصيل الفرص'!$B$2:$B$195,$B31,'تفاصيل الفرص'!$D$2:$D$195,$C31)</f>
        <v>3</v>
      </c>
      <c r="E31" s="12" t="n">
        <f aca="false">COUNTIFS('تفاصيل الفرص'!$B$2:$B$195,$B31,'تفاصيل الفرص'!$D$2:$D$195,$C31,'تفاصيل الفرص'!$X$2:$X$195,0)</f>
        <v>0</v>
      </c>
      <c r="F31" s="12" t="n">
        <f aca="false">COUNTIFS('سجل الأكشنات'!$B$2:$B$422,$B31,'سجل الأكشنات'!$D$2:$D$422,$C31)</f>
        <v>9</v>
      </c>
      <c r="G31" s="12" t="n">
        <f aca="false">COUNTIFS('سجل الأكشنات'!$B$2:$B$422,$B31,'سجل الأكشنات'!$D$2:$D$422,$C31,'سجل الأكشنات'!$H$2:$H$422,"تفصيلي")</f>
        <v>8</v>
      </c>
      <c r="H31" s="12" t="n">
        <f aca="false">F31-G31</f>
        <v>1</v>
      </c>
      <c r="I31" s="12" t="str">
        <f aca="false">IF($B31&gt;"2026-07-27","لا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57</v>
      </c>
      <c r="B32" s="12" t="s">
        <v>58</v>
      </c>
      <c r="C32" s="13" t="s">
        <v>20</v>
      </c>
      <c r="D32" s="12" t="n">
        <f aca="false">COUNTIFS('تفاصيل الفرص'!$B$2:$B$195,$B32,'تفاصيل الفرص'!$D$2:$D$195,$C32)</f>
        <v>6</v>
      </c>
      <c r="E32" s="12" t="n">
        <f aca="false">COUNTIFS('تفاصيل الفرص'!$B$2:$B$195,$B32,'تفاصيل الفرص'!$D$2:$D$195,$C32,'تفاصيل الفرص'!$X$2:$X$195,0)</f>
        <v>0</v>
      </c>
      <c r="F32" s="12" t="n">
        <f aca="false">COUNTIFS('سجل الأكشنات'!$B$2:$B$422,$B32,'سجل الأكشنات'!$D$2:$D$422,$C32)</f>
        <v>6</v>
      </c>
      <c r="G32" s="12" t="n">
        <f aca="false">COUNTIFS('سجل الأكشنات'!$B$2:$B$422,$B32,'سجل الأكشنات'!$D$2:$D$422,$C32,'سجل الأكشنات'!$H$2:$H$422,"تفصيلي")</f>
        <v>6</v>
      </c>
      <c r="H32" s="12" t="n">
        <f aca="false">F32-G32</f>
        <v>0</v>
      </c>
      <c r="I32" s="12" t="str">
        <f aca="false">IF($B32&gt;"2026-07-27","لا توجد بيانات بعد",IF(AND(D32=0,F32=0),"بدون نشاط","نشِط"))</f>
        <v>نشِط</v>
      </c>
    </row>
    <row r="33" customFormat="false" ht="15" hidden="false" customHeight="false" outlineLevel="0" collapsed="false">
      <c r="A33" s="12" t="s">
        <v>57</v>
      </c>
      <c r="B33" s="12" t="s">
        <v>58</v>
      </c>
      <c r="C33" s="13" t="s">
        <v>22</v>
      </c>
      <c r="D33" s="12" t="n">
        <f aca="false">COUNTIFS('تفاصيل الفرص'!$B$2:$B$195,$B33,'تفاصيل الفرص'!$D$2:$D$195,$C33)</f>
        <v>1</v>
      </c>
      <c r="E33" s="12" t="n">
        <f aca="false">COUNTIFS('تفاصيل الفرص'!$B$2:$B$195,$B33,'تفاصيل الفرص'!$D$2:$D$195,$C33,'تفاصيل الفرص'!$X$2:$X$195,0)</f>
        <v>0</v>
      </c>
      <c r="F33" s="12" t="n">
        <f aca="false">COUNTIFS('سجل الأكشنات'!$B$2:$B$422,$B33,'سجل الأكشنات'!$D$2:$D$422,$C33)</f>
        <v>2</v>
      </c>
      <c r="G33" s="12" t="n">
        <f aca="false">COUNTIFS('سجل الأكشنات'!$B$2:$B$422,$B33,'سجل الأكشنات'!$D$2:$D$422,$C33,'سجل الأكشنات'!$H$2:$H$422,"تفصيلي")</f>
        <v>0</v>
      </c>
      <c r="H33" s="12" t="n">
        <f aca="false">F33-G33</f>
        <v>2</v>
      </c>
      <c r="I33" s="12" t="str">
        <f aca="false">IF($B33&gt;"2026-07-27","لا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57</v>
      </c>
      <c r="B34" s="12" t="s">
        <v>58</v>
      </c>
      <c r="C34" s="13" t="s">
        <v>24</v>
      </c>
      <c r="D34" s="12" t="n">
        <f aca="false">COUNTIFS('تفاصيل الفرص'!$B$2:$B$195,$B34,'تفاصيل الفرص'!$D$2:$D$195,$C34)</f>
        <v>0</v>
      </c>
      <c r="E34" s="12" t="n">
        <f aca="false">COUNTIFS('تفاصيل الفرص'!$B$2:$B$195,$B34,'تفاصيل الفرص'!$D$2:$D$195,$C34,'تفاصيل الفرص'!$X$2:$X$195,0)</f>
        <v>0</v>
      </c>
      <c r="F34" s="12" t="n">
        <f aca="false">COUNTIFS('سجل الأكشنات'!$B$2:$B$422,$B34,'سجل الأكشنات'!$D$2:$D$422,$C34)</f>
        <v>6</v>
      </c>
      <c r="G34" s="12" t="n">
        <f aca="false">COUNTIFS('سجل الأكشنات'!$B$2:$B$422,$B34,'سجل الأكشنات'!$D$2:$D$422,$C34,'سجل الأكشنات'!$H$2:$H$422,"تفصيلي")</f>
        <v>5</v>
      </c>
      <c r="H34" s="12" t="n">
        <f aca="false">F34-G34</f>
        <v>1</v>
      </c>
      <c r="I34" s="12" t="str">
        <f aca="false">IF($B34&gt;"2026-07-27","لا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57</v>
      </c>
      <c r="B35" s="12" t="s">
        <v>58</v>
      </c>
      <c r="C35" s="13" t="s">
        <v>26</v>
      </c>
      <c r="D35" s="12" t="n">
        <f aca="false">COUNTIFS('تفاصيل الفرص'!$B$2:$B$195,$B35,'تفاصيل الفرص'!$D$2:$D$195,$C35)</f>
        <v>0</v>
      </c>
      <c r="E35" s="12" t="n">
        <f aca="false">COUNTIFS('تفاصيل الفرص'!$B$2:$B$195,$B35,'تفاصيل الفرص'!$D$2:$D$195,$C35,'تفاصيل الفرص'!$X$2:$X$195,0)</f>
        <v>0</v>
      </c>
      <c r="F35" s="12" t="n">
        <f aca="false">COUNTIFS('سجل الأكشنات'!$B$2:$B$422,$B35,'سجل الأكشنات'!$D$2:$D$422,$C35)</f>
        <v>3</v>
      </c>
      <c r="G35" s="12" t="n">
        <f aca="false">COUNTIFS('سجل الأكشنات'!$B$2:$B$422,$B35,'سجل الأكشنات'!$D$2:$D$422,$C35,'سجل الأكشنات'!$H$2:$H$422,"تفصيلي")</f>
        <v>3</v>
      </c>
      <c r="H35" s="12" t="n">
        <f aca="false">F35-G35</f>
        <v>0</v>
      </c>
      <c r="I35" s="12" t="str">
        <f aca="false">IF($B35&gt;"2026-07-27","لا توجد بيانات بعد",IF(AND(D35=0,F35=0),"بدون نشاط","نشِط"))</f>
        <v>نشِط</v>
      </c>
    </row>
    <row r="36" customFormat="false" ht="15" hidden="false" customHeight="false" outlineLevel="0" collapsed="false">
      <c r="A36" s="12" t="s">
        <v>57</v>
      </c>
      <c r="B36" s="12" t="s">
        <v>58</v>
      </c>
      <c r="C36" s="13" t="s">
        <v>28</v>
      </c>
      <c r="D36" s="12" t="n">
        <f aca="false">COUNTIFS('تفاصيل الفرص'!$B$2:$B$195,$B36,'تفاصيل الفرص'!$D$2:$D$195,$C36)</f>
        <v>0</v>
      </c>
      <c r="E36" s="12" t="n">
        <f aca="false">COUNTIFS('تفاصيل الفرص'!$B$2:$B$195,$B36,'تفاصيل الفرص'!$D$2:$D$195,$C36,'تفاصيل الفرص'!$X$2:$X$195,0)</f>
        <v>0</v>
      </c>
      <c r="F36" s="12" t="n">
        <f aca="false">COUNTIFS('سجل الأكشنات'!$B$2:$B$422,$B36,'سجل الأكشنات'!$D$2:$D$422,$C36)</f>
        <v>4</v>
      </c>
      <c r="G36" s="12" t="n">
        <f aca="false">COUNTIFS('سجل الأكشنات'!$B$2:$B$422,$B36,'سجل الأكشنات'!$D$2:$D$422,$C36,'سجل الأكشنات'!$H$2:$H$422,"تفصيلي")</f>
        <v>4</v>
      </c>
      <c r="H36" s="12" t="n">
        <f aca="false">F36-G36</f>
        <v>0</v>
      </c>
      <c r="I36" s="12" t="str">
        <f aca="false">IF($B36&gt;"2026-07-27","لا توجد بيانات بعد",IF(AND(D36=0,F36=0),"بدون نشاط","نشِط"))</f>
        <v>نشِط</v>
      </c>
    </row>
    <row r="37" customFormat="false" ht="15" hidden="false" customHeight="false" outlineLevel="0" collapsed="false">
      <c r="A37" s="12" t="s">
        <v>57</v>
      </c>
      <c r="B37" s="12" t="s">
        <v>58</v>
      </c>
      <c r="C37" s="13" t="s">
        <v>30</v>
      </c>
      <c r="D37" s="12" t="n">
        <f aca="false">COUNTIFS('تفاصيل الفرص'!$B$2:$B$195,$B37,'تفاصيل الفرص'!$D$2:$D$195,$C37)</f>
        <v>8</v>
      </c>
      <c r="E37" s="12" t="n">
        <f aca="false">COUNTIFS('تفاصيل الفرص'!$B$2:$B$195,$B37,'تفاصيل الفرص'!$D$2:$D$195,$C37,'تفاصيل الفرص'!$X$2:$X$195,0)</f>
        <v>0</v>
      </c>
      <c r="F37" s="12" t="n">
        <f aca="false">COUNTIFS('سجل الأكشنات'!$B$2:$B$422,$B37,'سجل الأكشنات'!$D$2:$D$422,$C37)</f>
        <v>8</v>
      </c>
      <c r="G37" s="12" t="n">
        <f aca="false">COUNTIFS('سجل الأكشنات'!$B$2:$B$422,$B37,'سجل الأكشنات'!$D$2:$D$422,$C37,'سجل الأكشنات'!$H$2:$H$422,"تفصيلي")</f>
        <v>8</v>
      </c>
      <c r="H37" s="12" t="n">
        <f aca="false">F37-G37</f>
        <v>0</v>
      </c>
      <c r="I37" s="12" t="str">
        <f aca="false">IF($B37&gt;"2026-07-27","لا توجد بيانات بعد",IF(AND(D37=0,F37=0),"بدون نشاط","نشِط"))</f>
        <v>نشِط</v>
      </c>
    </row>
    <row r="38" customFormat="false" ht="15" hidden="false" customHeight="false" outlineLevel="0" collapsed="false">
      <c r="A38" s="12" t="s">
        <v>57</v>
      </c>
      <c r="B38" s="12" t="s">
        <v>58</v>
      </c>
      <c r="C38" s="13" t="s">
        <v>32</v>
      </c>
      <c r="D38" s="12" t="n">
        <f aca="false">COUNTIFS('تفاصيل الفرص'!$B$2:$B$195,$B38,'تفاصيل الفرص'!$D$2:$D$195,$C38)</f>
        <v>6</v>
      </c>
      <c r="E38" s="12" t="n">
        <f aca="false">COUNTIFS('تفاصيل الفرص'!$B$2:$B$195,$B38,'تفاصيل الفرص'!$D$2:$D$195,$C38,'تفاصيل الفرص'!$X$2:$X$195,0)</f>
        <v>0</v>
      </c>
      <c r="F38" s="12" t="n">
        <f aca="false">COUNTIFS('سجل الأكشنات'!$B$2:$B$422,$B38,'سجل الأكشنات'!$D$2:$D$422,$C38)</f>
        <v>7</v>
      </c>
      <c r="G38" s="12" t="n">
        <f aca="false">COUNTIFS('سجل الأكشنات'!$B$2:$B$422,$B38,'سجل الأكشنات'!$D$2:$D$422,$C38,'سجل الأكشنات'!$H$2:$H$422,"تفصيلي")</f>
        <v>7</v>
      </c>
      <c r="H38" s="12" t="n">
        <f aca="false">F38-G38</f>
        <v>0</v>
      </c>
      <c r="I38" s="12" t="str">
        <f aca="false">IF($B38&gt;"2026-07-27","لا توجد بيانات بعد",IF(AND(D38=0,F38=0),"بدون نشاط","نشِط"))</f>
        <v>نشِط</v>
      </c>
    </row>
    <row r="39" customFormat="false" ht="15" hidden="false" customHeight="false" outlineLevel="0" collapsed="false">
      <c r="A39" s="12" t="s">
        <v>57</v>
      </c>
      <c r="B39" s="12" t="s">
        <v>58</v>
      </c>
      <c r="C39" s="13" t="s">
        <v>34</v>
      </c>
      <c r="D39" s="12" t="n">
        <f aca="false">COUNTIFS('تفاصيل الفرص'!$B$2:$B$195,$B39,'تفاصيل الفرص'!$D$2:$D$195,$C39)</f>
        <v>0</v>
      </c>
      <c r="E39" s="12" t="n">
        <f aca="false">COUNTIFS('تفاصيل الفرص'!$B$2:$B$195,$B39,'تفاصيل الفرص'!$D$2:$D$195,$C39,'تفاصيل الفرص'!$X$2:$X$195,0)</f>
        <v>0</v>
      </c>
      <c r="F39" s="12" t="n">
        <f aca="false">COUNTIFS('سجل الأكشنات'!$B$2:$B$422,$B39,'سجل الأكشنات'!$D$2:$D$422,$C39)</f>
        <v>0</v>
      </c>
      <c r="G39" s="12" t="n">
        <f aca="false">COUNTIFS('سجل الأكشنات'!$B$2:$B$422,$B39,'سجل الأكشنات'!$D$2:$D$422,$C39,'سجل الأكشنات'!$H$2:$H$422,"تفصيلي")</f>
        <v>0</v>
      </c>
      <c r="H39" s="12" t="n">
        <f aca="false">F39-G39</f>
        <v>0</v>
      </c>
      <c r="I39" s="12" t="str">
        <f aca="false">IF($B39&gt;"2026-07-27","لا توجد بيانات بعد",IF(AND(D39=0,F39=0),"بدون نشاط","نشِط"))</f>
        <v>بدون نشاط</v>
      </c>
    </row>
    <row r="40" customFormat="false" ht="15" hidden="false" customHeight="false" outlineLevel="0" collapsed="false">
      <c r="A40" s="5" t="s">
        <v>59</v>
      </c>
      <c r="B40" s="5" t="s">
        <v>60</v>
      </c>
      <c r="C40" s="4" t="s">
        <v>18</v>
      </c>
      <c r="D40" s="5" t="n">
        <f aca="false">COUNTIFS('تفاصيل الفرص'!$B$2:$B$195,$B40,'تفاصيل الفرص'!$D$2:$D$195,$C40)</f>
        <v>4</v>
      </c>
      <c r="E40" s="5" t="n">
        <f aca="false">COUNTIFS('تفاصيل الفرص'!$B$2:$B$195,$B40,'تفاصيل الفرص'!$D$2:$D$195,$C40,'تفاصيل الفرص'!$X$2:$X$195,0)</f>
        <v>0</v>
      </c>
      <c r="F40" s="5" t="n">
        <f aca="false">COUNTIFS('سجل الأكشنات'!$B$2:$B$422,$B40,'سجل الأكشنات'!$D$2:$D$422,$C40)</f>
        <v>5</v>
      </c>
      <c r="G40" s="5" t="n">
        <f aca="false">COUNTIFS('سجل الأكشنات'!$B$2:$B$422,$B40,'سجل الأكشنات'!$D$2:$D$422,$C40,'سجل الأكشنات'!$H$2:$H$422,"تفصيلي")</f>
        <v>4</v>
      </c>
      <c r="H40" s="5" t="n">
        <f aca="false">F40-G40</f>
        <v>1</v>
      </c>
      <c r="I40" s="5" t="str">
        <f aca="false">IF($B40&gt;"2026-07-27","لا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59</v>
      </c>
      <c r="B41" s="5" t="s">
        <v>60</v>
      </c>
      <c r="C41" s="4" t="s">
        <v>20</v>
      </c>
      <c r="D41" s="5" t="n">
        <f aca="false">COUNTIFS('تفاصيل الفرص'!$B$2:$B$195,$B41,'تفاصيل الفرص'!$D$2:$D$195,$C41)</f>
        <v>6</v>
      </c>
      <c r="E41" s="5" t="n">
        <f aca="false">COUNTIFS('تفاصيل الفرص'!$B$2:$B$195,$B41,'تفاصيل الفرص'!$D$2:$D$195,$C41,'تفاصيل الفرص'!$X$2:$X$195,0)</f>
        <v>0</v>
      </c>
      <c r="F41" s="5" t="n">
        <f aca="false">COUNTIFS('سجل الأكشنات'!$B$2:$B$422,$B41,'سجل الأكشنات'!$D$2:$D$422,$C41)</f>
        <v>7</v>
      </c>
      <c r="G41" s="5" t="n">
        <f aca="false">COUNTIFS('سجل الأكشنات'!$B$2:$B$422,$B41,'سجل الأكشنات'!$D$2:$D$422,$C41,'سجل الأكشنات'!$H$2:$H$422,"تفصيلي")</f>
        <v>7</v>
      </c>
      <c r="H41" s="5" t="n">
        <f aca="false">F41-G41</f>
        <v>0</v>
      </c>
      <c r="I41" s="5" t="str">
        <f aca="false">IF($B41&gt;"2026-07-27","لا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59</v>
      </c>
      <c r="B42" s="5" t="s">
        <v>60</v>
      </c>
      <c r="C42" s="4" t="s">
        <v>22</v>
      </c>
      <c r="D42" s="5" t="n">
        <f aca="false">COUNTIFS('تفاصيل الفرص'!$B$2:$B$195,$B42,'تفاصيل الفرص'!$D$2:$D$195,$C42)</f>
        <v>2</v>
      </c>
      <c r="E42" s="5" t="n">
        <f aca="false">COUNTIFS('تفاصيل الفرص'!$B$2:$B$195,$B42,'تفاصيل الفرص'!$D$2:$D$195,$C42,'تفاصيل الفرص'!$X$2:$X$195,0)</f>
        <v>0</v>
      </c>
      <c r="F42" s="5" t="n">
        <f aca="false">COUNTIFS('سجل الأكشنات'!$B$2:$B$422,$B42,'سجل الأكشنات'!$D$2:$D$422,$C42)</f>
        <v>2</v>
      </c>
      <c r="G42" s="5" t="n">
        <f aca="false">COUNTIFS('سجل الأكشنات'!$B$2:$B$422,$B42,'سجل الأكشنات'!$D$2:$D$422,$C42,'سجل الأكشنات'!$H$2:$H$422,"تفصيلي")</f>
        <v>1</v>
      </c>
      <c r="H42" s="5" t="n">
        <f aca="false">F42-G42</f>
        <v>1</v>
      </c>
      <c r="I42" s="5" t="str">
        <f aca="false">IF($B42&gt;"2026-07-27","لا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59</v>
      </c>
      <c r="B43" s="5" t="s">
        <v>60</v>
      </c>
      <c r="C43" s="4" t="s">
        <v>24</v>
      </c>
      <c r="D43" s="5" t="n">
        <f aca="false">COUNTIFS('تفاصيل الفرص'!$B$2:$B$195,$B43,'تفاصيل الفرص'!$D$2:$D$195,$C43)</f>
        <v>2</v>
      </c>
      <c r="E43" s="5" t="n">
        <f aca="false">COUNTIFS('تفاصيل الفرص'!$B$2:$B$195,$B43,'تفاصيل الفرص'!$D$2:$D$195,$C43,'تفاصيل الفرص'!$X$2:$X$195,0)</f>
        <v>0</v>
      </c>
      <c r="F43" s="5" t="n">
        <f aca="false">COUNTIFS('سجل الأكشنات'!$B$2:$B$422,$B43,'سجل الأكشنات'!$D$2:$D$422,$C43)</f>
        <v>5</v>
      </c>
      <c r="G43" s="5" t="n">
        <f aca="false">COUNTIFS('سجل الأكشنات'!$B$2:$B$422,$B43,'سجل الأكشنات'!$D$2:$D$422,$C43,'سجل الأكشنات'!$H$2:$H$422,"تفصيلي")</f>
        <v>5</v>
      </c>
      <c r="H43" s="5" t="n">
        <f aca="false">F43-G43</f>
        <v>0</v>
      </c>
      <c r="I43" s="5" t="str">
        <f aca="false">IF($B43&gt;"2026-07-27","لا توجد بيانات بعد",IF(AND(D43=0,F43=0),"بدون نشاط","نشِط"))</f>
        <v>نشِط</v>
      </c>
    </row>
    <row r="44" customFormat="false" ht="15" hidden="false" customHeight="false" outlineLevel="0" collapsed="false">
      <c r="A44" s="5" t="s">
        <v>59</v>
      </c>
      <c r="B44" s="5" t="s">
        <v>60</v>
      </c>
      <c r="C44" s="4" t="s">
        <v>26</v>
      </c>
      <c r="D44" s="5" t="n">
        <f aca="false">COUNTIFS('تفاصيل الفرص'!$B$2:$B$195,$B44,'تفاصيل الفرص'!$D$2:$D$195,$C44)</f>
        <v>2</v>
      </c>
      <c r="E44" s="5" t="n">
        <f aca="false">COUNTIFS('تفاصيل الفرص'!$B$2:$B$195,$B44,'تفاصيل الفرص'!$D$2:$D$195,$C44,'تفاصيل الفرص'!$X$2:$X$195,0)</f>
        <v>0</v>
      </c>
      <c r="F44" s="5" t="n">
        <f aca="false">COUNTIFS('سجل الأكشنات'!$B$2:$B$422,$B44,'سجل الأكشنات'!$D$2:$D$422,$C44)</f>
        <v>1</v>
      </c>
      <c r="G44" s="5" t="n">
        <f aca="false">COUNTIFS('سجل الأكشنات'!$B$2:$B$422,$B44,'سجل الأكشنات'!$D$2:$D$422,$C44,'سجل الأكشنات'!$H$2:$H$422,"تفصيلي")</f>
        <v>1</v>
      </c>
      <c r="H44" s="5" t="n">
        <f aca="false">F44-G44</f>
        <v>0</v>
      </c>
      <c r="I44" s="5" t="str">
        <f aca="false">IF($B44&gt;"2026-07-27","لا توجد بيانات بعد",IF(AND(D44=0,F44=0),"بدون نشاط","نشِط"))</f>
        <v>نشِط</v>
      </c>
    </row>
    <row r="45" customFormat="false" ht="15" hidden="false" customHeight="false" outlineLevel="0" collapsed="false">
      <c r="A45" s="5" t="s">
        <v>59</v>
      </c>
      <c r="B45" s="5" t="s">
        <v>60</v>
      </c>
      <c r="C45" s="4" t="s">
        <v>28</v>
      </c>
      <c r="D45" s="5" t="n">
        <f aca="false">COUNTIFS('تفاصيل الفرص'!$B$2:$B$195,$B45,'تفاصيل الفرص'!$D$2:$D$195,$C45)</f>
        <v>0</v>
      </c>
      <c r="E45" s="5" t="n">
        <f aca="false">COUNTIFS('تفاصيل الفرص'!$B$2:$B$195,$B45,'تفاصيل الفرص'!$D$2:$D$195,$C45,'تفاصيل الفرص'!$X$2:$X$195,0)</f>
        <v>0</v>
      </c>
      <c r="F45" s="5" t="n">
        <f aca="false">COUNTIFS('سجل الأكشنات'!$B$2:$B$422,$B45,'سجل الأكشنات'!$D$2:$D$422,$C45)</f>
        <v>8</v>
      </c>
      <c r="G45" s="5" t="n">
        <f aca="false">COUNTIFS('سجل الأكشنات'!$B$2:$B$422,$B45,'سجل الأكشنات'!$D$2:$D$422,$C45,'سجل الأكشنات'!$H$2:$H$422,"تفصيلي")</f>
        <v>8</v>
      </c>
      <c r="H45" s="5" t="n">
        <f aca="false">F45-G45</f>
        <v>0</v>
      </c>
      <c r="I45" s="5" t="str">
        <f aca="false">IF($B45&gt;"2026-07-27","لا توجد بيانات بعد",IF(AND(D45=0,F45=0),"بدون نشاط","نشِط"))</f>
        <v>نشِط</v>
      </c>
    </row>
    <row r="46" customFormat="false" ht="15" hidden="false" customHeight="false" outlineLevel="0" collapsed="false">
      <c r="A46" s="5" t="s">
        <v>59</v>
      </c>
      <c r="B46" s="5" t="s">
        <v>60</v>
      </c>
      <c r="C46" s="4" t="s">
        <v>30</v>
      </c>
      <c r="D46" s="5" t="n">
        <f aca="false">COUNTIFS('تفاصيل الفرص'!$B$2:$B$195,$B46,'تفاصيل الفرص'!$D$2:$D$195,$C46)</f>
        <v>8</v>
      </c>
      <c r="E46" s="5" t="n">
        <f aca="false">COUNTIFS('تفاصيل الفرص'!$B$2:$B$195,$B46,'تفاصيل الفرص'!$D$2:$D$195,$C46,'تفاصيل الفرص'!$X$2:$X$195,0)</f>
        <v>0</v>
      </c>
      <c r="F46" s="5" t="n">
        <f aca="false">COUNTIFS('سجل الأكشنات'!$B$2:$B$422,$B46,'سجل الأكشنات'!$D$2:$D$422,$C46)</f>
        <v>7</v>
      </c>
      <c r="G46" s="5" t="n">
        <f aca="false">COUNTIFS('سجل الأكشنات'!$B$2:$B$422,$B46,'سجل الأكشنات'!$D$2:$D$422,$C46,'سجل الأكشنات'!$H$2:$H$422,"تفصيلي")</f>
        <v>7</v>
      </c>
      <c r="H46" s="5" t="n">
        <f aca="false">F46-G46</f>
        <v>0</v>
      </c>
      <c r="I46" s="5" t="str">
        <f aca="false">IF($B46&gt;"2026-07-27","لا توجد بيانات بعد",IF(AND(D46=0,F46=0),"بدون نشاط","نشِط"))</f>
        <v>نشِط</v>
      </c>
    </row>
    <row r="47" customFormat="false" ht="15" hidden="false" customHeight="false" outlineLevel="0" collapsed="false">
      <c r="A47" s="5" t="s">
        <v>59</v>
      </c>
      <c r="B47" s="5" t="s">
        <v>60</v>
      </c>
      <c r="C47" s="4" t="s">
        <v>32</v>
      </c>
      <c r="D47" s="5" t="n">
        <f aca="false">COUNTIFS('تفاصيل الفرص'!$B$2:$B$195,$B47,'تفاصيل الفرص'!$D$2:$D$195,$C47)</f>
        <v>0</v>
      </c>
      <c r="E47" s="5" t="n">
        <f aca="false">COUNTIFS('تفاصيل الفرص'!$B$2:$B$195,$B47,'تفاصيل الفرص'!$D$2:$D$195,$C47,'تفاصيل الفرص'!$X$2:$X$195,0)</f>
        <v>0</v>
      </c>
      <c r="F47" s="5" t="n">
        <f aca="false">COUNTIFS('سجل الأكشنات'!$B$2:$B$422,$B47,'سجل الأكشنات'!$D$2:$D$422,$C47)</f>
        <v>2</v>
      </c>
      <c r="G47" s="5" t="n">
        <f aca="false">COUNTIFS('سجل الأكشنات'!$B$2:$B$422,$B47,'سجل الأكشنات'!$D$2:$D$422,$C47,'سجل الأكشنات'!$H$2:$H$422,"تفصيلي")</f>
        <v>1</v>
      </c>
      <c r="H47" s="5" t="n">
        <f aca="false">F47-G47</f>
        <v>1</v>
      </c>
      <c r="I47" s="5" t="str">
        <f aca="false">IF($B47&gt;"2026-07-27","لا توجد بيانات بعد",IF(AND(D47=0,F47=0),"بدون نشاط","نشِط"))</f>
        <v>نشِط</v>
      </c>
    </row>
    <row r="48" customFormat="false" ht="15" hidden="false" customHeight="false" outlineLevel="0" collapsed="false">
      <c r="A48" s="5" t="s">
        <v>59</v>
      </c>
      <c r="B48" s="5" t="s">
        <v>60</v>
      </c>
      <c r="C48" s="4" t="s">
        <v>34</v>
      </c>
      <c r="D48" s="5" t="n">
        <f aca="false">COUNTIFS('تفاصيل الفرص'!$B$2:$B$195,$B48,'تفاصيل الفرص'!$D$2:$D$195,$C48)</f>
        <v>0</v>
      </c>
      <c r="E48" s="5" t="n">
        <f aca="false">COUNTIFS('تفاصيل الفرص'!$B$2:$B$195,$B48,'تفاصيل الفرص'!$D$2:$D$195,$C48,'تفاصيل الفرص'!$X$2:$X$195,0)</f>
        <v>0</v>
      </c>
      <c r="F48" s="5" t="n">
        <f aca="false">COUNTIFS('سجل الأكشنات'!$B$2:$B$422,$B48,'سجل الأكشنات'!$D$2:$D$422,$C48)</f>
        <v>0</v>
      </c>
      <c r="G48" s="5" t="n">
        <f aca="false">COUNTIFS('سجل الأكشنات'!$B$2:$B$422,$B48,'سجل الأكشنات'!$D$2:$D$422,$C48,'سجل الأكشنات'!$H$2:$H$422,"تفصيلي")</f>
        <v>0</v>
      </c>
      <c r="H48" s="5" t="n">
        <f aca="false">F48-G48</f>
        <v>0</v>
      </c>
      <c r="I48" s="5" t="str">
        <f aca="false">IF($B48&gt;"2026-07-27","لا توجد بيانات بعد",IF(AND(D48=0,F48=0),"بدون نشاط","نشِط"))</f>
        <v>بدون نشاط</v>
      </c>
    </row>
    <row r="49" customFormat="false" ht="15" hidden="false" customHeight="false" outlineLevel="0" collapsed="false">
      <c r="A49" s="12" t="s">
        <v>61</v>
      </c>
      <c r="B49" s="12" t="s">
        <v>62</v>
      </c>
      <c r="C49" s="13" t="s">
        <v>18</v>
      </c>
      <c r="D49" s="12" t="n">
        <f aca="false">COUNTIFS('تفاصيل الفرص'!$B$2:$B$195,$B49,'تفاصيل الفرص'!$D$2:$D$195,$C49)</f>
        <v>2</v>
      </c>
      <c r="E49" s="12" t="n">
        <f aca="false">COUNTIFS('تفاصيل الفرص'!$B$2:$B$195,$B49,'تفاصيل الفرص'!$D$2:$D$195,$C49,'تفاصيل الفرص'!$X$2:$X$195,0)</f>
        <v>0</v>
      </c>
      <c r="F49" s="12" t="n">
        <f aca="false">COUNTIFS('سجل الأكشنات'!$B$2:$B$422,$B49,'سجل الأكشنات'!$D$2:$D$422,$C49)</f>
        <v>7</v>
      </c>
      <c r="G49" s="12" t="n">
        <f aca="false">COUNTIFS('سجل الأكشنات'!$B$2:$B$422,$B49,'سجل الأكشنات'!$D$2:$D$422,$C49,'سجل الأكشنات'!$H$2:$H$422,"تفصيلي")</f>
        <v>5</v>
      </c>
      <c r="H49" s="12" t="n">
        <f aca="false">F49-G49</f>
        <v>2</v>
      </c>
      <c r="I49" s="12" t="str">
        <f aca="false">IF($B49&gt;"2026-07-27","لا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61</v>
      </c>
      <c r="B50" s="12" t="s">
        <v>62</v>
      </c>
      <c r="C50" s="13" t="s">
        <v>20</v>
      </c>
      <c r="D50" s="12" t="n">
        <f aca="false">COUNTIFS('تفاصيل الفرص'!$B$2:$B$195,$B50,'تفاصيل الفرص'!$D$2:$D$195,$C50)</f>
        <v>2</v>
      </c>
      <c r="E50" s="12" t="n">
        <f aca="false">COUNTIFS('تفاصيل الفرص'!$B$2:$B$195,$B50,'تفاصيل الفرص'!$D$2:$D$195,$C50,'تفاصيل الفرص'!$X$2:$X$195,0)</f>
        <v>0</v>
      </c>
      <c r="F50" s="12" t="n">
        <f aca="false">COUNTIFS('سجل الأكشنات'!$B$2:$B$422,$B50,'سجل الأكشنات'!$D$2:$D$422,$C50)</f>
        <v>5</v>
      </c>
      <c r="G50" s="12" t="n">
        <f aca="false">COUNTIFS('سجل الأكشنات'!$B$2:$B$422,$B50,'سجل الأكشنات'!$D$2:$D$422,$C50,'سجل الأكشنات'!$H$2:$H$422,"تفصيلي")</f>
        <v>5</v>
      </c>
      <c r="H50" s="12" t="n">
        <f aca="false">F50-G50</f>
        <v>0</v>
      </c>
      <c r="I50" s="12" t="str">
        <f aca="false">IF($B50&gt;"2026-07-27","لا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61</v>
      </c>
      <c r="B51" s="12" t="s">
        <v>62</v>
      </c>
      <c r="C51" s="13" t="s">
        <v>22</v>
      </c>
      <c r="D51" s="12" t="n">
        <f aca="false">COUNTIFS('تفاصيل الفرص'!$B$2:$B$195,$B51,'تفاصيل الفرص'!$D$2:$D$195,$C51)</f>
        <v>2</v>
      </c>
      <c r="E51" s="12" t="n">
        <f aca="false">COUNTIFS('تفاصيل الفرص'!$B$2:$B$195,$B51,'تفاصيل الفرص'!$D$2:$D$195,$C51,'تفاصيل الفرص'!$X$2:$X$195,0)</f>
        <v>0</v>
      </c>
      <c r="F51" s="12" t="n">
        <f aca="false">COUNTIFS('سجل الأكشنات'!$B$2:$B$422,$B51,'سجل الأكشنات'!$D$2:$D$422,$C51)</f>
        <v>2</v>
      </c>
      <c r="G51" s="12" t="n">
        <f aca="false">COUNTIFS('سجل الأكشنات'!$B$2:$B$422,$B51,'سجل الأكشنات'!$D$2:$D$422,$C51,'سجل الأكشنات'!$H$2:$H$422,"تفصيلي")</f>
        <v>1</v>
      </c>
      <c r="H51" s="12" t="n">
        <f aca="false">F51-G51</f>
        <v>1</v>
      </c>
      <c r="I51" s="12" t="str">
        <f aca="false">IF($B51&gt;"2026-07-27","لا توجد بيانات بعد",IF(AND(D51=0,F51=0),"بدون نشاط","نشِط"))</f>
        <v>نشِط</v>
      </c>
    </row>
    <row r="52" customFormat="false" ht="15" hidden="false" customHeight="false" outlineLevel="0" collapsed="false">
      <c r="A52" s="12" t="s">
        <v>61</v>
      </c>
      <c r="B52" s="12" t="s">
        <v>62</v>
      </c>
      <c r="C52" s="13" t="s">
        <v>24</v>
      </c>
      <c r="D52" s="12" t="n">
        <f aca="false">COUNTIFS('تفاصيل الفرص'!$B$2:$B$195,$B52,'تفاصيل الفرص'!$D$2:$D$195,$C52)</f>
        <v>1</v>
      </c>
      <c r="E52" s="12" t="n">
        <f aca="false">COUNTIFS('تفاصيل الفرص'!$B$2:$B$195,$B52,'تفاصيل الفرص'!$D$2:$D$195,$C52,'تفاصيل الفرص'!$X$2:$X$195,0)</f>
        <v>0</v>
      </c>
      <c r="F52" s="12" t="n">
        <f aca="false">COUNTIFS('سجل الأكشنات'!$B$2:$B$422,$B52,'سجل الأكشنات'!$D$2:$D$422,$C52)</f>
        <v>3</v>
      </c>
      <c r="G52" s="12" t="n">
        <f aca="false">COUNTIFS('سجل الأكشنات'!$B$2:$B$422,$B52,'سجل الأكشنات'!$D$2:$D$422,$C52,'سجل الأكشنات'!$H$2:$H$422,"تفصيلي")</f>
        <v>3</v>
      </c>
      <c r="H52" s="12" t="n">
        <f aca="false">F52-G52</f>
        <v>0</v>
      </c>
      <c r="I52" s="12" t="str">
        <f aca="false">IF($B52&gt;"2026-07-27","لا توجد بيانات بعد",IF(AND(D52=0,F52=0),"بدون نشاط","نشِط"))</f>
        <v>نشِط</v>
      </c>
    </row>
    <row r="53" customFormat="false" ht="15" hidden="false" customHeight="false" outlineLevel="0" collapsed="false">
      <c r="A53" s="12" t="s">
        <v>61</v>
      </c>
      <c r="B53" s="12" t="s">
        <v>62</v>
      </c>
      <c r="C53" s="13" t="s">
        <v>26</v>
      </c>
      <c r="D53" s="12" t="n">
        <f aca="false">COUNTIFS('تفاصيل الفرص'!$B$2:$B$195,$B53,'تفاصيل الفرص'!$D$2:$D$195,$C53)</f>
        <v>2</v>
      </c>
      <c r="E53" s="12" t="n">
        <f aca="false">COUNTIFS('تفاصيل الفرص'!$B$2:$B$195,$B53,'تفاصيل الفرص'!$D$2:$D$195,$C53,'تفاصيل الفرص'!$X$2:$X$195,0)</f>
        <v>0</v>
      </c>
      <c r="F53" s="12" t="n">
        <f aca="false">COUNTIFS('سجل الأكشنات'!$B$2:$B$422,$B53,'سجل الأكشنات'!$D$2:$D$422,$C53)</f>
        <v>5</v>
      </c>
      <c r="G53" s="12" t="n">
        <f aca="false">COUNTIFS('سجل الأكشنات'!$B$2:$B$422,$B53,'سجل الأكشنات'!$D$2:$D$422,$C53,'سجل الأكشنات'!$H$2:$H$422,"تفصيلي")</f>
        <v>5</v>
      </c>
      <c r="H53" s="12" t="n">
        <f aca="false">F53-G53</f>
        <v>0</v>
      </c>
      <c r="I53" s="12" t="str">
        <f aca="false">IF($B53&gt;"2026-07-27","لا توجد بيانات بعد",IF(AND(D53=0,F53=0),"بدون نشاط","نشِط"))</f>
        <v>نشِط</v>
      </c>
    </row>
    <row r="54" customFormat="false" ht="15" hidden="false" customHeight="false" outlineLevel="0" collapsed="false">
      <c r="A54" s="12" t="s">
        <v>61</v>
      </c>
      <c r="B54" s="12" t="s">
        <v>62</v>
      </c>
      <c r="C54" s="13" t="s">
        <v>28</v>
      </c>
      <c r="D54" s="12" t="n">
        <f aca="false">COUNTIFS('تفاصيل الفرص'!$B$2:$B$195,$B54,'تفاصيل الفرص'!$D$2:$D$195,$C54)</f>
        <v>3</v>
      </c>
      <c r="E54" s="12" t="n">
        <f aca="false">COUNTIFS('تفاصيل الفرص'!$B$2:$B$195,$B54,'تفاصيل الفرص'!$D$2:$D$195,$C54,'تفاصيل الفرص'!$X$2:$X$195,0)</f>
        <v>0</v>
      </c>
      <c r="F54" s="12" t="n">
        <f aca="false">COUNTIFS('سجل الأكشنات'!$B$2:$B$422,$B54,'سجل الأكشنات'!$D$2:$D$422,$C54)</f>
        <v>8</v>
      </c>
      <c r="G54" s="12" t="n">
        <f aca="false">COUNTIFS('سجل الأكشنات'!$B$2:$B$422,$B54,'سجل الأكشنات'!$D$2:$D$422,$C54,'سجل الأكشنات'!$H$2:$H$422,"تفصيلي")</f>
        <v>8</v>
      </c>
      <c r="H54" s="12" t="n">
        <f aca="false">F54-G54</f>
        <v>0</v>
      </c>
      <c r="I54" s="12" t="str">
        <f aca="false">IF($B54&gt;"2026-07-27","لا توجد بيانات بعد",IF(AND(D54=0,F54=0),"بدون نشاط","نشِط"))</f>
        <v>نشِط</v>
      </c>
    </row>
    <row r="55" customFormat="false" ht="15" hidden="false" customHeight="false" outlineLevel="0" collapsed="false">
      <c r="A55" s="12" t="s">
        <v>61</v>
      </c>
      <c r="B55" s="12" t="s">
        <v>62</v>
      </c>
      <c r="C55" s="13" t="s">
        <v>30</v>
      </c>
      <c r="D55" s="12" t="n">
        <f aca="false">COUNTIFS('تفاصيل الفرص'!$B$2:$B$195,$B55,'تفاصيل الفرص'!$D$2:$D$195,$C55)</f>
        <v>7</v>
      </c>
      <c r="E55" s="12" t="n">
        <f aca="false">COUNTIFS('تفاصيل الفرص'!$B$2:$B$195,$B55,'تفاصيل الفرص'!$D$2:$D$195,$C55,'تفاصيل الفرص'!$X$2:$X$195,0)</f>
        <v>0</v>
      </c>
      <c r="F55" s="12" t="n">
        <f aca="false">COUNTIFS('سجل الأكشنات'!$B$2:$B$422,$B55,'سجل الأكشنات'!$D$2:$D$422,$C55)</f>
        <v>8</v>
      </c>
      <c r="G55" s="12" t="n">
        <f aca="false">COUNTIFS('سجل الأكشنات'!$B$2:$B$422,$B55,'سجل الأكشنات'!$D$2:$D$422,$C55,'سجل الأكشنات'!$H$2:$H$422,"تفصيلي")</f>
        <v>6</v>
      </c>
      <c r="H55" s="12" t="n">
        <f aca="false">F55-G55</f>
        <v>2</v>
      </c>
      <c r="I55" s="12" t="str">
        <f aca="false">IF($B55&gt;"2026-07-27","لا توجد بيانات بعد",IF(AND(D55=0,F55=0),"بدون نشاط","نشِط"))</f>
        <v>نشِط</v>
      </c>
    </row>
    <row r="56" customFormat="false" ht="15" hidden="false" customHeight="false" outlineLevel="0" collapsed="false">
      <c r="A56" s="12" t="s">
        <v>61</v>
      </c>
      <c r="B56" s="12" t="s">
        <v>62</v>
      </c>
      <c r="C56" s="13" t="s">
        <v>32</v>
      </c>
      <c r="D56" s="12" t="n">
        <f aca="false">COUNTIFS('تفاصيل الفرص'!$B$2:$B$195,$B56,'تفاصيل الفرص'!$D$2:$D$195,$C56)</f>
        <v>2</v>
      </c>
      <c r="E56" s="12" t="n">
        <f aca="false">COUNTIFS('تفاصيل الفرص'!$B$2:$B$195,$B56,'تفاصيل الفرص'!$D$2:$D$195,$C56,'تفاصيل الفرص'!$X$2:$X$195,0)</f>
        <v>0</v>
      </c>
      <c r="F56" s="12" t="n">
        <f aca="false">COUNTIFS('سجل الأكشنات'!$B$2:$B$422,$B56,'سجل الأكشنات'!$D$2:$D$422,$C56)</f>
        <v>4</v>
      </c>
      <c r="G56" s="12" t="n">
        <f aca="false">COUNTIFS('سجل الأكشنات'!$B$2:$B$422,$B56,'سجل الأكشنات'!$D$2:$D$422,$C56,'سجل الأكشنات'!$H$2:$H$422,"تفصيلي")</f>
        <v>4</v>
      </c>
      <c r="H56" s="12" t="n">
        <f aca="false">F56-G56</f>
        <v>0</v>
      </c>
      <c r="I56" s="12" t="str">
        <f aca="false">IF($B56&gt;"2026-07-27","لا توجد بيانات بعد",IF(AND(D56=0,F56=0),"بدون نشاط","نشِط"))</f>
        <v>نشِط</v>
      </c>
    </row>
    <row r="57" customFormat="false" ht="15" hidden="false" customHeight="false" outlineLevel="0" collapsed="false">
      <c r="A57" s="12" t="s">
        <v>61</v>
      </c>
      <c r="B57" s="12" t="s">
        <v>62</v>
      </c>
      <c r="C57" s="13" t="s">
        <v>34</v>
      </c>
      <c r="D57" s="12" t="n">
        <f aca="false">COUNTIFS('تفاصيل الفرص'!$B$2:$B$195,$B57,'تفاصيل الفرص'!$D$2:$D$195,$C57)</f>
        <v>0</v>
      </c>
      <c r="E57" s="12" t="n">
        <f aca="false">COUNTIFS('تفاصيل الفرص'!$B$2:$B$195,$B57,'تفاصيل الفرص'!$D$2:$D$195,$C57,'تفاصيل الفرص'!$X$2:$X$195,0)</f>
        <v>0</v>
      </c>
      <c r="F57" s="12" t="n">
        <f aca="false">COUNTIFS('سجل الأكشنات'!$B$2:$B$422,$B57,'سجل الأكشنات'!$D$2:$D$422,$C57)</f>
        <v>0</v>
      </c>
      <c r="G57" s="12" t="n">
        <f aca="false">COUNTIFS('سجل الأكشنات'!$B$2:$B$422,$B57,'سجل الأكشنات'!$D$2:$D$422,$C57,'سجل الأكشنات'!$H$2:$H$422,"تفصيلي")</f>
        <v>0</v>
      </c>
      <c r="H57" s="12" t="n">
        <f aca="false">F57-G57</f>
        <v>0</v>
      </c>
      <c r="I57" s="12" t="str">
        <f aca="false">IF($B57&gt;"2026-07-27","لا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63</v>
      </c>
      <c r="B58" s="5" t="s">
        <v>64</v>
      </c>
      <c r="C58" s="4" t="s">
        <v>18</v>
      </c>
      <c r="D58" s="5" t="n">
        <f aca="false">COUNTIFS('تفاصيل الفرص'!$B$2:$B$195,$B58,'تفاصيل الفرص'!$D$2:$D$195,$C58)</f>
        <v>2</v>
      </c>
      <c r="E58" s="5" t="n">
        <f aca="false">COUNTIFS('تفاصيل الفرص'!$B$2:$B$195,$B58,'تفاصيل الفرص'!$D$2:$D$195,$C58,'تفاصيل الفرص'!$X$2:$X$195,0)</f>
        <v>0</v>
      </c>
      <c r="F58" s="5" t="n">
        <f aca="false">COUNTIFS('سجل الأكشنات'!$B$2:$B$422,$B58,'سجل الأكشنات'!$D$2:$D$422,$C58)</f>
        <v>8</v>
      </c>
      <c r="G58" s="5" t="n">
        <f aca="false">COUNTIFS('سجل الأكشنات'!$B$2:$B$422,$B58,'سجل الأكشنات'!$D$2:$D$422,$C58,'سجل الأكشنات'!$H$2:$H$422,"تفصيلي")</f>
        <v>7</v>
      </c>
      <c r="H58" s="5" t="n">
        <f aca="false">F58-G58</f>
        <v>1</v>
      </c>
      <c r="I58" s="5" t="str">
        <f aca="false">IF($B58&gt;"2026-07-27","لا توجد بيانات بعد",IF(AND(D58=0,F58=0),"بدون نشاط","نشِط"))</f>
        <v>نشِط</v>
      </c>
    </row>
    <row r="59" customFormat="false" ht="15" hidden="false" customHeight="false" outlineLevel="0" collapsed="false">
      <c r="A59" s="5" t="s">
        <v>63</v>
      </c>
      <c r="B59" s="5" t="s">
        <v>64</v>
      </c>
      <c r="C59" s="4" t="s">
        <v>20</v>
      </c>
      <c r="D59" s="5" t="n">
        <f aca="false">COUNTIFS('تفاصيل الفرص'!$B$2:$B$195,$B59,'تفاصيل الفرص'!$D$2:$D$195,$C59)</f>
        <v>1</v>
      </c>
      <c r="E59" s="5" t="n">
        <f aca="false">COUNTIFS('تفاصيل الفرص'!$B$2:$B$195,$B59,'تفاصيل الفرص'!$D$2:$D$195,$C59,'تفاصيل الفرص'!$X$2:$X$195,0)</f>
        <v>0</v>
      </c>
      <c r="F59" s="5" t="n">
        <f aca="false">COUNTIFS('سجل الأكشنات'!$B$2:$B$422,$B59,'سجل الأكشنات'!$D$2:$D$422,$C59)</f>
        <v>6</v>
      </c>
      <c r="G59" s="5" t="n">
        <f aca="false">COUNTIFS('سجل الأكشنات'!$B$2:$B$422,$B59,'سجل الأكشنات'!$D$2:$D$422,$C59,'سجل الأكشنات'!$H$2:$H$422,"تفصيلي")</f>
        <v>6</v>
      </c>
      <c r="H59" s="5" t="n">
        <f aca="false">F59-G59</f>
        <v>0</v>
      </c>
      <c r="I59" s="5" t="str">
        <f aca="false">IF($B59&gt;"2026-07-27","لا توجد بيانات بعد",IF(AND(D59=0,F59=0),"بدون نشاط","نشِط"))</f>
        <v>نشِط</v>
      </c>
    </row>
    <row r="60" customFormat="false" ht="15" hidden="false" customHeight="false" outlineLevel="0" collapsed="false">
      <c r="A60" s="5" t="s">
        <v>63</v>
      </c>
      <c r="B60" s="5" t="s">
        <v>64</v>
      </c>
      <c r="C60" s="4" t="s">
        <v>22</v>
      </c>
      <c r="D60" s="5" t="n">
        <f aca="false">COUNTIFS('تفاصيل الفرص'!$B$2:$B$195,$B60,'تفاصيل الفرص'!$D$2:$D$195,$C60)</f>
        <v>6</v>
      </c>
      <c r="E60" s="5" t="n">
        <f aca="false">COUNTIFS('تفاصيل الفرص'!$B$2:$B$195,$B60,'تفاصيل الفرص'!$D$2:$D$195,$C60,'تفاصيل الفرص'!$X$2:$X$195,0)</f>
        <v>0</v>
      </c>
      <c r="F60" s="5" t="n">
        <f aca="false">COUNTIFS('سجل الأكشنات'!$B$2:$B$422,$B60,'سجل الأكشنات'!$D$2:$D$422,$C60)</f>
        <v>4</v>
      </c>
      <c r="G60" s="5" t="n">
        <f aca="false">COUNTIFS('سجل الأكشنات'!$B$2:$B$422,$B60,'سجل الأكشنات'!$D$2:$D$422,$C60,'سجل الأكشنات'!$H$2:$H$422,"تفصيلي")</f>
        <v>2</v>
      </c>
      <c r="H60" s="5" t="n">
        <f aca="false">F60-G60</f>
        <v>2</v>
      </c>
      <c r="I60" s="5" t="str">
        <f aca="false">IF($B60&gt;"2026-07-27","لا توجد بيانات بعد",IF(AND(D60=0,F60=0),"بدون نشاط","نشِط"))</f>
        <v>نشِط</v>
      </c>
    </row>
    <row r="61" customFormat="false" ht="15" hidden="false" customHeight="false" outlineLevel="0" collapsed="false">
      <c r="A61" s="5" t="s">
        <v>63</v>
      </c>
      <c r="B61" s="5" t="s">
        <v>64</v>
      </c>
      <c r="C61" s="4" t="s">
        <v>24</v>
      </c>
      <c r="D61" s="5" t="n">
        <f aca="false">COUNTIFS('تفاصيل الفرص'!$B$2:$B$195,$B61,'تفاصيل الفرص'!$D$2:$D$195,$C61)</f>
        <v>0</v>
      </c>
      <c r="E61" s="5" t="n">
        <f aca="false">COUNTIFS('تفاصيل الفرص'!$B$2:$B$195,$B61,'تفاصيل الفرص'!$D$2:$D$195,$C61,'تفاصيل الفرص'!$X$2:$X$195,0)</f>
        <v>0</v>
      </c>
      <c r="F61" s="5" t="n">
        <f aca="false">COUNTIFS('سجل الأكشنات'!$B$2:$B$422,$B61,'سجل الأكشنات'!$D$2:$D$422,$C61)</f>
        <v>3</v>
      </c>
      <c r="G61" s="5" t="n">
        <f aca="false">COUNTIFS('سجل الأكشنات'!$B$2:$B$422,$B61,'سجل الأكشنات'!$D$2:$D$422,$C61,'سجل الأكشنات'!$H$2:$H$422,"تفصيلي")</f>
        <v>3</v>
      </c>
      <c r="H61" s="5" t="n">
        <f aca="false">F61-G61</f>
        <v>0</v>
      </c>
      <c r="I61" s="5" t="str">
        <f aca="false">IF($B61&gt;"2026-07-27","لا توجد بيانات بعد",IF(AND(D61=0,F61=0),"بدون نشاط","نشِط"))</f>
        <v>نشِط</v>
      </c>
    </row>
    <row r="62" customFormat="false" ht="15" hidden="false" customHeight="false" outlineLevel="0" collapsed="false">
      <c r="A62" s="5" t="s">
        <v>63</v>
      </c>
      <c r="B62" s="5" t="s">
        <v>64</v>
      </c>
      <c r="C62" s="4" t="s">
        <v>26</v>
      </c>
      <c r="D62" s="5" t="n">
        <f aca="false">COUNTIFS('تفاصيل الفرص'!$B$2:$B$195,$B62,'تفاصيل الفرص'!$D$2:$D$195,$C62)</f>
        <v>0</v>
      </c>
      <c r="E62" s="5" t="n">
        <f aca="false">COUNTIFS('تفاصيل الفرص'!$B$2:$B$195,$B62,'تفاصيل الفرص'!$D$2:$D$195,$C62,'تفاصيل الفرص'!$X$2:$X$195,0)</f>
        <v>0</v>
      </c>
      <c r="F62" s="5" t="n">
        <f aca="false">COUNTIFS('سجل الأكشنات'!$B$2:$B$422,$B62,'سجل الأكشنات'!$D$2:$D$422,$C62)</f>
        <v>5</v>
      </c>
      <c r="G62" s="5" t="n">
        <f aca="false">COUNTIFS('سجل الأكشنات'!$B$2:$B$422,$B62,'سجل الأكشنات'!$D$2:$D$422,$C62,'سجل الأكشنات'!$H$2:$H$422,"تفصيلي")</f>
        <v>1</v>
      </c>
      <c r="H62" s="5" t="n">
        <f aca="false">F62-G62</f>
        <v>4</v>
      </c>
      <c r="I62" s="5" t="str">
        <f aca="false">IF($B62&gt;"2026-07-27","لا توجد بيانات بعد",IF(AND(D62=0,F62=0),"بدون نشاط","نشِط"))</f>
        <v>نشِط</v>
      </c>
    </row>
    <row r="63" customFormat="false" ht="15" hidden="false" customHeight="false" outlineLevel="0" collapsed="false">
      <c r="A63" s="5" t="s">
        <v>63</v>
      </c>
      <c r="B63" s="5" t="s">
        <v>64</v>
      </c>
      <c r="C63" s="4" t="s">
        <v>28</v>
      </c>
      <c r="D63" s="5" t="n">
        <f aca="false">COUNTIFS('تفاصيل الفرص'!$B$2:$B$195,$B63,'تفاصيل الفرص'!$D$2:$D$195,$C63)</f>
        <v>1</v>
      </c>
      <c r="E63" s="5" t="n">
        <f aca="false">COUNTIFS('تفاصيل الفرص'!$B$2:$B$195,$B63,'تفاصيل الفرص'!$D$2:$D$195,$C63,'تفاصيل الفرص'!$X$2:$X$195,0)</f>
        <v>0</v>
      </c>
      <c r="F63" s="5" t="n">
        <f aca="false">COUNTIFS('سجل الأكشنات'!$B$2:$B$422,$B63,'سجل الأكشنات'!$D$2:$D$422,$C63)</f>
        <v>6</v>
      </c>
      <c r="G63" s="5" t="n">
        <f aca="false">COUNTIFS('سجل الأكشنات'!$B$2:$B$422,$B63,'سجل الأكشنات'!$D$2:$D$422,$C63,'سجل الأكشنات'!$H$2:$H$422,"تفصيلي")</f>
        <v>6</v>
      </c>
      <c r="H63" s="5" t="n">
        <f aca="false">F63-G63</f>
        <v>0</v>
      </c>
      <c r="I63" s="5" t="str">
        <f aca="false">IF($B63&gt;"2026-07-27","لا توجد بيانات بعد",IF(AND(D63=0,F63=0),"بدون نشاط","نشِط"))</f>
        <v>نشِط</v>
      </c>
    </row>
    <row r="64" customFormat="false" ht="15" hidden="false" customHeight="false" outlineLevel="0" collapsed="false">
      <c r="A64" s="5" t="s">
        <v>63</v>
      </c>
      <c r="B64" s="5" t="s">
        <v>64</v>
      </c>
      <c r="C64" s="4" t="s">
        <v>30</v>
      </c>
      <c r="D64" s="5" t="n">
        <f aca="false">COUNTIFS('تفاصيل الفرص'!$B$2:$B$195,$B64,'تفاصيل الفرص'!$D$2:$D$195,$C64)</f>
        <v>7</v>
      </c>
      <c r="E64" s="5" t="n">
        <f aca="false">COUNTIFS('تفاصيل الفرص'!$B$2:$B$195,$B64,'تفاصيل الفرص'!$D$2:$D$195,$C64,'تفاصيل الفرص'!$X$2:$X$195,0)</f>
        <v>0</v>
      </c>
      <c r="F64" s="5" t="n">
        <f aca="false">COUNTIFS('سجل الأكشنات'!$B$2:$B$422,$B64,'سجل الأكشنات'!$D$2:$D$422,$C64)</f>
        <v>7</v>
      </c>
      <c r="G64" s="5" t="n">
        <f aca="false">COUNTIFS('سجل الأكشنات'!$B$2:$B$422,$B64,'سجل الأكشنات'!$D$2:$D$422,$C64,'سجل الأكشنات'!$H$2:$H$422,"تفصيلي")</f>
        <v>6</v>
      </c>
      <c r="H64" s="5" t="n">
        <f aca="false">F64-G64</f>
        <v>1</v>
      </c>
      <c r="I64" s="5" t="str">
        <f aca="false">IF($B64&gt;"2026-07-27","لا توجد بيانات بعد",IF(AND(D64=0,F64=0),"بدون نشاط","نشِط"))</f>
        <v>نشِط</v>
      </c>
    </row>
    <row r="65" customFormat="false" ht="15" hidden="false" customHeight="false" outlineLevel="0" collapsed="false">
      <c r="A65" s="5" t="s">
        <v>63</v>
      </c>
      <c r="B65" s="5" t="s">
        <v>64</v>
      </c>
      <c r="C65" s="4" t="s">
        <v>32</v>
      </c>
      <c r="D65" s="5" t="n">
        <f aca="false">COUNTIFS('تفاصيل الفرص'!$B$2:$B$195,$B65,'تفاصيل الفرص'!$D$2:$D$195,$C65)</f>
        <v>0</v>
      </c>
      <c r="E65" s="5" t="n">
        <f aca="false">COUNTIFS('تفاصيل الفرص'!$B$2:$B$195,$B65,'تفاصيل الفرص'!$D$2:$D$195,$C65,'تفاصيل الفرص'!$X$2:$X$195,0)</f>
        <v>0</v>
      </c>
      <c r="F65" s="5" t="n">
        <f aca="false">COUNTIFS('سجل الأكشنات'!$B$2:$B$422,$B65,'سجل الأكشنات'!$D$2:$D$422,$C65)</f>
        <v>0</v>
      </c>
      <c r="G65" s="5" t="n">
        <f aca="false">COUNTIFS('سجل الأكشنات'!$B$2:$B$422,$B65,'سجل الأكشنات'!$D$2:$D$422,$C65,'سجل الأكشنات'!$H$2:$H$422,"تفصيلي")</f>
        <v>0</v>
      </c>
      <c r="H65" s="5" t="n">
        <f aca="false">F65-G65</f>
        <v>0</v>
      </c>
      <c r="I65" s="5" t="str">
        <f aca="false">IF($B65&gt;"2026-07-27","لا توجد بيانات بعد",IF(AND(D65=0,F65=0),"بدون نشاط","نشِط"))</f>
        <v>بدون نشاط</v>
      </c>
    </row>
    <row r="66" customFormat="false" ht="15" hidden="false" customHeight="false" outlineLevel="0" collapsed="false">
      <c r="A66" s="5" t="s">
        <v>63</v>
      </c>
      <c r="B66" s="5" t="s">
        <v>64</v>
      </c>
      <c r="C66" s="4" t="s">
        <v>34</v>
      </c>
      <c r="D66" s="5" t="n">
        <f aca="false">COUNTIFS('تفاصيل الفرص'!$B$2:$B$195,$B66,'تفاصيل الفرص'!$D$2:$D$195,$C66)</f>
        <v>0</v>
      </c>
      <c r="E66" s="5" t="n">
        <f aca="false">COUNTIFS('تفاصيل الفرص'!$B$2:$B$195,$B66,'تفاصيل الفرص'!$D$2:$D$195,$C66,'تفاصيل الفرص'!$X$2:$X$195,0)</f>
        <v>0</v>
      </c>
      <c r="F66" s="5" t="n">
        <f aca="false">COUNTIFS('سجل الأكشنات'!$B$2:$B$422,$B66,'سجل الأكشنات'!$D$2:$D$422,$C66)</f>
        <v>0</v>
      </c>
      <c r="G66" s="5" t="n">
        <f aca="false">COUNTIFS('سجل الأكشنات'!$B$2:$B$422,$B66,'سجل الأكشنات'!$D$2:$D$422,$C66,'سجل الأكشنات'!$H$2:$H$422,"تفصيلي")</f>
        <v>0</v>
      </c>
      <c r="H66" s="5" t="n">
        <f aca="false">F66-G66</f>
        <v>0</v>
      </c>
      <c r="I66" s="5" t="str">
        <f aca="false">IF($B66&gt;"2026-07-27","لا توجد بيانات بعد",IF(AND(D66=0,F66=0),"بدون نشاط","نشِط"))</f>
        <v>بدون نشاط</v>
      </c>
    </row>
    <row r="67" customFormat="false" ht="15" hidden="false" customHeight="false" outlineLevel="0" collapsed="false">
      <c r="A67" s="12" t="s">
        <v>51</v>
      </c>
      <c r="B67" s="12" t="s">
        <v>65</v>
      </c>
      <c r="C67" s="13" t="s">
        <v>18</v>
      </c>
      <c r="D67" s="12" t="n">
        <f aca="false">COUNTIFS('تفاصيل الفرص'!$B$2:$B$195,$B67,'تفاصيل الفرص'!$D$2:$D$195,$C67)</f>
        <v>4</v>
      </c>
      <c r="E67" s="12" t="n">
        <f aca="false">COUNTIFS('تفاصيل الفرص'!$B$2:$B$195,$B67,'تفاصيل الفرص'!$D$2:$D$195,$C67,'تفاصيل الفرص'!$X$2:$X$195,0)</f>
        <v>0</v>
      </c>
      <c r="F67" s="12" t="n">
        <f aca="false">COUNTIFS('سجل الأكشنات'!$B$2:$B$422,$B67,'سجل الأكشنات'!$D$2:$D$422,$C67)</f>
        <v>6</v>
      </c>
      <c r="G67" s="12" t="n">
        <f aca="false">COUNTIFS('سجل الأكشنات'!$B$2:$B$422,$B67,'سجل الأكشنات'!$D$2:$D$422,$C67,'سجل الأكشنات'!$H$2:$H$422,"تفصيلي")</f>
        <v>5</v>
      </c>
      <c r="H67" s="12" t="n">
        <f aca="false">F67-G67</f>
        <v>1</v>
      </c>
      <c r="I67" s="12" t="str">
        <f aca="false">IF($B67&gt;"2026-07-27","لا توجد بيانات بعد",IF(AND(D67=0,F67=0),"بدون نشاط","نشِط"))</f>
        <v>نشِط</v>
      </c>
    </row>
    <row r="68" customFormat="false" ht="15" hidden="false" customHeight="false" outlineLevel="0" collapsed="false">
      <c r="A68" s="12" t="s">
        <v>51</v>
      </c>
      <c r="B68" s="12" t="s">
        <v>65</v>
      </c>
      <c r="C68" s="13" t="s">
        <v>20</v>
      </c>
      <c r="D68" s="12" t="n">
        <f aca="false">COUNTIFS('تفاصيل الفرص'!$B$2:$B$195,$B68,'تفاصيل الفرص'!$D$2:$D$195,$C68)</f>
        <v>0</v>
      </c>
      <c r="E68" s="12" t="n">
        <f aca="false">COUNTIFS('تفاصيل الفرص'!$B$2:$B$195,$B68,'تفاصيل الفرص'!$D$2:$D$195,$C68,'تفاصيل الفرص'!$X$2:$X$195,0)</f>
        <v>0</v>
      </c>
      <c r="F68" s="12" t="n">
        <f aca="false">COUNTIFS('سجل الأكشنات'!$B$2:$B$422,$B68,'سجل الأكشنات'!$D$2:$D$422,$C68)</f>
        <v>0</v>
      </c>
      <c r="G68" s="12" t="n">
        <f aca="false">COUNTIFS('سجل الأكشنات'!$B$2:$B$422,$B68,'سجل الأكشنات'!$D$2:$D$422,$C68,'سجل الأكشنات'!$H$2:$H$422,"تفصيلي")</f>
        <v>0</v>
      </c>
      <c r="H68" s="12" t="n">
        <f aca="false">F68-G68</f>
        <v>0</v>
      </c>
      <c r="I68" s="12" t="str">
        <f aca="false">IF($B68&gt;"2026-07-27","لا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12" t="s">
        <v>51</v>
      </c>
      <c r="B69" s="12" t="s">
        <v>65</v>
      </c>
      <c r="C69" s="13" t="s">
        <v>22</v>
      </c>
      <c r="D69" s="12" t="n">
        <f aca="false">COUNTIFS('تفاصيل الفرص'!$B$2:$B$195,$B69,'تفاصيل الفرص'!$D$2:$D$195,$C69)</f>
        <v>0</v>
      </c>
      <c r="E69" s="12" t="n">
        <f aca="false">COUNTIFS('تفاصيل الفرص'!$B$2:$B$195,$B69,'تفاصيل الفرص'!$D$2:$D$195,$C69,'تفاصيل الفرص'!$X$2:$X$195,0)</f>
        <v>0</v>
      </c>
      <c r="F69" s="12" t="n">
        <f aca="false">COUNTIFS('سجل الأكشنات'!$B$2:$B$422,$B69,'سجل الأكشنات'!$D$2:$D$422,$C69)</f>
        <v>0</v>
      </c>
      <c r="G69" s="12" t="n">
        <f aca="false">COUNTIFS('سجل الأكشنات'!$B$2:$B$422,$B69,'سجل الأكشنات'!$D$2:$D$422,$C69,'سجل الأكشنات'!$H$2:$H$422,"تفصيلي")</f>
        <v>0</v>
      </c>
      <c r="H69" s="12" t="n">
        <f aca="false">F69-G69</f>
        <v>0</v>
      </c>
      <c r="I69" s="12" t="str">
        <f aca="false">IF($B69&gt;"2026-07-27","لا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12" t="s">
        <v>51</v>
      </c>
      <c r="B70" s="12" t="s">
        <v>65</v>
      </c>
      <c r="C70" s="13" t="s">
        <v>24</v>
      </c>
      <c r="D70" s="12" t="n">
        <f aca="false">COUNTIFS('تفاصيل الفرص'!$B$2:$B$195,$B70,'تفاصيل الفرص'!$D$2:$D$195,$C70)</f>
        <v>0</v>
      </c>
      <c r="E70" s="12" t="n">
        <f aca="false">COUNTIFS('تفاصيل الفرص'!$B$2:$B$195,$B70,'تفاصيل الفرص'!$D$2:$D$195,$C70,'تفاصيل الفرص'!$X$2:$X$195,0)</f>
        <v>0</v>
      </c>
      <c r="F70" s="12" t="n">
        <f aca="false">COUNTIFS('سجل الأكشنات'!$B$2:$B$422,$B70,'سجل الأكشنات'!$D$2:$D$422,$C70)</f>
        <v>5</v>
      </c>
      <c r="G70" s="12" t="n">
        <f aca="false">COUNTIFS('سجل الأكشنات'!$B$2:$B$422,$B70,'سجل الأكشنات'!$D$2:$D$422,$C70,'سجل الأكشنات'!$H$2:$H$422,"تفصيلي")</f>
        <v>5</v>
      </c>
      <c r="H70" s="12" t="n">
        <f aca="false">F70-G70</f>
        <v>0</v>
      </c>
      <c r="I70" s="12" t="str">
        <f aca="false">IF($B70&gt;"2026-07-27","لا توجد بيانات بعد",IF(AND(D70=0,F70=0),"بدون نشاط","نشِط"))</f>
        <v>نشِط</v>
      </c>
    </row>
    <row r="71" customFormat="false" ht="15" hidden="false" customHeight="false" outlineLevel="0" collapsed="false">
      <c r="A71" s="12" t="s">
        <v>51</v>
      </c>
      <c r="B71" s="12" t="s">
        <v>65</v>
      </c>
      <c r="C71" s="13" t="s">
        <v>26</v>
      </c>
      <c r="D71" s="12" t="n">
        <f aca="false">COUNTIFS('تفاصيل الفرص'!$B$2:$B$195,$B71,'تفاصيل الفرص'!$D$2:$D$195,$C71)</f>
        <v>0</v>
      </c>
      <c r="E71" s="12" t="n">
        <f aca="false">COUNTIFS('تفاصيل الفرص'!$B$2:$B$195,$B71,'تفاصيل الفرص'!$D$2:$D$195,$C71,'تفاصيل الفرص'!$X$2:$X$195,0)</f>
        <v>0</v>
      </c>
      <c r="F71" s="12" t="n">
        <f aca="false">COUNTIFS('سجل الأكشنات'!$B$2:$B$422,$B71,'سجل الأكشنات'!$D$2:$D$422,$C71)</f>
        <v>1</v>
      </c>
      <c r="G71" s="12" t="n">
        <f aca="false">COUNTIFS('سجل الأكشنات'!$B$2:$B$422,$B71,'سجل الأكشنات'!$D$2:$D$422,$C71,'سجل الأكشنات'!$H$2:$H$422,"تفصيلي")</f>
        <v>0</v>
      </c>
      <c r="H71" s="12" t="n">
        <f aca="false">F71-G71</f>
        <v>1</v>
      </c>
      <c r="I71" s="12" t="str">
        <f aca="false">IF($B71&gt;"2026-07-27","لا توجد بيانات بعد",IF(AND(D71=0,F71=0),"بدون نشاط","نشِط"))</f>
        <v>نشِط</v>
      </c>
    </row>
    <row r="72" customFormat="false" ht="15" hidden="false" customHeight="false" outlineLevel="0" collapsed="false">
      <c r="A72" s="12" t="s">
        <v>51</v>
      </c>
      <c r="B72" s="12" t="s">
        <v>65</v>
      </c>
      <c r="C72" s="13" t="s">
        <v>28</v>
      </c>
      <c r="D72" s="12" t="n">
        <f aca="false">COUNTIFS('تفاصيل الفرص'!$B$2:$B$195,$B72,'تفاصيل الفرص'!$D$2:$D$195,$C72)</f>
        <v>1</v>
      </c>
      <c r="E72" s="12" t="n">
        <f aca="false">COUNTIFS('تفاصيل الفرص'!$B$2:$B$195,$B72,'تفاصيل الفرص'!$D$2:$D$195,$C72,'تفاصيل الفرص'!$X$2:$X$195,0)</f>
        <v>0</v>
      </c>
      <c r="F72" s="12" t="n">
        <f aca="false">COUNTIFS('سجل الأكشنات'!$B$2:$B$422,$B72,'سجل الأكشنات'!$D$2:$D$422,$C72)</f>
        <v>5</v>
      </c>
      <c r="G72" s="12" t="n">
        <f aca="false">COUNTIFS('سجل الأكشنات'!$B$2:$B$422,$B72,'سجل الأكشنات'!$D$2:$D$422,$C72,'سجل الأكشنات'!$H$2:$H$422,"تفصيلي")</f>
        <v>5</v>
      </c>
      <c r="H72" s="12" t="n">
        <f aca="false">F72-G72</f>
        <v>0</v>
      </c>
      <c r="I72" s="12" t="str">
        <f aca="false">IF($B72&gt;"2026-07-27","لا توجد بيانات بعد",IF(AND(D72=0,F72=0),"بدون نشاط","نشِط"))</f>
        <v>نشِط</v>
      </c>
    </row>
    <row r="73" customFormat="false" ht="15" hidden="false" customHeight="false" outlineLevel="0" collapsed="false">
      <c r="A73" s="12" t="s">
        <v>51</v>
      </c>
      <c r="B73" s="12" t="s">
        <v>65</v>
      </c>
      <c r="C73" s="13" t="s">
        <v>30</v>
      </c>
      <c r="D73" s="12" t="n">
        <f aca="false">COUNTIFS('تفاصيل الفرص'!$B$2:$B$195,$B73,'تفاصيل الفرص'!$D$2:$D$195,$C73)</f>
        <v>8</v>
      </c>
      <c r="E73" s="12" t="n">
        <f aca="false">COUNTIFS('تفاصيل الفرص'!$B$2:$B$195,$B73,'تفاصيل الفرص'!$D$2:$D$195,$C73,'تفاصيل الفرص'!$X$2:$X$195,0)</f>
        <v>0</v>
      </c>
      <c r="F73" s="12" t="n">
        <f aca="false">COUNTIFS('سجل الأكشنات'!$B$2:$B$422,$B73,'سجل الأكشنات'!$D$2:$D$422,$C73)</f>
        <v>7</v>
      </c>
      <c r="G73" s="12" t="n">
        <f aca="false">COUNTIFS('سجل الأكشنات'!$B$2:$B$422,$B73,'سجل الأكشنات'!$D$2:$D$422,$C73,'سجل الأكشنات'!$H$2:$H$422,"تفصيلي")</f>
        <v>7</v>
      </c>
      <c r="H73" s="12" t="n">
        <f aca="false">F73-G73</f>
        <v>0</v>
      </c>
      <c r="I73" s="12" t="str">
        <f aca="false">IF($B73&gt;"2026-07-27","لا توجد بيانات بعد",IF(AND(D73=0,F73=0),"بدون نشاط","نشِط"))</f>
        <v>نشِط</v>
      </c>
    </row>
    <row r="74" customFormat="false" ht="15" hidden="false" customHeight="false" outlineLevel="0" collapsed="false">
      <c r="A74" s="12" t="s">
        <v>51</v>
      </c>
      <c r="B74" s="12" t="s">
        <v>65</v>
      </c>
      <c r="C74" s="13" t="s">
        <v>32</v>
      </c>
      <c r="D74" s="12" t="n">
        <f aca="false">COUNTIFS('تفاصيل الفرص'!$B$2:$B$195,$B74,'تفاصيل الفرص'!$D$2:$D$195,$C74)</f>
        <v>0</v>
      </c>
      <c r="E74" s="12" t="n">
        <f aca="false">COUNTIFS('تفاصيل الفرص'!$B$2:$B$195,$B74,'تفاصيل الفرص'!$D$2:$D$195,$C74,'تفاصيل الفرص'!$X$2:$X$195,0)</f>
        <v>0</v>
      </c>
      <c r="F74" s="12" t="n">
        <f aca="false">COUNTIFS('سجل الأكشنات'!$B$2:$B$422,$B74,'سجل الأكشنات'!$D$2:$D$422,$C74)</f>
        <v>6</v>
      </c>
      <c r="G74" s="12" t="n">
        <f aca="false">COUNTIFS('سجل الأكشنات'!$B$2:$B$422,$B74,'سجل الأكشنات'!$D$2:$D$422,$C74,'سجل الأكشنات'!$H$2:$H$422,"تفصيلي")</f>
        <v>6</v>
      </c>
      <c r="H74" s="12" t="n">
        <f aca="false">F74-G74</f>
        <v>0</v>
      </c>
      <c r="I74" s="12" t="str">
        <f aca="false">IF($B74&gt;"2026-07-27","لا توجد بيانات بعد",IF(AND(D74=0,F74=0),"بدون نشاط","نشِط"))</f>
        <v>نشِط</v>
      </c>
    </row>
    <row r="75" customFormat="false" ht="15" hidden="false" customHeight="false" outlineLevel="0" collapsed="false">
      <c r="A75" s="12" t="s">
        <v>51</v>
      </c>
      <c r="B75" s="12" t="s">
        <v>65</v>
      </c>
      <c r="C75" s="13" t="s">
        <v>34</v>
      </c>
      <c r="D75" s="12" t="n">
        <f aca="false">COUNTIFS('تفاصيل الفرص'!$B$2:$B$195,$B75,'تفاصيل الفرص'!$D$2:$D$195,$C75)</f>
        <v>0</v>
      </c>
      <c r="E75" s="12" t="n">
        <f aca="false">COUNTIFS('تفاصيل الفرص'!$B$2:$B$195,$B75,'تفاصيل الفرص'!$D$2:$D$195,$C75,'تفاصيل الفرص'!$X$2:$X$195,0)</f>
        <v>0</v>
      </c>
      <c r="F75" s="12" t="n">
        <f aca="false">COUNTIFS('سجل الأكشنات'!$B$2:$B$422,$B75,'سجل الأكشنات'!$D$2:$D$422,$C75)</f>
        <v>0</v>
      </c>
      <c r="G75" s="12" t="n">
        <f aca="false">COUNTIFS('سجل الأكشنات'!$B$2:$B$422,$B75,'سجل الأكشنات'!$D$2:$D$422,$C75,'سجل الأكشنات'!$H$2:$H$422,"تفصيلي")</f>
        <v>0</v>
      </c>
      <c r="H75" s="12" t="n">
        <f aca="false">F75-G75</f>
        <v>0</v>
      </c>
      <c r="I75" s="12" t="str">
        <f aca="false">IF($B75&gt;"2026-07-27","لا توجد بيانات بعد",IF(AND(D75=0,F75=0),"بدون نشاط","نشِط"))</f>
        <v>بدون نشاط</v>
      </c>
    </row>
    <row r="76" customFormat="false" ht="15" hidden="false" customHeight="false" outlineLevel="0" collapsed="false">
      <c r="A76" s="5" t="s">
        <v>53</v>
      </c>
      <c r="B76" s="5" t="s">
        <v>66</v>
      </c>
      <c r="C76" s="4" t="s">
        <v>18</v>
      </c>
      <c r="D76" s="5" t="n">
        <f aca="false">COUNTIFS('تفاصيل الفرص'!$B$2:$B$195,$B76,'تفاصيل الفرص'!$D$2:$D$195,$C76)</f>
        <v>0</v>
      </c>
      <c r="E76" s="5" t="n">
        <f aca="false">COUNTIFS('تفاصيل الفرص'!$B$2:$B$195,$B76,'تفاصيل الفرص'!$D$2:$D$195,$C76,'تفاصيل الفرص'!$X$2:$X$195,0)</f>
        <v>0</v>
      </c>
      <c r="F76" s="5" t="n">
        <f aca="false">COUNTIFS('سجل الأكشنات'!$B$2:$B$422,$B76,'سجل الأكشنات'!$D$2:$D$422,$C76)</f>
        <v>0</v>
      </c>
      <c r="G76" s="5" t="n">
        <f aca="false">COUNTIFS('سجل الأكشنات'!$B$2:$B$422,$B76,'سجل الأكشنات'!$D$2:$D$422,$C76,'سجل الأكشنات'!$H$2:$H$422,"تفصيلي")</f>
        <v>0</v>
      </c>
      <c r="H76" s="5" t="n">
        <f aca="false">F76-G76</f>
        <v>0</v>
      </c>
      <c r="I76" s="5" t="str">
        <f aca="false">IF($B76&gt;"2026-07-27","لا توجد بيانات بعد",IF(AND(D76=0,F76=0),"بدون نشاط","نشِط"))</f>
        <v>بدون نشاط</v>
      </c>
    </row>
    <row r="77" customFormat="false" ht="15" hidden="false" customHeight="false" outlineLevel="0" collapsed="false">
      <c r="A77" s="5" t="s">
        <v>53</v>
      </c>
      <c r="B77" s="5" t="s">
        <v>66</v>
      </c>
      <c r="C77" s="4" t="s">
        <v>20</v>
      </c>
      <c r="D77" s="5" t="n">
        <f aca="false">COUNTIFS('تفاصيل الفرص'!$B$2:$B$195,$B77,'تفاصيل الفرص'!$D$2:$D$195,$C77)</f>
        <v>5</v>
      </c>
      <c r="E77" s="5" t="n">
        <f aca="false">COUNTIFS('تفاصيل الفرص'!$B$2:$B$195,$B77,'تفاصيل الفرص'!$D$2:$D$195,$C77,'تفاصيل الفرص'!$X$2:$X$195,0)</f>
        <v>0</v>
      </c>
      <c r="F77" s="5" t="n">
        <f aca="false">COUNTIFS('سجل الأكشنات'!$B$2:$B$422,$B77,'سجل الأكشنات'!$D$2:$D$422,$C77)</f>
        <v>12</v>
      </c>
      <c r="G77" s="5" t="n">
        <f aca="false">COUNTIFS('سجل الأكشنات'!$B$2:$B$422,$B77,'سجل الأكشنات'!$D$2:$D$422,$C77,'سجل الأكشنات'!$H$2:$H$422,"تفصيلي")</f>
        <v>10</v>
      </c>
      <c r="H77" s="5" t="n">
        <f aca="false">F77-G77</f>
        <v>2</v>
      </c>
      <c r="I77" s="5" t="str">
        <f aca="false">IF($B77&gt;"2026-07-27","لا توجد بيانات بعد",IF(AND(D77=0,F77=0),"بدون نشاط","نشِط"))</f>
        <v>نشِط</v>
      </c>
    </row>
    <row r="78" customFormat="false" ht="15" hidden="false" customHeight="false" outlineLevel="0" collapsed="false">
      <c r="A78" s="5" t="s">
        <v>53</v>
      </c>
      <c r="B78" s="5" t="s">
        <v>66</v>
      </c>
      <c r="C78" s="4" t="s">
        <v>22</v>
      </c>
      <c r="D78" s="5" t="n">
        <f aca="false">COUNTIFS('تفاصيل الفرص'!$B$2:$B$195,$B78,'تفاصيل الفرص'!$D$2:$D$195,$C78)</f>
        <v>11</v>
      </c>
      <c r="E78" s="5" t="n">
        <f aca="false">COUNTIFS('تفاصيل الفرص'!$B$2:$B$195,$B78,'تفاصيل الفرص'!$D$2:$D$195,$C78,'تفاصيل الفرص'!$X$2:$X$195,0)</f>
        <v>0</v>
      </c>
      <c r="F78" s="5" t="n">
        <f aca="false">COUNTIFS('سجل الأكشنات'!$B$2:$B$422,$B78,'سجل الأكشنات'!$D$2:$D$422,$C78)</f>
        <v>11</v>
      </c>
      <c r="G78" s="5" t="n">
        <f aca="false">COUNTIFS('سجل الأكشنات'!$B$2:$B$422,$B78,'سجل الأكشنات'!$D$2:$D$422,$C78,'سجل الأكشنات'!$H$2:$H$422,"تفصيلي")</f>
        <v>7</v>
      </c>
      <c r="H78" s="5" t="n">
        <f aca="false">F78-G78</f>
        <v>4</v>
      </c>
      <c r="I78" s="5" t="str">
        <f aca="false">IF($B78&gt;"2026-07-27","لا توجد بيانات بعد",IF(AND(D78=0,F78=0),"بدون نشاط","نشِط"))</f>
        <v>نشِط</v>
      </c>
    </row>
    <row r="79" customFormat="false" ht="15" hidden="false" customHeight="false" outlineLevel="0" collapsed="false">
      <c r="A79" s="5" t="s">
        <v>53</v>
      </c>
      <c r="B79" s="5" t="s">
        <v>66</v>
      </c>
      <c r="C79" s="4" t="s">
        <v>24</v>
      </c>
      <c r="D79" s="5" t="n">
        <f aca="false">COUNTIFS('تفاصيل الفرص'!$B$2:$B$195,$B79,'تفاصيل الفرص'!$D$2:$D$195,$C79)</f>
        <v>0</v>
      </c>
      <c r="E79" s="5" t="n">
        <f aca="false">COUNTIFS('تفاصيل الفرص'!$B$2:$B$195,$B79,'تفاصيل الفرص'!$D$2:$D$195,$C79,'تفاصيل الفرص'!$X$2:$X$195,0)</f>
        <v>0</v>
      </c>
      <c r="F79" s="5" t="n">
        <f aca="false">COUNTIFS('سجل الأكشنات'!$B$2:$B$422,$B79,'سجل الأكشنات'!$D$2:$D$422,$C79)</f>
        <v>4</v>
      </c>
      <c r="G79" s="5" t="n">
        <f aca="false">COUNTIFS('سجل الأكشنات'!$B$2:$B$422,$B79,'سجل الأكشنات'!$D$2:$D$422,$C79,'سجل الأكشنات'!$H$2:$H$422,"تفصيلي")</f>
        <v>4</v>
      </c>
      <c r="H79" s="5" t="n">
        <f aca="false">F79-G79</f>
        <v>0</v>
      </c>
      <c r="I79" s="5" t="str">
        <f aca="false">IF($B79&gt;"2026-07-27","لا توجد بيانات بعد",IF(AND(D79=0,F79=0),"بدون نشاط","نشِط"))</f>
        <v>نشِط</v>
      </c>
    </row>
    <row r="80" customFormat="false" ht="15" hidden="false" customHeight="false" outlineLevel="0" collapsed="false">
      <c r="A80" s="5" t="s">
        <v>53</v>
      </c>
      <c r="B80" s="5" t="s">
        <v>66</v>
      </c>
      <c r="C80" s="4" t="s">
        <v>26</v>
      </c>
      <c r="D80" s="5" t="n">
        <f aca="false">COUNTIFS('تفاصيل الفرص'!$B$2:$B$195,$B80,'تفاصيل الفرص'!$D$2:$D$195,$C80)</f>
        <v>4</v>
      </c>
      <c r="E80" s="5" t="n">
        <f aca="false">COUNTIFS('تفاصيل الفرص'!$B$2:$B$195,$B80,'تفاصيل الفرص'!$D$2:$D$195,$C80,'تفاصيل الفرص'!$X$2:$X$195,0)</f>
        <v>0</v>
      </c>
      <c r="F80" s="5" t="n">
        <f aca="false">COUNTIFS('سجل الأكشنات'!$B$2:$B$422,$B80,'سجل الأكشنات'!$D$2:$D$422,$C80)</f>
        <v>17</v>
      </c>
      <c r="G80" s="5" t="n">
        <f aca="false">COUNTIFS('سجل الأكشنات'!$B$2:$B$422,$B80,'سجل الأكشنات'!$D$2:$D$422,$C80,'سجل الأكشنات'!$H$2:$H$422,"تفصيلي")</f>
        <v>12</v>
      </c>
      <c r="H80" s="5" t="n">
        <f aca="false">F80-G80</f>
        <v>5</v>
      </c>
      <c r="I80" s="5" t="str">
        <f aca="false">IF($B80&gt;"2026-07-27","لا توجد بيانات بعد",IF(AND(D80=0,F80=0),"بدون نشاط","نشِط"))</f>
        <v>نشِط</v>
      </c>
    </row>
    <row r="81" customFormat="false" ht="15" hidden="false" customHeight="false" outlineLevel="0" collapsed="false">
      <c r="A81" s="5" t="s">
        <v>53</v>
      </c>
      <c r="B81" s="5" t="s">
        <v>66</v>
      </c>
      <c r="C81" s="4" t="s">
        <v>28</v>
      </c>
      <c r="D81" s="5" t="n">
        <f aca="false">COUNTIFS('تفاصيل الفرص'!$B$2:$B$195,$B81,'تفاصيل الفرص'!$D$2:$D$195,$C81)</f>
        <v>0</v>
      </c>
      <c r="E81" s="5" t="n">
        <f aca="false">COUNTIFS('تفاصيل الفرص'!$B$2:$B$195,$B81,'تفاصيل الفرص'!$D$2:$D$195,$C81,'تفاصيل الفرص'!$X$2:$X$195,0)</f>
        <v>0</v>
      </c>
      <c r="F81" s="5" t="n">
        <f aca="false">COUNTIFS('سجل الأكشنات'!$B$2:$B$422,$B81,'سجل الأكشنات'!$D$2:$D$422,$C81)</f>
        <v>0</v>
      </c>
      <c r="G81" s="5" t="n">
        <f aca="false">COUNTIFS('سجل الأكشنات'!$B$2:$B$422,$B81,'سجل الأكشنات'!$D$2:$D$422,$C81,'سجل الأكشنات'!$H$2:$H$422,"تفصيلي")</f>
        <v>0</v>
      </c>
      <c r="H81" s="5" t="n">
        <f aca="false">F81-G81</f>
        <v>0</v>
      </c>
      <c r="I81" s="5" t="str">
        <f aca="false">IF($B81&gt;"2026-07-27","لا توجد بيانات بعد",IF(AND(D81=0,F81=0),"بدون نشاط","نشِط"))</f>
        <v>بدون نشاط</v>
      </c>
    </row>
    <row r="82" customFormat="false" ht="15" hidden="false" customHeight="false" outlineLevel="0" collapsed="false">
      <c r="A82" s="5" t="s">
        <v>53</v>
      </c>
      <c r="B82" s="5" t="s">
        <v>66</v>
      </c>
      <c r="C82" s="4" t="s">
        <v>30</v>
      </c>
      <c r="D82" s="5" t="n">
        <f aca="false">COUNTIFS('تفاصيل الفرص'!$B$2:$B$195,$B82,'تفاصيل الفرص'!$D$2:$D$195,$C82)</f>
        <v>6</v>
      </c>
      <c r="E82" s="5" t="n">
        <f aca="false">COUNTIFS('تفاصيل الفرص'!$B$2:$B$195,$B82,'تفاصيل الفرص'!$D$2:$D$195,$C82,'تفاصيل الفرص'!$X$2:$X$195,0)</f>
        <v>0</v>
      </c>
      <c r="F82" s="5" t="n">
        <f aca="false">COUNTIFS('سجل الأكشنات'!$B$2:$B$422,$B82,'سجل الأكشنات'!$D$2:$D$422,$C82)</f>
        <v>6</v>
      </c>
      <c r="G82" s="5" t="n">
        <f aca="false">COUNTIFS('سجل الأكشنات'!$B$2:$B$422,$B82,'سجل الأكشنات'!$D$2:$D$422,$C82,'سجل الأكشنات'!$H$2:$H$422,"تفصيلي")</f>
        <v>5</v>
      </c>
      <c r="H82" s="5" t="n">
        <f aca="false">F82-G82</f>
        <v>1</v>
      </c>
      <c r="I82" s="5" t="str">
        <f aca="false">IF($B82&gt;"2026-07-27","لا توجد بيانات بعد",IF(AND(D82=0,F82=0),"بدون نشاط","نشِط"))</f>
        <v>نشِط</v>
      </c>
    </row>
    <row r="83" customFormat="false" ht="15" hidden="false" customHeight="false" outlineLevel="0" collapsed="false">
      <c r="A83" s="5" t="s">
        <v>53</v>
      </c>
      <c r="B83" s="5" t="s">
        <v>66</v>
      </c>
      <c r="C83" s="4" t="s">
        <v>32</v>
      </c>
      <c r="D83" s="5" t="n">
        <f aca="false">COUNTIFS('تفاصيل الفرص'!$B$2:$B$195,$B83,'تفاصيل الفرص'!$D$2:$D$195,$C83)</f>
        <v>4</v>
      </c>
      <c r="E83" s="5" t="n">
        <f aca="false">COUNTIFS('تفاصيل الفرص'!$B$2:$B$195,$B83,'تفاصيل الفرص'!$D$2:$D$195,$C83,'تفاصيل الفرص'!$X$2:$X$195,0)</f>
        <v>0</v>
      </c>
      <c r="F83" s="5" t="n">
        <f aca="false">COUNTIFS('سجل الأكشنات'!$B$2:$B$422,$B83,'سجل الأكشنات'!$D$2:$D$422,$C83)</f>
        <v>5</v>
      </c>
      <c r="G83" s="5" t="n">
        <f aca="false">COUNTIFS('سجل الأكشنات'!$B$2:$B$422,$B83,'سجل الأكشنات'!$D$2:$D$422,$C83,'سجل الأكشنات'!$H$2:$H$422,"تفصيلي")</f>
        <v>5</v>
      </c>
      <c r="H83" s="5" t="n">
        <f aca="false">F83-G83</f>
        <v>0</v>
      </c>
      <c r="I83" s="5" t="str">
        <f aca="false">IF($B83&gt;"2026-07-27","لا توجد بيانات بعد",IF(AND(D83=0,F83=0),"بدون نشاط","نشِط"))</f>
        <v>نشِط</v>
      </c>
    </row>
    <row r="84" customFormat="false" ht="15" hidden="false" customHeight="false" outlineLevel="0" collapsed="false">
      <c r="A84" s="5" t="s">
        <v>53</v>
      </c>
      <c r="B84" s="5" t="s">
        <v>66</v>
      </c>
      <c r="C84" s="4" t="s">
        <v>34</v>
      </c>
      <c r="D84" s="5" t="n">
        <f aca="false">COUNTIFS('تفاصيل الفرص'!$B$2:$B$195,$B84,'تفاصيل الفرص'!$D$2:$D$195,$C84)</f>
        <v>1</v>
      </c>
      <c r="E84" s="5" t="n">
        <f aca="false">COUNTIFS('تفاصيل الفرص'!$B$2:$B$195,$B84,'تفاصيل الفرص'!$D$2:$D$195,$C84,'تفاصيل الفرص'!$X$2:$X$195,0)</f>
        <v>0</v>
      </c>
      <c r="F84" s="5" t="n">
        <f aca="false">COUNTIFS('سجل الأكشنات'!$B$2:$B$422,$B84,'سجل الأكشنات'!$D$2:$D$422,$C84)</f>
        <v>1</v>
      </c>
      <c r="G84" s="5" t="n">
        <f aca="false">COUNTIFS('سجل الأكشنات'!$B$2:$B$422,$B84,'سجل الأكشنات'!$D$2:$D$422,$C84,'سجل الأكشنات'!$H$2:$H$422,"تفصيلي")</f>
        <v>1</v>
      </c>
      <c r="H84" s="5" t="n">
        <f aca="false">F84-G84</f>
        <v>0</v>
      </c>
      <c r="I84" s="5" t="str">
        <f aca="false">IF($B84&gt;"2026-07-27","لا توجد بيانات بعد",IF(AND(D84=0,F84=0),"بدون نشاط","نشِط"))</f>
        <v>نشِط</v>
      </c>
    </row>
    <row r="85" customFormat="false" ht="15" hidden="false" customHeight="false" outlineLevel="0" collapsed="false">
      <c r="A85" s="12" t="s">
        <v>55</v>
      </c>
      <c r="B85" s="12" t="s">
        <v>67</v>
      </c>
      <c r="C85" s="13" t="s">
        <v>18</v>
      </c>
      <c r="D85" s="12" t="n">
        <f aca="false">COUNTIFS('تفاصيل الفرص'!$B$2:$B$195,$B85,'تفاصيل الفرص'!$D$2:$D$195,$C85)</f>
        <v>3</v>
      </c>
      <c r="E85" s="12" t="n">
        <f aca="false">COUNTIFS('تفاصيل الفرص'!$B$2:$B$195,$B85,'تفاصيل الفرص'!$D$2:$D$195,$C85,'تفاصيل الفرص'!$X$2:$X$195,0)</f>
        <v>0</v>
      </c>
      <c r="F85" s="12" t="n">
        <f aca="false">COUNTIFS('سجل الأكشنات'!$B$2:$B$422,$B85,'سجل الأكشنات'!$D$2:$D$422,$C85)</f>
        <v>6</v>
      </c>
      <c r="G85" s="12" t="n">
        <f aca="false">COUNTIFS('سجل الأكشنات'!$B$2:$B$422,$B85,'سجل الأكشنات'!$D$2:$D$422,$C85,'سجل الأكشنات'!$H$2:$H$422,"تفصيلي")</f>
        <v>5</v>
      </c>
      <c r="H85" s="12" t="n">
        <f aca="false">F85-G85</f>
        <v>1</v>
      </c>
      <c r="I85" s="12" t="str">
        <f aca="false">IF($B85&gt;"2026-07-27","لا توجد بيانات بعد",IF(AND(D85=0,F85=0),"بدون نشاط","نشِط"))</f>
        <v>نشِط</v>
      </c>
    </row>
    <row r="86" customFormat="false" ht="15" hidden="false" customHeight="false" outlineLevel="0" collapsed="false">
      <c r="A86" s="12" t="s">
        <v>55</v>
      </c>
      <c r="B86" s="12" t="s">
        <v>67</v>
      </c>
      <c r="C86" s="13" t="s">
        <v>20</v>
      </c>
      <c r="D86" s="12" t="n">
        <f aca="false">COUNTIFS('تفاصيل الفرص'!$B$2:$B$195,$B86,'تفاصيل الفرص'!$D$2:$D$195,$C86)</f>
        <v>0</v>
      </c>
      <c r="E86" s="12" t="n">
        <f aca="false">COUNTIFS('تفاصيل الفرص'!$B$2:$B$195,$B86,'تفاصيل الفرص'!$D$2:$D$195,$C86,'تفاصيل الفرص'!$X$2:$X$195,0)</f>
        <v>0</v>
      </c>
      <c r="F86" s="12" t="n">
        <f aca="false">COUNTIFS('سجل الأكشنات'!$B$2:$B$422,$B86,'سجل الأكشنات'!$D$2:$D$422,$C86)</f>
        <v>0</v>
      </c>
      <c r="G86" s="12" t="n">
        <f aca="false">COUNTIFS('سجل الأكشنات'!$B$2:$B$422,$B86,'سجل الأكشنات'!$D$2:$D$422,$C86,'سجل الأكشنات'!$H$2:$H$422,"تفصيلي")</f>
        <v>0</v>
      </c>
      <c r="H86" s="12" t="n">
        <f aca="false">F86-G86</f>
        <v>0</v>
      </c>
      <c r="I86" s="12" t="str">
        <f aca="false">IF($B86&gt;"2026-07-27","لا توجد بيانات بعد",IF(AND(D86=0,F86=0),"بدون نشاط","نشِط"))</f>
        <v>بدون نشاط</v>
      </c>
    </row>
    <row r="87" customFormat="false" ht="15" hidden="false" customHeight="false" outlineLevel="0" collapsed="false">
      <c r="A87" s="12" t="s">
        <v>55</v>
      </c>
      <c r="B87" s="12" t="s">
        <v>67</v>
      </c>
      <c r="C87" s="13" t="s">
        <v>22</v>
      </c>
      <c r="D87" s="12" t="n">
        <f aca="false">COUNTIFS('تفاصيل الفرص'!$B$2:$B$195,$B87,'تفاصيل الفرص'!$D$2:$D$195,$C87)</f>
        <v>0</v>
      </c>
      <c r="E87" s="12" t="n">
        <f aca="false">COUNTIFS('تفاصيل الفرص'!$B$2:$B$195,$B87,'تفاصيل الفرص'!$D$2:$D$195,$C87,'تفاصيل الفرص'!$X$2:$X$195,0)</f>
        <v>0</v>
      </c>
      <c r="F87" s="12" t="n">
        <f aca="false">COUNTIFS('سجل الأكشنات'!$B$2:$B$422,$B87,'سجل الأكشنات'!$D$2:$D$422,$C87)</f>
        <v>0</v>
      </c>
      <c r="G87" s="12" t="n">
        <f aca="false">COUNTIFS('سجل الأكشنات'!$B$2:$B$422,$B87,'سجل الأكشنات'!$D$2:$D$422,$C87,'سجل الأكشنات'!$H$2:$H$422,"تفصيلي")</f>
        <v>0</v>
      </c>
      <c r="H87" s="12" t="n">
        <f aca="false">F87-G87</f>
        <v>0</v>
      </c>
      <c r="I87" s="12" t="str">
        <f aca="false">IF($B87&gt;"2026-07-27","لا توجد بيانات بعد",IF(AND(D87=0,F87=0),"بدون نشاط","نشِط"))</f>
        <v>بدون نشاط</v>
      </c>
    </row>
    <row r="88" customFormat="false" ht="15" hidden="false" customHeight="false" outlineLevel="0" collapsed="false">
      <c r="A88" s="12" t="s">
        <v>55</v>
      </c>
      <c r="B88" s="12" t="s">
        <v>67</v>
      </c>
      <c r="C88" s="13" t="s">
        <v>24</v>
      </c>
      <c r="D88" s="12" t="n">
        <f aca="false">COUNTIFS('تفاصيل الفرص'!$B$2:$B$195,$B88,'تفاصيل الفرص'!$D$2:$D$195,$C88)</f>
        <v>0</v>
      </c>
      <c r="E88" s="12" t="n">
        <f aca="false">COUNTIFS('تفاصيل الفرص'!$B$2:$B$195,$B88,'تفاصيل الفرص'!$D$2:$D$195,$C88,'تفاصيل الفرص'!$X$2:$X$195,0)</f>
        <v>0</v>
      </c>
      <c r="F88" s="12" t="n">
        <f aca="false">COUNTIFS('سجل الأكشنات'!$B$2:$B$422,$B88,'سجل الأكشنات'!$D$2:$D$422,$C88)</f>
        <v>0</v>
      </c>
      <c r="G88" s="12" t="n">
        <f aca="false">COUNTIFS('سجل الأكشنات'!$B$2:$B$422,$B88,'سجل الأكشنات'!$D$2:$D$422,$C88,'سجل الأكشنات'!$H$2:$H$422,"تفصيلي")</f>
        <v>0</v>
      </c>
      <c r="H88" s="12" t="n">
        <f aca="false">F88-G88</f>
        <v>0</v>
      </c>
      <c r="I88" s="12" t="str">
        <f aca="false">IF($B88&gt;"2026-07-27","لا توجد بيانات بعد",IF(AND(D88=0,F88=0),"بدون نشاط","نشِط"))</f>
        <v>بدون نشاط</v>
      </c>
    </row>
    <row r="89" customFormat="false" ht="15" hidden="false" customHeight="false" outlineLevel="0" collapsed="false">
      <c r="A89" s="12" t="s">
        <v>55</v>
      </c>
      <c r="B89" s="12" t="s">
        <v>67</v>
      </c>
      <c r="C89" s="13" t="s">
        <v>26</v>
      </c>
      <c r="D89" s="12" t="n">
        <f aca="false">COUNTIFS('تفاصيل الفرص'!$B$2:$B$195,$B89,'تفاصيل الفرص'!$D$2:$D$195,$C89)</f>
        <v>0</v>
      </c>
      <c r="E89" s="12" t="n">
        <f aca="false">COUNTIFS('تفاصيل الفرص'!$B$2:$B$195,$B89,'تفاصيل الفرص'!$D$2:$D$195,$C89,'تفاصيل الفرص'!$X$2:$X$195,0)</f>
        <v>0</v>
      </c>
      <c r="F89" s="12" t="n">
        <f aca="false">COUNTIFS('سجل الأكشنات'!$B$2:$B$422,$B89,'سجل الأكشنات'!$D$2:$D$422,$C89)</f>
        <v>0</v>
      </c>
      <c r="G89" s="12" t="n">
        <f aca="false">COUNTIFS('سجل الأكشنات'!$B$2:$B$422,$B89,'سجل الأكشنات'!$D$2:$D$422,$C89,'سجل الأكشنات'!$H$2:$H$422,"تفصيلي")</f>
        <v>0</v>
      </c>
      <c r="H89" s="12" t="n">
        <f aca="false">F89-G89</f>
        <v>0</v>
      </c>
      <c r="I89" s="12" t="str">
        <f aca="false">IF($B89&gt;"2026-07-27","لا توجد بيانات بعد",IF(AND(D89=0,F89=0),"بدون نشاط","نشِط"))</f>
        <v>بدون نشاط</v>
      </c>
    </row>
    <row r="90" customFormat="false" ht="15" hidden="false" customHeight="false" outlineLevel="0" collapsed="false">
      <c r="A90" s="12" t="s">
        <v>55</v>
      </c>
      <c r="B90" s="12" t="s">
        <v>67</v>
      </c>
      <c r="C90" s="13" t="s">
        <v>28</v>
      </c>
      <c r="D90" s="12" t="n">
        <f aca="false">COUNTIFS('تفاصيل الفرص'!$B$2:$B$195,$B90,'تفاصيل الفرص'!$D$2:$D$195,$C90)</f>
        <v>1</v>
      </c>
      <c r="E90" s="12" t="n">
        <f aca="false">COUNTIFS('تفاصيل الفرص'!$B$2:$B$195,$B90,'تفاصيل الفرص'!$D$2:$D$195,$C90,'تفاصيل الفرص'!$X$2:$X$195,0)</f>
        <v>0</v>
      </c>
      <c r="F90" s="12" t="n">
        <f aca="false">COUNTIFS('سجل الأكشنات'!$B$2:$B$422,$B90,'سجل الأكشنات'!$D$2:$D$422,$C90)</f>
        <v>6</v>
      </c>
      <c r="G90" s="12" t="n">
        <f aca="false">COUNTIFS('سجل الأكشنات'!$B$2:$B$422,$B90,'سجل الأكشنات'!$D$2:$D$422,$C90,'سجل الأكشنات'!$H$2:$H$422,"تفصيلي")</f>
        <v>6</v>
      </c>
      <c r="H90" s="12" t="n">
        <f aca="false">F90-G90</f>
        <v>0</v>
      </c>
      <c r="I90" s="12" t="str">
        <f aca="false">IF($B90&gt;"2026-07-27","لا توجد بيانات بعد",IF(AND(D90=0,F90=0),"بدون نشاط","نشِط"))</f>
        <v>نشِط</v>
      </c>
    </row>
    <row r="91" customFormat="false" ht="15" hidden="false" customHeight="false" outlineLevel="0" collapsed="false">
      <c r="A91" s="12" t="s">
        <v>55</v>
      </c>
      <c r="B91" s="12" t="s">
        <v>67</v>
      </c>
      <c r="C91" s="13" t="s">
        <v>30</v>
      </c>
      <c r="D91" s="12" t="n">
        <f aca="false">COUNTIFS('تفاصيل الفرص'!$B$2:$B$195,$B91,'تفاصيل الفرص'!$D$2:$D$195,$C91)</f>
        <v>0</v>
      </c>
      <c r="E91" s="12" t="n">
        <f aca="false">COUNTIFS('تفاصيل الفرص'!$B$2:$B$195,$B91,'تفاصيل الفرص'!$D$2:$D$195,$C91,'تفاصيل الفرص'!$X$2:$X$195,0)</f>
        <v>0</v>
      </c>
      <c r="F91" s="12" t="n">
        <f aca="false">COUNTIFS('سجل الأكشنات'!$B$2:$B$422,$B91,'سجل الأكشنات'!$D$2:$D$422,$C91)</f>
        <v>0</v>
      </c>
      <c r="G91" s="12" t="n">
        <f aca="false">COUNTIFS('سجل الأكشنات'!$B$2:$B$422,$B91,'سجل الأكشنات'!$D$2:$D$422,$C91,'سجل الأكشنات'!$H$2:$H$422,"تفصيلي")</f>
        <v>0</v>
      </c>
      <c r="H91" s="12" t="n">
        <f aca="false">F91-G91</f>
        <v>0</v>
      </c>
      <c r="I91" s="12" t="str">
        <f aca="false">IF($B91&gt;"2026-07-27","لا توجد بيانات بعد",IF(AND(D91=0,F91=0),"بدون نشاط","نشِط"))</f>
        <v>بدون نشاط</v>
      </c>
    </row>
    <row r="92" customFormat="false" ht="15" hidden="false" customHeight="false" outlineLevel="0" collapsed="false">
      <c r="A92" s="12" t="s">
        <v>55</v>
      </c>
      <c r="B92" s="12" t="s">
        <v>67</v>
      </c>
      <c r="C92" s="13" t="s">
        <v>32</v>
      </c>
      <c r="D92" s="12" t="n">
        <f aca="false">COUNTIFS('تفاصيل الفرص'!$B$2:$B$195,$B92,'تفاصيل الفرص'!$D$2:$D$195,$C92)</f>
        <v>0</v>
      </c>
      <c r="E92" s="12" t="n">
        <f aca="false">COUNTIFS('تفاصيل الفرص'!$B$2:$B$195,$B92,'تفاصيل الفرص'!$D$2:$D$195,$C92,'تفاصيل الفرص'!$X$2:$X$195,0)</f>
        <v>0</v>
      </c>
      <c r="F92" s="12" t="n">
        <f aca="false">COUNTIFS('سجل الأكشنات'!$B$2:$B$422,$B92,'سجل الأكشنات'!$D$2:$D$422,$C92)</f>
        <v>0</v>
      </c>
      <c r="G92" s="12" t="n">
        <f aca="false">COUNTIFS('سجل الأكشنات'!$B$2:$B$422,$B92,'سجل الأكشنات'!$D$2:$D$422,$C92,'سجل الأكشنات'!$H$2:$H$422,"تفصيلي")</f>
        <v>0</v>
      </c>
      <c r="H92" s="12" t="n">
        <f aca="false">F92-G92</f>
        <v>0</v>
      </c>
      <c r="I92" s="12" t="str">
        <f aca="false">IF($B92&gt;"2026-07-27","لا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55</v>
      </c>
      <c r="B93" s="12" t="s">
        <v>67</v>
      </c>
      <c r="C93" s="13" t="s">
        <v>34</v>
      </c>
      <c r="D93" s="12" t="n">
        <f aca="false">COUNTIFS('تفاصيل الفرص'!$B$2:$B$195,$B93,'تفاصيل الفرص'!$D$2:$D$195,$C93)</f>
        <v>0</v>
      </c>
      <c r="E93" s="12" t="n">
        <f aca="false">COUNTIFS('تفاصيل الفرص'!$B$2:$B$195,$B93,'تفاصيل الفرص'!$D$2:$D$195,$C93,'تفاصيل الفرص'!$X$2:$X$195,0)</f>
        <v>0</v>
      </c>
      <c r="F93" s="12" t="n">
        <f aca="false">COUNTIFS('سجل الأكشنات'!$B$2:$B$422,$B93,'سجل الأكشنات'!$D$2:$D$422,$C93)</f>
        <v>0</v>
      </c>
      <c r="G93" s="12" t="n">
        <f aca="false">COUNTIFS('سجل الأكشنات'!$B$2:$B$422,$B93,'سجل الأكشنات'!$D$2:$D$422,$C93,'سجل الأكشنات'!$H$2:$H$422,"تفصيلي")</f>
        <v>0</v>
      </c>
      <c r="H93" s="12" t="n">
        <f aca="false">F93-G93</f>
        <v>0</v>
      </c>
      <c r="I93" s="12" t="str">
        <f aca="false">IF($B93&gt;"2026-07-27","لا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5" t="s">
        <v>57</v>
      </c>
      <c r="B94" s="5" t="s">
        <v>68</v>
      </c>
      <c r="C94" s="4" t="s">
        <v>18</v>
      </c>
      <c r="D94" s="5" t="n">
        <f aca="false">COUNTIFS('تفاصيل الفرص'!$B$2:$B$195,$B94,'تفاصيل الفرص'!$D$2:$D$195,$C94)</f>
        <v>0</v>
      </c>
      <c r="E94" s="5" t="n">
        <f aca="false">COUNTIFS('تفاصيل الفرص'!$B$2:$B$195,$B94,'تفاصيل الفرص'!$D$2:$D$195,$C94,'تفاصيل الفرص'!$X$2:$X$195,0)</f>
        <v>0</v>
      </c>
      <c r="F94" s="5" t="n">
        <f aca="false">COUNTIFS('سجل الأكشنات'!$B$2:$B$422,$B94,'سجل الأكشنات'!$D$2:$D$422,$C94)</f>
        <v>3</v>
      </c>
      <c r="G94" s="5" t="n">
        <f aca="false">COUNTIFS('سجل الأكشنات'!$B$2:$B$422,$B94,'سجل الأكشنات'!$D$2:$D$422,$C94,'سجل الأكشنات'!$H$2:$H$422,"تفصيلي")</f>
        <v>2</v>
      </c>
      <c r="H94" s="5" t="n">
        <f aca="false">F94-G94</f>
        <v>1</v>
      </c>
      <c r="I94" s="5" t="str">
        <f aca="false">IF($B94&gt;"2026-07-27","لا توجد بيانات بعد",IF(AND(D94=0,F94=0),"بدون نشاط","نشِط"))</f>
        <v>نشِط</v>
      </c>
    </row>
    <row r="95" customFormat="false" ht="15" hidden="false" customHeight="false" outlineLevel="0" collapsed="false">
      <c r="A95" s="5" t="s">
        <v>57</v>
      </c>
      <c r="B95" s="5" t="s">
        <v>68</v>
      </c>
      <c r="C95" s="4" t="s">
        <v>20</v>
      </c>
      <c r="D95" s="5" t="n">
        <f aca="false">COUNTIFS('تفاصيل الفرص'!$B$2:$B$195,$B95,'تفاصيل الفرص'!$D$2:$D$195,$C95)</f>
        <v>8</v>
      </c>
      <c r="E95" s="5" t="n">
        <f aca="false">COUNTIFS('تفاصيل الفرص'!$B$2:$B$195,$B95,'تفاصيل الفرص'!$D$2:$D$195,$C95,'تفاصيل الفرص'!$X$2:$X$195,0)</f>
        <v>0</v>
      </c>
      <c r="F95" s="5" t="n">
        <f aca="false">COUNTIFS('سجل الأكشنات'!$B$2:$B$422,$B95,'سجل الأكشنات'!$D$2:$D$422,$C95)</f>
        <v>14</v>
      </c>
      <c r="G95" s="5" t="n">
        <f aca="false">COUNTIFS('سجل الأكشنات'!$B$2:$B$422,$B95,'سجل الأكشنات'!$D$2:$D$422,$C95,'سجل الأكشنات'!$H$2:$H$422,"تفصيلي")</f>
        <v>8</v>
      </c>
      <c r="H95" s="5" t="n">
        <f aca="false">F95-G95</f>
        <v>6</v>
      </c>
      <c r="I95" s="5" t="str">
        <f aca="false">IF($B95&gt;"2026-07-27","لا توجد بيانات بعد",IF(AND(D95=0,F95=0),"بدون نشاط","نشِط"))</f>
        <v>نشِط</v>
      </c>
    </row>
    <row r="96" customFormat="false" ht="15" hidden="false" customHeight="false" outlineLevel="0" collapsed="false">
      <c r="A96" s="5" t="s">
        <v>57</v>
      </c>
      <c r="B96" s="5" t="s">
        <v>68</v>
      </c>
      <c r="C96" s="4" t="s">
        <v>22</v>
      </c>
      <c r="D96" s="5" t="n">
        <f aca="false">COUNTIFS('تفاصيل الفرص'!$B$2:$B$195,$B96,'تفاصيل الفرص'!$D$2:$D$195,$C96)</f>
        <v>0</v>
      </c>
      <c r="E96" s="5" t="n">
        <f aca="false">COUNTIFS('تفاصيل الفرص'!$B$2:$B$195,$B96,'تفاصيل الفرص'!$D$2:$D$195,$C96,'تفاصيل الفرص'!$X$2:$X$195,0)</f>
        <v>0</v>
      </c>
      <c r="F96" s="5" t="n">
        <f aca="false">COUNTIFS('سجل الأكشنات'!$B$2:$B$422,$B96,'سجل الأكشنات'!$D$2:$D$422,$C96)</f>
        <v>0</v>
      </c>
      <c r="G96" s="5" t="n">
        <f aca="false">COUNTIFS('سجل الأكشنات'!$B$2:$B$422,$B96,'سجل الأكشنات'!$D$2:$D$422,$C96,'سجل الأكشنات'!$H$2:$H$422,"تفصيلي")</f>
        <v>0</v>
      </c>
      <c r="H96" s="5" t="n">
        <f aca="false">F96-G96</f>
        <v>0</v>
      </c>
      <c r="I96" s="5" t="str">
        <f aca="false">IF($B96&gt;"2026-07-27","لا توجد بيانات بعد",IF(AND(D96=0,F96=0),"بدون نشاط","نشِط"))</f>
        <v>بدون نشاط</v>
      </c>
    </row>
    <row r="97" customFormat="false" ht="15" hidden="false" customHeight="false" outlineLevel="0" collapsed="false">
      <c r="A97" s="5" t="s">
        <v>57</v>
      </c>
      <c r="B97" s="5" t="s">
        <v>68</v>
      </c>
      <c r="C97" s="4" t="s">
        <v>24</v>
      </c>
      <c r="D97" s="5" t="n">
        <f aca="false">COUNTIFS('تفاصيل الفرص'!$B$2:$B$195,$B97,'تفاصيل الفرص'!$D$2:$D$195,$C97)</f>
        <v>0</v>
      </c>
      <c r="E97" s="5" t="n">
        <f aca="false">COUNTIFS('تفاصيل الفرص'!$B$2:$B$195,$B97,'تفاصيل الفرص'!$D$2:$D$195,$C97,'تفاصيل الفرص'!$X$2:$X$195,0)</f>
        <v>0</v>
      </c>
      <c r="F97" s="5" t="n">
        <f aca="false">COUNTIFS('سجل الأكشنات'!$B$2:$B$422,$B97,'سجل الأكشنات'!$D$2:$D$422,$C97)</f>
        <v>0</v>
      </c>
      <c r="G97" s="5" t="n">
        <f aca="false">COUNTIFS('سجل الأكشنات'!$B$2:$B$422,$B97,'سجل الأكشنات'!$D$2:$D$422,$C97,'سجل الأكشنات'!$H$2:$H$422,"تفصيلي")</f>
        <v>0</v>
      </c>
      <c r="H97" s="5" t="n">
        <f aca="false">F97-G97</f>
        <v>0</v>
      </c>
      <c r="I97" s="5" t="str">
        <f aca="false">IF($B97&gt;"2026-07-27","لا توجد بيانات بعد",IF(AND(D97=0,F97=0),"بدون نشاط","نشِط"))</f>
        <v>بدون نشاط</v>
      </c>
    </row>
    <row r="98" customFormat="false" ht="15" hidden="false" customHeight="false" outlineLevel="0" collapsed="false">
      <c r="A98" s="5" t="s">
        <v>57</v>
      </c>
      <c r="B98" s="5" t="s">
        <v>68</v>
      </c>
      <c r="C98" s="4" t="s">
        <v>26</v>
      </c>
      <c r="D98" s="5" t="n">
        <f aca="false">COUNTIFS('تفاصيل الفرص'!$B$2:$B$195,$B98,'تفاصيل الفرص'!$D$2:$D$195,$C98)</f>
        <v>0</v>
      </c>
      <c r="E98" s="5" t="n">
        <f aca="false">COUNTIFS('تفاصيل الفرص'!$B$2:$B$195,$B98,'تفاصيل الفرص'!$D$2:$D$195,$C98,'تفاصيل الفرص'!$X$2:$X$195,0)</f>
        <v>0</v>
      </c>
      <c r="F98" s="5" t="n">
        <f aca="false">COUNTIFS('سجل الأكشنات'!$B$2:$B$422,$B98,'سجل الأكشنات'!$D$2:$D$422,$C98)</f>
        <v>1</v>
      </c>
      <c r="G98" s="5" t="n">
        <f aca="false">COUNTIFS('سجل الأكشنات'!$B$2:$B$422,$B98,'سجل الأكشنات'!$D$2:$D$422,$C98,'سجل الأكشنات'!$H$2:$H$422,"تفصيلي")</f>
        <v>1</v>
      </c>
      <c r="H98" s="5" t="n">
        <f aca="false">F98-G98</f>
        <v>0</v>
      </c>
      <c r="I98" s="5" t="str">
        <f aca="false">IF($B98&gt;"2026-07-27","لا توجد بيانات بعد",IF(AND(D98=0,F98=0),"بدون نشاط","نشِط"))</f>
        <v>نشِط</v>
      </c>
    </row>
    <row r="99" customFormat="false" ht="15" hidden="false" customHeight="false" outlineLevel="0" collapsed="false">
      <c r="A99" s="5" t="s">
        <v>57</v>
      </c>
      <c r="B99" s="5" t="s">
        <v>68</v>
      </c>
      <c r="C99" s="4" t="s">
        <v>28</v>
      </c>
      <c r="D99" s="5" t="n">
        <f aca="false">COUNTIFS('تفاصيل الفرص'!$B$2:$B$195,$B99,'تفاصيل الفرص'!$D$2:$D$195,$C99)</f>
        <v>1</v>
      </c>
      <c r="E99" s="5" t="n">
        <f aca="false">COUNTIFS('تفاصيل الفرص'!$B$2:$B$195,$B99,'تفاصيل الفرص'!$D$2:$D$195,$C99,'تفاصيل الفرص'!$X$2:$X$195,0)</f>
        <v>0</v>
      </c>
      <c r="F99" s="5" t="n">
        <f aca="false">COUNTIFS('سجل الأكشنات'!$B$2:$B$422,$B99,'سجل الأكشنات'!$D$2:$D$422,$C99)</f>
        <v>5</v>
      </c>
      <c r="G99" s="5" t="n">
        <f aca="false">COUNTIFS('سجل الأكشنات'!$B$2:$B$422,$B99,'سجل الأكشنات'!$D$2:$D$422,$C99,'سجل الأكشنات'!$H$2:$H$422,"تفصيلي")</f>
        <v>4</v>
      </c>
      <c r="H99" s="5" t="n">
        <f aca="false">F99-G99</f>
        <v>1</v>
      </c>
      <c r="I99" s="5" t="str">
        <f aca="false">IF($B99&gt;"2026-07-27","لا توجد بيانات بعد",IF(AND(D99=0,F99=0),"بدون نشاط","نشِط"))</f>
        <v>نشِط</v>
      </c>
    </row>
    <row r="100" customFormat="false" ht="15" hidden="false" customHeight="false" outlineLevel="0" collapsed="false">
      <c r="A100" s="5" t="s">
        <v>57</v>
      </c>
      <c r="B100" s="5" t="s">
        <v>68</v>
      </c>
      <c r="C100" s="4" t="s">
        <v>30</v>
      </c>
      <c r="D100" s="5" t="n">
        <f aca="false">COUNTIFS('تفاصيل الفرص'!$B$2:$B$195,$B100,'تفاصيل الفرص'!$D$2:$D$195,$C100)</f>
        <v>4</v>
      </c>
      <c r="E100" s="5" t="n">
        <f aca="false">COUNTIFS('تفاصيل الفرص'!$B$2:$B$195,$B100,'تفاصيل الفرص'!$D$2:$D$195,$C100,'تفاصيل الفرص'!$X$2:$X$195,0)</f>
        <v>0</v>
      </c>
      <c r="F100" s="5" t="n">
        <f aca="false">COUNTIFS('سجل الأكشنات'!$B$2:$B$422,$B100,'سجل الأكشنات'!$D$2:$D$422,$C100)</f>
        <v>8</v>
      </c>
      <c r="G100" s="5" t="n">
        <f aca="false">COUNTIFS('سجل الأكشنات'!$B$2:$B$422,$B100,'سجل الأكشنات'!$D$2:$D$422,$C100,'سجل الأكشنات'!$H$2:$H$422,"تفصيلي")</f>
        <v>4</v>
      </c>
      <c r="H100" s="5" t="n">
        <f aca="false">F100-G100</f>
        <v>4</v>
      </c>
      <c r="I100" s="5" t="str">
        <f aca="false">IF($B100&gt;"2026-07-27","لا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57</v>
      </c>
      <c r="B101" s="5" t="s">
        <v>68</v>
      </c>
      <c r="C101" s="4" t="s">
        <v>32</v>
      </c>
      <c r="D101" s="5" t="n">
        <f aca="false">COUNTIFS('تفاصيل الفرص'!$B$2:$B$195,$B101,'تفاصيل الفرص'!$D$2:$D$195,$C101)</f>
        <v>6</v>
      </c>
      <c r="E101" s="5" t="n">
        <f aca="false">COUNTIFS('تفاصيل الفرص'!$B$2:$B$195,$B101,'تفاصيل الفرص'!$D$2:$D$195,$C101,'تفاصيل الفرص'!$X$2:$X$195,0)</f>
        <v>0</v>
      </c>
      <c r="F101" s="5" t="n">
        <f aca="false">COUNTIFS('سجل الأكشنات'!$B$2:$B$422,$B101,'سجل الأكشنات'!$D$2:$D$422,$C101)</f>
        <v>7</v>
      </c>
      <c r="G101" s="5" t="n">
        <f aca="false">COUNTIFS('سجل الأكشنات'!$B$2:$B$422,$B101,'سجل الأكشنات'!$D$2:$D$422,$C101,'سجل الأكشنات'!$H$2:$H$422,"تفصيلي")</f>
        <v>7</v>
      </c>
      <c r="H101" s="5" t="n">
        <f aca="false">F101-G101</f>
        <v>0</v>
      </c>
      <c r="I101" s="5" t="str">
        <f aca="false">IF($B101&gt;"2026-07-27","لا توجد بيانات بعد",IF(AND(D101=0,F101=0),"بدون نشاط","نشِط"))</f>
        <v>نشِط</v>
      </c>
    </row>
    <row r="102" customFormat="false" ht="15" hidden="false" customHeight="false" outlineLevel="0" collapsed="false">
      <c r="A102" s="5" t="s">
        <v>57</v>
      </c>
      <c r="B102" s="5" t="s">
        <v>68</v>
      </c>
      <c r="C102" s="4" t="s">
        <v>34</v>
      </c>
      <c r="D102" s="5" t="n">
        <f aca="false">COUNTIFS('تفاصيل الفرص'!$B$2:$B$195,$B102,'تفاصيل الفرص'!$D$2:$D$195,$C102)</f>
        <v>0</v>
      </c>
      <c r="E102" s="5" t="n">
        <f aca="false">COUNTIFS('تفاصيل الفرص'!$B$2:$B$195,$B102,'تفاصيل الفرص'!$D$2:$D$195,$C102,'تفاصيل الفرص'!$X$2:$X$195,0)</f>
        <v>0</v>
      </c>
      <c r="F102" s="5" t="n">
        <f aca="false">COUNTIFS('سجل الأكشنات'!$B$2:$B$422,$B102,'سجل الأكشنات'!$D$2:$D$422,$C102)</f>
        <v>0</v>
      </c>
      <c r="G102" s="5" t="n">
        <f aca="false">COUNTIFS('سجل الأكشنات'!$B$2:$B$422,$B102,'سجل الأكشنات'!$D$2:$D$422,$C102,'سجل الأكشنات'!$H$2:$H$422,"تفصيلي")</f>
        <v>0</v>
      </c>
      <c r="H102" s="5" t="n">
        <f aca="false">F102-G102</f>
        <v>0</v>
      </c>
      <c r="I102" s="5" t="str">
        <f aca="false">IF($B102&gt;"2026-07-27","لا توجد بيانات بعد",IF(AND(D102=0,F102=0),"بدون نشاط","نشِط"))</f>
        <v>بدون نشاط</v>
      </c>
    </row>
    <row r="103" customFormat="false" ht="15" hidden="false" customHeight="false" outlineLevel="0" collapsed="false">
      <c r="A103" s="12" t="s">
        <v>59</v>
      </c>
      <c r="B103" s="12" t="s">
        <v>69</v>
      </c>
      <c r="C103" s="13" t="s">
        <v>18</v>
      </c>
      <c r="D103" s="12" t="n">
        <f aca="false">COUNTIFS('تفاصيل الفرص'!$B$2:$B$195,$B103,'تفاصيل الفرص'!$D$2:$D$195,$C103)</f>
        <v>1</v>
      </c>
      <c r="E103" s="12" t="n">
        <f aca="false">COUNTIFS('تفاصيل الفرص'!$B$2:$B$195,$B103,'تفاصيل الفرص'!$D$2:$D$195,$C103,'تفاصيل الفرص'!$X$2:$X$195,0)</f>
        <v>0</v>
      </c>
      <c r="F103" s="12" t="n">
        <f aca="false">COUNTIFS('سجل الأكشنات'!$B$2:$B$422,$B103,'سجل الأكشنات'!$D$2:$D$422,$C103)</f>
        <v>3</v>
      </c>
      <c r="G103" s="12" t="n">
        <f aca="false">COUNTIFS('سجل الأكشنات'!$B$2:$B$422,$B103,'سجل الأكشنات'!$D$2:$D$422,$C103,'سجل الأكشنات'!$H$2:$H$422,"تفصيلي")</f>
        <v>2</v>
      </c>
      <c r="H103" s="12" t="n">
        <f aca="false">F103-G103</f>
        <v>1</v>
      </c>
      <c r="I103" s="12" t="str">
        <f aca="false">IF($B103&gt;"2026-07-27","لا توجد بيانات بعد",IF(AND(D103=0,F103=0),"بدون نشاط","نشِط"))</f>
        <v>نشِط</v>
      </c>
    </row>
    <row r="104" customFormat="false" ht="15" hidden="false" customHeight="false" outlineLevel="0" collapsed="false">
      <c r="A104" s="12" t="s">
        <v>59</v>
      </c>
      <c r="B104" s="12" t="s">
        <v>69</v>
      </c>
      <c r="C104" s="13" t="s">
        <v>20</v>
      </c>
      <c r="D104" s="12" t="n">
        <f aca="false">COUNTIFS('تفاصيل الفرص'!$B$2:$B$195,$B104,'تفاصيل الفرص'!$D$2:$D$195,$C104)</f>
        <v>1</v>
      </c>
      <c r="E104" s="12" t="n">
        <f aca="false">COUNTIFS('تفاصيل الفرص'!$B$2:$B$195,$B104,'تفاصيل الفرص'!$D$2:$D$195,$C104,'تفاصيل الفرص'!$X$2:$X$195,0)</f>
        <v>0</v>
      </c>
      <c r="F104" s="12" t="n">
        <f aca="false">COUNTIFS('سجل الأكشنات'!$B$2:$B$422,$B104,'سجل الأكشنات'!$D$2:$D$422,$C104)</f>
        <v>6</v>
      </c>
      <c r="G104" s="12" t="n">
        <f aca="false">COUNTIFS('سجل الأكشنات'!$B$2:$B$422,$B104,'سجل الأكشنات'!$D$2:$D$422,$C104,'سجل الأكشنات'!$H$2:$H$422,"تفصيلي")</f>
        <v>3</v>
      </c>
      <c r="H104" s="12" t="n">
        <f aca="false">F104-G104</f>
        <v>3</v>
      </c>
      <c r="I104" s="12" t="str">
        <f aca="false">IF($B104&gt;"2026-07-27","لا توجد بيانات بعد",IF(AND(D104=0,F104=0),"بدون نشاط","نشِط"))</f>
        <v>نشِط</v>
      </c>
    </row>
    <row r="105" customFormat="false" ht="15" hidden="false" customHeight="false" outlineLevel="0" collapsed="false">
      <c r="A105" s="12" t="s">
        <v>59</v>
      </c>
      <c r="B105" s="12" t="s">
        <v>69</v>
      </c>
      <c r="C105" s="13" t="s">
        <v>22</v>
      </c>
      <c r="D105" s="12" t="n">
        <f aca="false">COUNTIFS('تفاصيل الفرص'!$B$2:$B$195,$B105,'تفاصيل الفرص'!$D$2:$D$195,$C105)</f>
        <v>0</v>
      </c>
      <c r="E105" s="12" t="n">
        <f aca="false">COUNTIFS('تفاصيل الفرص'!$B$2:$B$195,$B105,'تفاصيل الفرص'!$D$2:$D$195,$C105,'تفاصيل الفرص'!$X$2:$X$195,0)</f>
        <v>0</v>
      </c>
      <c r="F105" s="12" t="n">
        <f aca="false">COUNTIFS('سجل الأكشنات'!$B$2:$B$422,$B105,'سجل الأكشنات'!$D$2:$D$422,$C105)</f>
        <v>0</v>
      </c>
      <c r="G105" s="12" t="n">
        <f aca="false">COUNTIFS('سجل الأكشنات'!$B$2:$B$422,$B105,'سجل الأكشنات'!$D$2:$D$422,$C105,'سجل الأكشنات'!$H$2:$H$422,"تفصيلي")</f>
        <v>0</v>
      </c>
      <c r="H105" s="12" t="n">
        <f aca="false">F105-G105</f>
        <v>0</v>
      </c>
      <c r="I105" s="12" t="str">
        <f aca="false">IF($B105&gt;"2026-07-27","لا توجد بيانات بعد",IF(AND(D105=0,F105=0),"بدون نشاط","نشِط"))</f>
        <v>بدون نشاط</v>
      </c>
    </row>
    <row r="106" customFormat="false" ht="15" hidden="false" customHeight="false" outlineLevel="0" collapsed="false">
      <c r="A106" s="12" t="s">
        <v>59</v>
      </c>
      <c r="B106" s="12" t="s">
        <v>69</v>
      </c>
      <c r="C106" s="13" t="s">
        <v>24</v>
      </c>
      <c r="D106" s="12" t="n">
        <f aca="false">COUNTIFS('تفاصيل الفرص'!$B$2:$B$195,$B106,'تفاصيل الفرص'!$D$2:$D$195,$C106)</f>
        <v>2</v>
      </c>
      <c r="E106" s="12" t="n">
        <f aca="false">COUNTIFS('تفاصيل الفرص'!$B$2:$B$195,$B106,'تفاصيل الفرص'!$D$2:$D$195,$C106,'تفاصيل الفرص'!$X$2:$X$195,0)</f>
        <v>0</v>
      </c>
      <c r="F106" s="12" t="n">
        <f aca="false">COUNTIFS('سجل الأكشنات'!$B$2:$B$422,$B106,'سجل الأكشنات'!$D$2:$D$422,$C106)</f>
        <v>7</v>
      </c>
      <c r="G106" s="12" t="n">
        <f aca="false">COUNTIFS('سجل الأكشنات'!$B$2:$B$422,$B106,'سجل الأكشنات'!$D$2:$D$422,$C106,'سجل الأكشنات'!$H$2:$H$422,"تفصيلي")</f>
        <v>7</v>
      </c>
      <c r="H106" s="12" t="n">
        <f aca="false">F106-G106</f>
        <v>0</v>
      </c>
      <c r="I106" s="12" t="str">
        <f aca="false">IF($B106&gt;"2026-07-27","لا توجد بيانات بعد",IF(AND(D106=0,F106=0),"بدون نشاط","نشِط"))</f>
        <v>نشِط</v>
      </c>
    </row>
    <row r="107" customFormat="false" ht="15" hidden="false" customHeight="false" outlineLevel="0" collapsed="false">
      <c r="A107" s="12" t="s">
        <v>59</v>
      </c>
      <c r="B107" s="12" t="s">
        <v>69</v>
      </c>
      <c r="C107" s="13" t="s">
        <v>26</v>
      </c>
      <c r="D107" s="12" t="n">
        <f aca="false">COUNTIFS('تفاصيل الفرص'!$B$2:$B$195,$B107,'تفاصيل الفرص'!$D$2:$D$195,$C107)</f>
        <v>0</v>
      </c>
      <c r="E107" s="12" t="n">
        <f aca="false">COUNTIFS('تفاصيل الفرص'!$B$2:$B$195,$B107,'تفاصيل الفرص'!$D$2:$D$195,$C107,'تفاصيل الفرص'!$X$2:$X$195,0)</f>
        <v>0</v>
      </c>
      <c r="F107" s="12" t="n">
        <f aca="false">COUNTIFS('سجل الأكشنات'!$B$2:$B$422,$B107,'سجل الأكشنات'!$D$2:$D$422,$C107)</f>
        <v>1</v>
      </c>
      <c r="G107" s="12" t="n">
        <f aca="false">COUNTIFS('سجل الأكشنات'!$B$2:$B$422,$B107,'سجل الأكشنات'!$D$2:$D$422,$C107,'سجل الأكشنات'!$H$2:$H$422,"تفصيلي")</f>
        <v>1</v>
      </c>
      <c r="H107" s="12" t="n">
        <f aca="false">F107-G107</f>
        <v>0</v>
      </c>
      <c r="I107" s="12" t="str">
        <f aca="false">IF($B107&gt;"2026-07-27","لا توجد بيانات بعد",IF(AND(D107=0,F107=0),"بدون نشاط","نشِط"))</f>
        <v>نشِط</v>
      </c>
    </row>
    <row r="108" customFormat="false" ht="15" hidden="false" customHeight="false" outlineLevel="0" collapsed="false">
      <c r="A108" s="12" t="s">
        <v>59</v>
      </c>
      <c r="B108" s="12" t="s">
        <v>69</v>
      </c>
      <c r="C108" s="13" t="s">
        <v>28</v>
      </c>
      <c r="D108" s="12" t="n">
        <f aca="false">COUNTIFS('تفاصيل الفرص'!$B$2:$B$195,$B108,'تفاصيل الفرص'!$D$2:$D$195,$C108)</f>
        <v>0</v>
      </c>
      <c r="E108" s="12" t="n">
        <f aca="false">COUNTIFS('تفاصيل الفرص'!$B$2:$B$195,$B108,'تفاصيل الفرص'!$D$2:$D$195,$C108,'تفاصيل الفرص'!$X$2:$X$195,0)</f>
        <v>0</v>
      </c>
      <c r="F108" s="12" t="n">
        <f aca="false">COUNTIFS('سجل الأكشنات'!$B$2:$B$422,$B108,'سجل الأكشنات'!$D$2:$D$422,$C108)</f>
        <v>2</v>
      </c>
      <c r="G108" s="12" t="n">
        <f aca="false">COUNTIFS('سجل الأكشنات'!$B$2:$B$422,$B108,'سجل الأكشنات'!$D$2:$D$422,$C108,'سجل الأكشنات'!$H$2:$H$422,"تفصيلي")</f>
        <v>1</v>
      </c>
      <c r="H108" s="12" t="n">
        <f aca="false">F108-G108</f>
        <v>1</v>
      </c>
      <c r="I108" s="12" t="str">
        <f aca="false">IF($B108&gt;"2026-07-27","لا توجد بيانات بعد",IF(AND(D108=0,F108=0),"بدون نشاط","نشِط"))</f>
        <v>نشِط</v>
      </c>
    </row>
    <row r="109" customFormat="false" ht="15" hidden="false" customHeight="false" outlineLevel="0" collapsed="false">
      <c r="A109" s="12" t="s">
        <v>59</v>
      </c>
      <c r="B109" s="12" t="s">
        <v>69</v>
      </c>
      <c r="C109" s="13" t="s">
        <v>30</v>
      </c>
      <c r="D109" s="12" t="n">
        <f aca="false">COUNTIFS('تفاصيل الفرص'!$B$2:$B$195,$B109,'تفاصيل الفرص'!$D$2:$D$195,$C109)</f>
        <v>7</v>
      </c>
      <c r="E109" s="12" t="n">
        <f aca="false">COUNTIFS('تفاصيل الفرص'!$B$2:$B$195,$B109,'تفاصيل الفرص'!$D$2:$D$195,$C109,'تفاصيل الفرص'!$X$2:$X$195,0)</f>
        <v>0</v>
      </c>
      <c r="F109" s="12" t="n">
        <f aca="false">COUNTIFS('سجل الأكشنات'!$B$2:$B$422,$B109,'سجل الأكشنات'!$D$2:$D$422,$C109)</f>
        <v>12</v>
      </c>
      <c r="G109" s="12" t="n">
        <f aca="false">COUNTIFS('سجل الأكشنات'!$B$2:$B$422,$B109,'سجل الأكشنات'!$D$2:$D$422,$C109,'سجل الأكشنات'!$H$2:$H$422,"تفصيلي")</f>
        <v>4</v>
      </c>
      <c r="H109" s="12" t="n">
        <f aca="false">F109-G109</f>
        <v>8</v>
      </c>
      <c r="I109" s="12" t="str">
        <f aca="false">IF($B109&gt;"2026-07-27","لا توجد بيانات بعد",IF(AND(D109=0,F109=0),"بدون نشاط","نشِط"))</f>
        <v>نشِط</v>
      </c>
    </row>
    <row r="110" customFormat="false" ht="15" hidden="false" customHeight="false" outlineLevel="0" collapsed="false">
      <c r="A110" s="12" t="s">
        <v>59</v>
      </c>
      <c r="B110" s="12" t="s">
        <v>69</v>
      </c>
      <c r="C110" s="13" t="s">
        <v>32</v>
      </c>
      <c r="D110" s="12" t="n">
        <f aca="false">COUNTIFS('تفاصيل الفرص'!$B$2:$B$195,$B110,'تفاصيل الفرص'!$D$2:$D$195,$C110)</f>
        <v>2</v>
      </c>
      <c r="E110" s="12" t="n">
        <f aca="false">COUNTIFS('تفاصيل الفرص'!$B$2:$B$195,$B110,'تفاصيل الفرص'!$D$2:$D$195,$C110,'تفاصيل الفرص'!$X$2:$X$195,0)</f>
        <v>0</v>
      </c>
      <c r="F110" s="12" t="n">
        <f aca="false">COUNTIFS('سجل الأكشنات'!$B$2:$B$422,$B110,'سجل الأكشنات'!$D$2:$D$422,$C110)</f>
        <v>8</v>
      </c>
      <c r="G110" s="12" t="n">
        <f aca="false">COUNTIFS('سجل الأكشنات'!$B$2:$B$422,$B110,'سجل الأكشنات'!$D$2:$D$422,$C110,'سجل الأكشنات'!$H$2:$H$422,"تفصيلي")</f>
        <v>6</v>
      </c>
      <c r="H110" s="12" t="n">
        <f aca="false">F110-G110</f>
        <v>2</v>
      </c>
      <c r="I110" s="12" t="str">
        <f aca="false">IF($B110&gt;"2026-07-27","لا توجد بيانات بعد",IF(AND(D110=0,F110=0),"بدون نشاط","نشِط"))</f>
        <v>نشِط</v>
      </c>
    </row>
    <row r="111" customFormat="false" ht="15" hidden="false" customHeight="false" outlineLevel="0" collapsed="false">
      <c r="A111" s="12" t="s">
        <v>59</v>
      </c>
      <c r="B111" s="12" t="s">
        <v>69</v>
      </c>
      <c r="C111" s="13" t="s">
        <v>34</v>
      </c>
      <c r="D111" s="12" t="n">
        <f aca="false">COUNTIFS('تفاصيل الفرص'!$B$2:$B$195,$B111,'تفاصيل الفرص'!$D$2:$D$195,$C111)</f>
        <v>0</v>
      </c>
      <c r="E111" s="12" t="n">
        <f aca="false">COUNTIFS('تفاصيل الفرص'!$B$2:$B$195,$B111,'تفاصيل الفرص'!$D$2:$D$195,$C111,'تفاصيل الفرص'!$X$2:$X$195,0)</f>
        <v>0</v>
      </c>
      <c r="F111" s="12" t="n">
        <f aca="false">COUNTIFS('سجل الأكشنات'!$B$2:$B$422,$B111,'سجل الأكشنات'!$D$2:$D$422,$C111)</f>
        <v>0</v>
      </c>
      <c r="G111" s="12" t="n">
        <f aca="false">COUNTIFS('سجل الأكشنات'!$B$2:$B$422,$B111,'سجل الأكشنات'!$D$2:$D$422,$C111,'سجل الأكشنات'!$H$2:$H$422,"تفصيلي")</f>
        <v>0</v>
      </c>
      <c r="H111" s="12" t="n">
        <f aca="false">F111-G111</f>
        <v>0</v>
      </c>
      <c r="I111" s="12" t="str">
        <f aca="false">IF($B111&gt;"2026-07-27","لا توجد بيانات بعد",IF(AND(D111=0,F111=0),"بدون نشاط","نشِط"))</f>
        <v>بدون نشاط</v>
      </c>
    </row>
    <row r="112" customFormat="false" ht="15" hidden="false" customHeight="false" outlineLevel="0" collapsed="false">
      <c r="A112" s="5" t="s">
        <v>61</v>
      </c>
      <c r="B112" s="5" t="s">
        <v>70</v>
      </c>
      <c r="C112" s="4" t="s">
        <v>18</v>
      </c>
      <c r="D112" s="5" t="n">
        <f aca="false">COUNTIFS('تفاصيل الفرص'!$B$2:$B$195,$B112,'تفاصيل الفرص'!$D$2:$D$195,$C112)</f>
        <v>4</v>
      </c>
      <c r="E112" s="5" t="n">
        <f aca="false">COUNTIFS('تفاصيل الفرص'!$B$2:$B$195,$B112,'تفاصيل الفرص'!$D$2:$D$195,$C112,'تفاصيل الفرص'!$X$2:$X$195,0)</f>
        <v>0</v>
      </c>
      <c r="F112" s="5" t="n">
        <f aca="false">COUNTIFS('سجل الأكشنات'!$B$2:$B$422,$B112,'سجل الأكشنات'!$D$2:$D$422,$C112)</f>
        <v>7</v>
      </c>
      <c r="G112" s="5" t="n">
        <f aca="false">COUNTIFS('سجل الأكشنات'!$B$2:$B$422,$B112,'سجل الأكشنات'!$D$2:$D$422,$C112,'سجل الأكشنات'!$H$2:$H$422,"تفصيلي")</f>
        <v>7</v>
      </c>
      <c r="H112" s="5" t="n">
        <f aca="false">F112-G112</f>
        <v>0</v>
      </c>
      <c r="I112" s="5" t="str">
        <f aca="false">IF($B112&gt;"2026-07-27","لا توجد بيانات بعد",IF(AND(D112=0,F112=0),"بدون نشاط","نشِط"))</f>
        <v>نشِط</v>
      </c>
    </row>
    <row r="113" customFormat="false" ht="15" hidden="false" customHeight="false" outlineLevel="0" collapsed="false">
      <c r="A113" s="5" t="s">
        <v>61</v>
      </c>
      <c r="B113" s="5" t="s">
        <v>70</v>
      </c>
      <c r="C113" s="4" t="s">
        <v>20</v>
      </c>
      <c r="D113" s="5" t="n">
        <f aca="false">COUNTIFS('تفاصيل الفرص'!$B$2:$B$195,$B113,'تفاصيل الفرص'!$D$2:$D$195,$C113)</f>
        <v>0</v>
      </c>
      <c r="E113" s="5" t="n">
        <f aca="false">COUNTIFS('تفاصيل الفرص'!$B$2:$B$195,$B113,'تفاصيل الفرص'!$D$2:$D$195,$C113,'تفاصيل الفرص'!$X$2:$X$195,0)</f>
        <v>0</v>
      </c>
      <c r="F113" s="5" t="n">
        <f aca="false">COUNTIFS('سجل الأكشنات'!$B$2:$B$422,$B113,'سجل الأكشنات'!$D$2:$D$422,$C113)</f>
        <v>0</v>
      </c>
      <c r="G113" s="5" t="n">
        <f aca="false">COUNTIFS('سجل الأكشنات'!$B$2:$B$422,$B113,'سجل الأكشنات'!$D$2:$D$422,$C113,'سجل الأكشنات'!$H$2:$H$422,"تفصيلي")</f>
        <v>0</v>
      </c>
      <c r="H113" s="5" t="n">
        <f aca="false">F113-G113</f>
        <v>0</v>
      </c>
      <c r="I113" s="5" t="str">
        <f aca="false">IF($B113&gt;"2026-07-27","لا توجد بيانات بعد",IF(AND(D113=0,F113=0),"بدون نشاط","نشِط"))</f>
        <v>بدون نشاط</v>
      </c>
    </row>
    <row r="114" customFormat="false" ht="15" hidden="false" customHeight="false" outlineLevel="0" collapsed="false">
      <c r="A114" s="5" t="s">
        <v>61</v>
      </c>
      <c r="B114" s="5" t="s">
        <v>70</v>
      </c>
      <c r="C114" s="4" t="s">
        <v>22</v>
      </c>
      <c r="D114" s="5" t="n">
        <f aca="false">COUNTIFS('تفاصيل الفرص'!$B$2:$B$195,$B114,'تفاصيل الفرص'!$D$2:$D$195,$C114)</f>
        <v>0</v>
      </c>
      <c r="E114" s="5" t="n">
        <f aca="false">COUNTIFS('تفاصيل الفرص'!$B$2:$B$195,$B114,'تفاصيل الفرص'!$D$2:$D$195,$C114,'تفاصيل الفرص'!$X$2:$X$195,0)</f>
        <v>0</v>
      </c>
      <c r="F114" s="5" t="n">
        <f aca="false">COUNTIFS('سجل الأكشنات'!$B$2:$B$422,$B114,'سجل الأكشنات'!$D$2:$D$422,$C114)</f>
        <v>0</v>
      </c>
      <c r="G114" s="5" t="n">
        <f aca="false">COUNTIFS('سجل الأكشنات'!$B$2:$B$422,$B114,'سجل الأكشنات'!$D$2:$D$422,$C114,'سجل الأكشنات'!$H$2:$H$422,"تفصيلي")</f>
        <v>0</v>
      </c>
      <c r="H114" s="5" t="n">
        <f aca="false">F114-G114</f>
        <v>0</v>
      </c>
      <c r="I114" s="5" t="str">
        <f aca="false">IF($B114&gt;"2026-07-27","لا توجد بيانات بعد",IF(AND(D114=0,F114=0),"بدون نشاط","نشِط"))</f>
        <v>بدون نشاط</v>
      </c>
    </row>
    <row r="115" customFormat="false" ht="15" hidden="false" customHeight="false" outlineLevel="0" collapsed="false">
      <c r="A115" s="5" t="s">
        <v>61</v>
      </c>
      <c r="B115" s="5" t="s">
        <v>70</v>
      </c>
      <c r="C115" s="4" t="s">
        <v>24</v>
      </c>
      <c r="D115" s="5" t="n">
        <f aca="false">COUNTIFS('تفاصيل الفرص'!$B$2:$B$195,$B115,'تفاصيل الفرص'!$D$2:$D$195,$C115)</f>
        <v>0</v>
      </c>
      <c r="E115" s="5" t="n">
        <f aca="false">COUNTIFS('تفاصيل الفرص'!$B$2:$B$195,$B115,'تفاصيل الفرص'!$D$2:$D$195,$C115,'تفاصيل الفرص'!$X$2:$X$195,0)</f>
        <v>0</v>
      </c>
      <c r="F115" s="5" t="n">
        <f aca="false">COUNTIFS('سجل الأكشنات'!$B$2:$B$422,$B115,'سجل الأكشنات'!$D$2:$D$422,$C115)</f>
        <v>0</v>
      </c>
      <c r="G115" s="5" t="n">
        <f aca="false">COUNTIFS('سجل الأكشنات'!$B$2:$B$422,$B115,'سجل الأكشنات'!$D$2:$D$422,$C115,'سجل الأكشنات'!$H$2:$H$422,"تفصيلي")</f>
        <v>0</v>
      </c>
      <c r="H115" s="5" t="n">
        <f aca="false">F115-G115</f>
        <v>0</v>
      </c>
      <c r="I115" s="5" t="str">
        <f aca="false">IF($B115&gt;"2026-07-27","لا توجد بيانات بعد",IF(AND(D115=0,F115=0),"بدون نشاط","نشِط"))</f>
        <v>بدون نشاط</v>
      </c>
    </row>
    <row r="116" customFormat="false" ht="15" hidden="false" customHeight="false" outlineLevel="0" collapsed="false">
      <c r="A116" s="5" t="s">
        <v>61</v>
      </c>
      <c r="B116" s="5" t="s">
        <v>70</v>
      </c>
      <c r="C116" s="4" t="s">
        <v>26</v>
      </c>
      <c r="D116" s="5" t="n">
        <f aca="false">COUNTIFS('تفاصيل الفرص'!$B$2:$B$195,$B116,'تفاصيل الفرص'!$D$2:$D$195,$C116)</f>
        <v>0</v>
      </c>
      <c r="E116" s="5" t="n">
        <f aca="false">COUNTIFS('تفاصيل الفرص'!$B$2:$B$195,$B116,'تفاصيل الفرص'!$D$2:$D$195,$C116,'تفاصيل الفرص'!$X$2:$X$195,0)</f>
        <v>0</v>
      </c>
      <c r="F116" s="5" t="n">
        <f aca="false">COUNTIFS('سجل الأكشنات'!$B$2:$B$422,$B116,'سجل الأكشنات'!$D$2:$D$422,$C116)</f>
        <v>0</v>
      </c>
      <c r="G116" s="5" t="n">
        <f aca="false">COUNTIFS('سجل الأكشنات'!$B$2:$B$422,$B116,'سجل الأكشنات'!$D$2:$D$422,$C116,'سجل الأكشنات'!$H$2:$H$422,"تفصيلي")</f>
        <v>0</v>
      </c>
      <c r="H116" s="5" t="n">
        <f aca="false">F116-G116</f>
        <v>0</v>
      </c>
      <c r="I116" s="5" t="str">
        <f aca="false">IF($B116&gt;"2026-07-27","لا توجد بيانات بعد",IF(AND(D116=0,F116=0),"بدون نشاط","نشِط"))</f>
        <v>بدون نشاط</v>
      </c>
    </row>
    <row r="117" customFormat="false" ht="15" hidden="false" customHeight="false" outlineLevel="0" collapsed="false">
      <c r="A117" s="5" t="s">
        <v>61</v>
      </c>
      <c r="B117" s="5" t="s">
        <v>70</v>
      </c>
      <c r="C117" s="4" t="s">
        <v>28</v>
      </c>
      <c r="D117" s="5" t="n">
        <f aca="false">COUNTIFS('تفاصيل الفرص'!$B$2:$B$195,$B117,'تفاصيل الفرص'!$D$2:$D$195,$C117)</f>
        <v>0</v>
      </c>
      <c r="E117" s="5" t="n">
        <f aca="false">COUNTIFS('تفاصيل الفرص'!$B$2:$B$195,$B117,'تفاصيل الفرص'!$D$2:$D$195,$C117,'تفاصيل الفرص'!$X$2:$X$195,0)</f>
        <v>0</v>
      </c>
      <c r="F117" s="5" t="n">
        <f aca="false">COUNTIFS('سجل الأكشنات'!$B$2:$B$422,$B117,'سجل الأكشنات'!$D$2:$D$422,$C117)</f>
        <v>0</v>
      </c>
      <c r="G117" s="5" t="n">
        <f aca="false">COUNTIFS('سجل الأكشنات'!$B$2:$B$422,$B117,'سجل الأكشنات'!$D$2:$D$422,$C117,'سجل الأكشنات'!$H$2:$H$422,"تفصيلي")</f>
        <v>0</v>
      </c>
      <c r="H117" s="5" t="n">
        <f aca="false">F117-G117</f>
        <v>0</v>
      </c>
      <c r="I117" s="5" t="str">
        <f aca="false">IF($B117&gt;"2026-07-27","لا توجد بيانات بعد",IF(AND(D117=0,F117=0),"بدون نشاط","نشِط"))</f>
        <v>بدون نشاط</v>
      </c>
    </row>
    <row r="118" customFormat="false" ht="15" hidden="false" customHeight="false" outlineLevel="0" collapsed="false">
      <c r="A118" s="5" t="s">
        <v>61</v>
      </c>
      <c r="B118" s="5" t="s">
        <v>70</v>
      </c>
      <c r="C118" s="4" t="s">
        <v>30</v>
      </c>
      <c r="D118" s="5" t="n">
        <f aca="false">COUNTIFS('تفاصيل الفرص'!$B$2:$B$195,$B118,'تفاصيل الفرص'!$D$2:$D$195,$C118)</f>
        <v>0</v>
      </c>
      <c r="E118" s="5" t="n">
        <f aca="false">COUNTIFS('تفاصيل الفرص'!$B$2:$B$195,$B118,'تفاصيل الفرص'!$D$2:$D$195,$C118,'تفاصيل الفرص'!$X$2:$X$195,0)</f>
        <v>0</v>
      </c>
      <c r="F118" s="5" t="n">
        <f aca="false">COUNTIFS('سجل الأكشنات'!$B$2:$B$422,$B118,'سجل الأكشنات'!$D$2:$D$422,$C118)</f>
        <v>0</v>
      </c>
      <c r="G118" s="5" t="n">
        <f aca="false">COUNTIFS('سجل الأكشنات'!$B$2:$B$422,$B118,'سجل الأكشنات'!$D$2:$D$422,$C118,'سجل الأكشنات'!$H$2:$H$422,"تفصيلي")</f>
        <v>0</v>
      </c>
      <c r="H118" s="5" t="n">
        <f aca="false">F118-G118</f>
        <v>0</v>
      </c>
      <c r="I118" s="5" t="str">
        <f aca="false">IF($B118&gt;"2026-07-27","لا توجد بيانات بعد",IF(AND(D118=0,F118=0),"بدون نشاط","نشِط"))</f>
        <v>بدون نشاط</v>
      </c>
    </row>
    <row r="119" customFormat="false" ht="15" hidden="false" customHeight="false" outlineLevel="0" collapsed="false">
      <c r="A119" s="5" t="s">
        <v>61</v>
      </c>
      <c r="B119" s="5" t="s">
        <v>70</v>
      </c>
      <c r="C119" s="4" t="s">
        <v>32</v>
      </c>
      <c r="D119" s="5" t="n">
        <f aca="false">COUNTIFS('تفاصيل الفرص'!$B$2:$B$195,$B119,'تفاصيل الفرص'!$D$2:$D$195,$C119)</f>
        <v>0</v>
      </c>
      <c r="E119" s="5" t="n">
        <f aca="false">COUNTIFS('تفاصيل الفرص'!$B$2:$B$195,$B119,'تفاصيل الفرص'!$D$2:$D$195,$C119,'تفاصيل الفرص'!$X$2:$X$195,0)</f>
        <v>0</v>
      </c>
      <c r="F119" s="5" t="n">
        <f aca="false">COUNTIFS('سجل الأكشنات'!$B$2:$B$422,$B119,'سجل الأكشنات'!$D$2:$D$422,$C119)</f>
        <v>0</v>
      </c>
      <c r="G119" s="5" t="n">
        <f aca="false">COUNTIFS('سجل الأكشنات'!$B$2:$B$422,$B119,'سجل الأكشنات'!$D$2:$D$422,$C119,'سجل الأكشنات'!$H$2:$H$422,"تفصيلي")</f>
        <v>0</v>
      </c>
      <c r="H119" s="5" t="n">
        <f aca="false">F119-G119</f>
        <v>0</v>
      </c>
      <c r="I119" s="5" t="str">
        <f aca="false">IF($B119&gt;"2026-07-27","لا توجد بيانات بعد",IF(AND(D119=0,F119=0),"بدون نشاط","نشِط"))</f>
        <v>بدون نشاط</v>
      </c>
    </row>
    <row r="120" customFormat="false" ht="15" hidden="false" customHeight="false" outlineLevel="0" collapsed="false">
      <c r="A120" s="5" t="s">
        <v>61</v>
      </c>
      <c r="B120" s="5" t="s">
        <v>70</v>
      </c>
      <c r="C120" s="4" t="s">
        <v>34</v>
      </c>
      <c r="D120" s="5" t="n">
        <f aca="false">COUNTIFS('تفاصيل الفرص'!$B$2:$B$195,$B120,'تفاصيل الفرص'!$D$2:$D$195,$C120)</f>
        <v>0</v>
      </c>
      <c r="E120" s="5" t="n">
        <f aca="false">COUNTIFS('تفاصيل الفرص'!$B$2:$B$195,$B120,'تفاصيل الفرص'!$D$2:$D$195,$C120,'تفاصيل الفرص'!$X$2:$X$195,0)</f>
        <v>0</v>
      </c>
      <c r="F120" s="5" t="n">
        <f aca="false">COUNTIFS('سجل الأكشنات'!$B$2:$B$422,$B120,'سجل الأكشنات'!$D$2:$D$422,$C120)</f>
        <v>0</v>
      </c>
      <c r="G120" s="5" t="n">
        <f aca="false">COUNTIFS('سجل الأكشنات'!$B$2:$B$422,$B120,'سجل الأكشنات'!$D$2:$D$422,$C120,'سجل الأكشنات'!$H$2:$H$422,"تفصيلي")</f>
        <v>0</v>
      </c>
      <c r="H120" s="5" t="n">
        <f aca="false">F120-G120</f>
        <v>0</v>
      </c>
      <c r="I120" s="5" t="str">
        <f aca="false">IF($B120&gt;"2026-07-27","لا توجد بيانات بعد",IF(AND(D120=0,F120=0),"بدون نشاط","نشِط"))</f>
        <v>بدون نشاط</v>
      </c>
    </row>
    <row r="121" customFormat="false" ht="15" hidden="false" customHeight="false" outlineLevel="0" collapsed="false">
      <c r="A121" s="12" t="s">
        <v>63</v>
      </c>
      <c r="B121" s="12" t="s">
        <v>71</v>
      </c>
      <c r="C121" s="13" t="s">
        <v>18</v>
      </c>
      <c r="D121" s="12" t="n">
        <f aca="false">COUNTIFS('تفاصيل الفرص'!$B$2:$B$195,$B121,'تفاصيل الفرص'!$D$2:$D$195,$C121)</f>
        <v>0</v>
      </c>
      <c r="E121" s="12" t="n">
        <f aca="false">COUNTIFS('تفاصيل الفرص'!$B$2:$B$195,$B121,'تفاصيل الفرص'!$D$2:$D$195,$C121,'تفاصيل الفرص'!$X$2:$X$195,0)</f>
        <v>0</v>
      </c>
      <c r="F121" s="12" t="n">
        <f aca="false">COUNTIFS('سجل الأكشنات'!$B$2:$B$422,$B121,'سجل الأكشنات'!$D$2:$D$422,$C121)</f>
        <v>0</v>
      </c>
      <c r="G121" s="12" t="n">
        <f aca="false">COUNTIFS('سجل الأكشنات'!$B$2:$B$422,$B121,'سجل الأكشنات'!$D$2:$D$422,$C121,'سجل الأكشنات'!$H$2:$H$422,"تفصيلي")</f>
        <v>0</v>
      </c>
      <c r="H121" s="12" t="n">
        <f aca="false">F121-G121</f>
        <v>0</v>
      </c>
      <c r="I121" s="12" t="str">
        <f aca="false">IF($B121&gt;"2026-07-27","لا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12" t="s">
        <v>63</v>
      </c>
      <c r="B122" s="12" t="s">
        <v>71</v>
      </c>
      <c r="C122" s="13" t="s">
        <v>20</v>
      </c>
      <c r="D122" s="12" t="n">
        <f aca="false">COUNTIFS('تفاصيل الفرص'!$B$2:$B$195,$B122,'تفاصيل الفرص'!$D$2:$D$195,$C122)</f>
        <v>0</v>
      </c>
      <c r="E122" s="12" t="n">
        <f aca="false">COUNTIFS('تفاصيل الفرص'!$B$2:$B$195,$B122,'تفاصيل الفرص'!$D$2:$D$195,$C122,'تفاصيل الفرص'!$X$2:$X$195,0)</f>
        <v>0</v>
      </c>
      <c r="F122" s="12" t="n">
        <f aca="false">COUNTIFS('سجل الأكشنات'!$B$2:$B$422,$B122,'سجل الأكشنات'!$D$2:$D$422,$C122)</f>
        <v>0</v>
      </c>
      <c r="G122" s="12" t="n">
        <f aca="false">COUNTIFS('سجل الأكشنات'!$B$2:$B$422,$B122,'سجل الأكشنات'!$D$2:$D$422,$C122,'سجل الأكشنات'!$H$2:$H$422,"تفصيلي")</f>
        <v>0</v>
      </c>
      <c r="H122" s="12" t="n">
        <f aca="false">F122-G122</f>
        <v>0</v>
      </c>
      <c r="I122" s="12" t="str">
        <f aca="false">IF($B122&gt;"2026-07-27","لا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12" t="s">
        <v>63</v>
      </c>
      <c r="B123" s="12" t="s">
        <v>71</v>
      </c>
      <c r="C123" s="13" t="s">
        <v>22</v>
      </c>
      <c r="D123" s="12" t="n">
        <f aca="false">COUNTIFS('تفاصيل الفرص'!$B$2:$B$195,$B123,'تفاصيل الفرص'!$D$2:$D$195,$C123)</f>
        <v>0</v>
      </c>
      <c r="E123" s="12" t="n">
        <f aca="false">COUNTIFS('تفاصيل الفرص'!$B$2:$B$195,$B123,'تفاصيل الفرص'!$D$2:$D$195,$C123,'تفاصيل الفرص'!$X$2:$X$195,0)</f>
        <v>0</v>
      </c>
      <c r="F123" s="12" t="n">
        <f aca="false">COUNTIFS('سجل الأكشنات'!$B$2:$B$422,$B123,'سجل الأكشنات'!$D$2:$D$422,$C123)</f>
        <v>0</v>
      </c>
      <c r="G123" s="12" t="n">
        <f aca="false">COUNTIFS('سجل الأكشنات'!$B$2:$B$422,$B123,'سجل الأكشنات'!$D$2:$D$422,$C123,'سجل الأكشنات'!$H$2:$H$422,"تفصيلي")</f>
        <v>0</v>
      </c>
      <c r="H123" s="12" t="n">
        <f aca="false">F123-G123</f>
        <v>0</v>
      </c>
      <c r="I123" s="12" t="str">
        <f aca="false">IF($B123&gt;"2026-07-27","لا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63</v>
      </c>
      <c r="B124" s="12" t="s">
        <v>71</v>
      </c>
      <c r="C124" s="13" t="s">
        <v>24</v>
      </c>
      <c r="D124" s="12" t="n">
        <f aca="false">COUNTIFS('تفاصيل الفرص'!$B$2:$B$195,$B124,'تفاصيل الفرص'!$D$2:$D$195,$C124)</f>
        <v>0</v>
      </c>
      <c r="E124" s="12" t="n">
        <f aca="false">COUNTIFS('تفاصيل الفرص'!$B$2:$B$195,$B124,'تفاصيل الفرص'!$D$2:$D$195,$C124,'تفاصيل الفرص'!$X$2:$X$195,0)</f>
        <v>0</v>
      </c>
      <c r="F124" s="12" t="n">
        <f aca="false">COUNTIFS('سجل الأكشنات'!$B$2:$B$422,$B124,'سجل الأكشنات'!$D$2:$D$422,$C124)</f>
        <v>0</v>
      </c>
      <c r="G124" s="12" t="n">
        <f aca="false">COUNTIFS('سجل الأكشنات'!$B$2:$B$422,$B124,'سجل الأكشنات'!$D$2:$D$422,$C124,'سجل الأكشنات'!$H$2:$H$422,"تفصيلي")</f>
        <v>0</v>
      </c>
      <c r="H124" s="12" t="n">
        <f aca="false">F124-G124</f>
        <v>0</v>
      </c>
      <c r="I124" s="12" t="str">
        <f aca="false">IF($B124&gt;"2026-07-27","لا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63</v>
      </c>
      <c r="B125" s="12" t="s">
        <v>71</v>
      </c>
      <c r="C125" s="13" t="s">
        <v>26</v>
      </c>
      <c r="D125" s="12" t="n">
        <f aca="false">COUNTIFS('تفاصيل الفرص'!$B$2:$B$195,$B125,'تفاصيل الفرص'!$D$2:$D$195,$C125)</f>
        <v>0</v>
      </c>
      <c r="E125" s="12" t="n">
        <f aca="false">COUNTIFS('تفاصيل الفرص'!$B$2:$B$195,$B125,'تفاصيل الفرص'!$D$2:$D$195,$C125,'تفاصيل الفرص'!$X$2:$X$195,0)</f>
        <v>0</v>
      </c>
      <c r="F125" s="12" t="n">
        <f aca="false">COUNTIFS('سجل الأكشنات'!$B$2:$B$422,$B125,'سجل الأكشنات'!$D$2:$D$422,$C125)</f>
        <v>0</v>
      </c>
      <c r="G125" s="12" t="n">
        <f aca="false">COUNTIFS('سجل الأكشنات'!$B$2:$B$422,$B125,'سجل الأكشنات'!$D$2:$D$422,$C125,'سجل الأكشنات'!$H$2:$H$422,"تفصيلي")</f>
        <v>0</v>
      </c>
      <c r="H125" s="12" t="n">
        <f aca="false">F125-G125</f>
        <v>0</v>
      </c>
      <c r="I125" s="12" t="str">
        <f aca="false">IF($B125&gt;"2026-07-27","لا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63</v>
      </c>
      <c r="B126" s="12" t="s">
        <v>71</v>
      </c>
      <c r="C126" s="13" t="s">
        <v>28</v>
      </c>
      <c r="D126" s="12" t="n">
        <f aca="false">COUNTIFS('تفاصيل الفرص'!$B$2:$B$195,$B126,'تفاصيل الفرص'!$D$2:$D$195,$C126)</f>
        <v>0</v>
      </c>
      <c r="E126" s="12" t="n">
        <f aca="false">COUNTIFS('تفاصيل الفرص'!$B$2:$B$195,$B126,'تفاصيل الفرص'!$D$2:$D$195,$C126,'تفاصيل الفرص'!$X$2:$X$195,0)</f>
        <v>0</v>
      </c>
      <c r="F126" s="12" t="n">
        <f aca="false">COUNTIFS('سجل الأكشنات'!$B$2:$B$422,$B126,'سجل الأكشنات'!$D$2:$D$422,$C126)</f>
        <v>0</v>
      </c>
      <c r="G126" s="12" t="n">
        <f aca="false">COUNTIFS('سجل الأكشنات'!$B$2:$B$422,$B126,'سجل الأكشنات'!$D$2:$D$422,$C126,'سجل الأكشنات'!$H$2:$H$422,"تفصيلي")</f>
        <v>0</v>
      </c>
      <c r="H126" s="12" t="n">
        <f aca="false">F126-G126</f>
        <v>0</v>
      </c>
      <c r="I126" s="12" t="str">
        <f aca="false">IF($B126&gt;"2026-07-27","لا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63</v>
      </c>
      <c r="B127" s="12" t="s">
        <v>71</v>
      </c>
      <c r="C127" s="13" t="s">
        <v>30</v>
      </c>
      <c r="D127" s="12" t="n">
        <f aca="false">COUNTIFS('تفاصيل الفرص'!$B$2:$B$195,$B127,'تفاصيل الفرص'!$D$2:$D$195,$C127)</f>
        <v>0</v>
      </c>
      <c r="E127" s="12" t="n">
        <f aca="false">COUNTIFS('تفاصيل الفرص'!$B$2:$B$195,$B127,'تفاصيل الفرص'!$D$2:$D$195,$C127,'تفاصيل الفرص'!$X$2:$X$195,0)</f>
        <v>0</v>
      </c>
      <c r="F127" s="12" t="n">
        <f aca="false">COUNTIFS('سجل الأكشنات'!$B$2:$B$422,$B127,'سجل الأكشنات'!$D$2:$D$422,$C127)</f>
        <v>0</v>
      </c>
      <c r="G127" s="12" t="n">
        <f aca="false">COUNTIFS('سجل الأكشنات'!$B$2:$B$422,$B127,'سجل الأكشنات'!$D$2:$D$422,$C127,'سجل الأكشنات'!$H$2:$H$422,"تفصيلي")</f>
        <v>0</v>
      </c>
      <c r="H127" s="12" t="n">
        <f aca="false">F127-G127</f>
        <v>0</v>
      </c>
      <c r="I127" s="12" t="str">
        <f aca="false">IF($B127&gt;"2026-07-27","لا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63</v>
      </c>
      <c r="B128" s="12" t="s">
        <v>71</v>
      </c>
      <c r="C128" s="13" t="s">
        <v>32</v>
      </c>
      <c r="D128" s="12" t="n">
        <f aca="false">COUNTIFS('تفاصيل الفرص'!$B$2:$B$195,$B128,'تفاصيل الفرص'!$D$2:$D$195,$C128)</f>
        <v>0</v>
      </c>
      <c r="E128" s="12" t="n">
        <f aca="false">COUNTIFS('تفاصيل الفرص'!$B$2:$B$195,$B128,'تفاصيل الفرص'!$D$2:$D$195,$C128,'تفاصيل الفرص'!$X$2:$X$195,0)</f>
        <v>0</v>
      </c>
      <c r="F128" s="12" t="n">
        <f aca="false">COUNTIFS('سجل الأكشنات'!$B$2:$B$422,$B128,'سجل الأكشنات'!$D$2:$D$422,$C128)</f>
        <v>0</v>
      </c>
      <c r="G128" s="12" t="n">
        <f aca="false">COUNTIFS('سجل الأكشنات'!$B$2:$B$422,$B128,'سجل الأكشنات'!$D$2:$D$422,$C128,'سجل الأكشنات'!$H$2:$H$422,"تفصيلي")</f>
        <v>0</v>
      </c>
      <c r="H128" s="12" t="n">
        <f aca="false">F128-G128</f>
        <v>0</v>
      </c>
      <c r="I128" s="12" t="str">
        <f aca="false">IF($B128&gt;"2026-07-27","لا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63</v>
      </c>
      <c r="B129" s="12" t="s">
        <v>71</v>
      </c>
      <c r="C129" s="13" t="s">
        <v>34</v>
      </c>
      <c r="D129" s="12" t="n">
        <f aca="false">COUNTIFS('تفاصيل الفرص'!$B$2:$B$195,$B129,'تفاصيل الفرص'!$D$2:$D$195,$C129)</f>
        <v>0</v>
      </c>
      <c r="E129" s="12" t="n">
        <f aca="false">COUNTIFS('تفاصيل الفرص'!$B$2:$B$195,$B129,'تفاصيل الفرص'!$D$2:$D$195,$C129,'تفاصيل الفرص'!$X$2:$X$195,0)</f>
        <v>0</v>
      </c>
      <c r="F129" s="12" t="n">
        <f aca="false">COUNTIFS('سجل الأكشنات'!$B$2:$B$422,$B129,'سجل الأكشنات'!$D$2:$D$422,$C129)</f>
        <v>0</v>
      </c>
      <c r="G129" s="12" t="n">
        <f aca="false">COUNTIFS('سجل الأكشنات'!$B$2:$B$422,$B129,'سجل الأكشنات'!$D$2:$D$422,$C129,'سجل الأكشنات'!$H$2:$H$422,"تفصيلي")</f>
        <v>0</v>
      </c>
      <c r="H129" s="12" t="n">
        <f aca="false">F129-G129</f>
        <v>0</v>
      </c>
      <c r="I129" s="12" t="str">
        <f aca="false">IF($B129&gt;"2026-07-27","لا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5" t="s">
        <v>51</v>
      </c>
      <c r="B130" s="5" t="s">
        <v>72</v>
      </c>
      <c r="C130" s="4" t="s">
        <v>18</v>
      </c>
      <c r="D130" s="5" t="n">
        <f aca="false">COUNTIFS('تفاصيل الفرص'!$B$2:$B$195,$B130,'تفاصيل الفرص'!$D$2:$D$195,$C130)</f>
        <v>0</v>
      </c>
      <c r="E130" s="5" t="n">
        <f aca="false">COUNTIFS('تفاصيل الفرص'!$B$2:$B$195,$B130,'تفاصيل الفرص'!$D$2:$D$195,$C130,'تفاصيل الفرص'!$X$2:$X$195,0)</f>
        <v>0</v>
      </c>
      <c r="F130" s="5" t="n">
        <f aca="false">COUNTIFS('سجل الأكشنات'!$B$2:$B$422,$B130,'سجل الأكشنات'!$D$2:$D$422,$C130)</f>
        <v>0</v>
      </c>
      <c r="G130" s="5" t="n">
        <f aca="false">COUNTIFS('سجل الأكشنات'!$B$2:$B$422,$B130,'سجل الأكشنات'!$D$2:$D$422,$C130,'سجل الأكشنات'!$H$2:$H$422,"تفصيلي")</f>
        <v>0</v>
      </c>
      <c r="H130" s="5" t="n">
        <f aca="false">F130-G130</f>
        <v>0</v>
      </c>
      <c r="I130" s="5" t="str">
        <f aca="false">IF($B130&gt;"2026-07-27","لا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5" t="s">
        <v>51</v>
      </c>
      <c r="B131" s="5" t="s">
        <v>72</v>
      </c>
      <c r="C131" s="4" t="s">
        <v>20</v>
      </c>
      <c r="D131" s="5" t="n">
        <f aca="false">COUNTIFS('تفاصيل الفرص'!$B$2:$B$195,$B131,'تفاصيل الفرص'!$D$2:$D$195,$C131)</f>
        <v>0</v>
      </c>
      <c r="E131" s="5" t="n">
        <f aca="false">COUNTIFS('تفاصيل الفرص'!$B$2:$B$195,$B131,'تفاصيل الفرص'!$D$2:$D$195,$C131,'تفاصيل الفرص'!$X$2:$X$195,0)</f>
        <v>0</v>
      </c>
      <c r="F131" s="5" t="n">
        <f aca="false">COUNTIFS('سجل الأكشنات'!$B$2:$B$422,$B131,'سجل الأكشنات'!$D$2:$D$422,$C131)</f>
        <v>0</v>
      </c>
      <c r="G131" s="5" t="n">
        <f aca="false">COUNTIFS('سجل الأكشنات'!$B$2:$B$422,$B131,'سجل الأكشنات'!$D$2:$D$422,$C131,'سجل الأكشنات'!$H$2:$H$422,"تفصيلي")</f>
        <v>0</v>
      </c>
      <c r="H131" s="5" t="n">
        <f aca="false">F131-G131</f>
        <v>0</v>
      </c>
      <c r="I131" s="5" t="str">
        <f aca="false">IF($B131&gt;"2026-07-27","لا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51</v>
      </c>
      <c r="B132" s="5" t="s">
        <v>72</v>
      </c>
      <c r="C132" s="4" t="s">
        <v>22</v>
      </c>
      <c r="D132" s="5" t="n">
        <f aca="false">COUNTIFS('تفاصيل الفرص'!$B$2:$B$195,$B132,'تفاصيل الفرص'!$D$2:$D$195,$C132)</f>
        <v>0</v>
      </c>
      <c r="E132" s="5" t="n">
        <f aca="false">COUNTIFS('تفاصيل الفرص'!$B$2:$B$195,$B132,'تفاصيل الفرص'!$D$2:$D$195,$C132,'تفاصيل الفرص'!$X$2:$X$195,0)</f>
        <v>0</v>
      </c>
      <c r="F132" s="5" t="n">
        <f aca="false">COUNTIFS('سجل الأكشنات'!$B$2:$B$422,$B132,'سجل الأكشنات'!$D$2:$D$422,$C132)</f>
        <v>0</v>
      </c>
      <c r="G132" s="5" t="n">
        <f aca="false">COUNTIFS('سجل الأكشنات'!$B$2:$B$422,$B132,'سجل الأكشنات'!$D$2:$D$422,$C132,'سجل الأكشنات'!$H$2:$H$422,"تفصيلي")</f>
        <v>0</v>
      </c>
      <c r="H132" s="5" t="n">
        <f aca="false">F132-G132</f>
        <v>0</v>
      </c>
      <c r="I132" s="5" t="str">
        <f aca="false">IF($B132&gt;"2026-07-27","لا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51</v>
      </c>
      <c r="B133" s="5" t="s">
        <v>72</v>
      </c>
      <c r="C133" s="4" t="s">
        <v>24</v>
      </c>
      <c r="D133" s="5" t="n">
        <f aca="false">COUNTIFS('تفاصيل الفرص'!$B$2:$B$195,$B133,'تفاصيل الفرص'!$D$2:$D$195,$C133)</f>
        <v>0</v>
      </c>
      <c r="E133" s="5" t="n">
        <f aca="false">COUNTIFS('تفاصيل الفرص'!$B$2:$B$195,$B133,'تفاصيل الفرص'!$D$2:$D$195,$C133,'تفاصيل الفرص'!$X$2:$X$195,0)</f>
        <v>0</v>
      </c>
      <c r="F133" s="5" t="n">
        <f aca="false">COUNTIFS('سجل الأكشنات'!$B$2:$B$422,$B133,'سجل الأكشنات'!$D$2:$D$422,$C133)</f>
        <v>0</v>
      </c>
      <c r="G133" s="5" t="n">
        <f aca="false">COUNTIFS('سجل الأكشنات'!$B$2:$B$422,$B133,'سجل الأكشنات'!$D$2:$D$422,$C133,'سجل الأكشنات'!$H$2:$H$422,"تفصيلي")</f>
        <v>0</v>
      </c>
      <c r="H133" s="5" t="n">
        <f aca="false">F133-G133</f>
        <v>0</v>
      </c>
      <c r="I133" s="5" t="str">
        <f aca="false">IF($B133&gt;"2026-07-27","لا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51</v>
      </c>
      <c r="B134" s="5" t="s">
        <v>72</v>
      </c>
      <c r="C134" s="4" t="s">
        <v>26</v>
      </c>
      <c r="D134" s="5" t="n">
        <f aca="false">COUNTIFS('تفاصيل الفرص'!$B$2:$B$195,$B134,'تفاصيل الفرص'!$D$2:$D$195,$C134)</f>
        <v>0</v>
      </c>
      <c r="E134" s="5" t="n">
        <f aca="false">COUNTIFS('تفاصيل الفرص'!$B$2:$B$195,$B134,'تفاصيل الفرص'!$D$2:$D$195,$C134,'تفاصيل الفرص'!$X$2:$X$195,0)</f>
        <v>0</v>
      </c>
      <c r="F134" s="5" t="n">
        <f aca="false">COUNTIFS('سجل الأكشنات'!$B$2:$B$422,$B134,'سجل الأكشنات'!$D$2:$D$422,$C134)</f>
        <v>0</v>
      </c>
      <c r="G134" s="5" t="n">
        <f aca="false">COUNTIFS('سجل الأكشنات'!$B$2:$B$422,$B134,'سجل الأكشنات'!$D$2:$D$422,$C134,'سجل الأكشنات'!$H$2:$H$422,"تفصيلي")</f>
        <v>0</v>
      </c>
      <c r="H134" s="5" t="n">
        <f aca="false">F134-G134</f>
        <v>0</v>
      </c>
      <c r="I134" s="5" t="str">
        <f aca="false">IF($B134&gt;"2026-07-27","لا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51</v>
      </c>
      <c r="B135" s="5" t="s">
        <v>72</v>
      </c>
      <c r="C135" s="4" t="s">
        <v>28</v>
      </c>
      <c r="D135" s="5" t="n">
        <f aca="false">COUNTIFS('تفاصيل الفرص'!$B$2:$B$195,$B135,'تفاصيل الفرص'!$D$2:$D$195,$C135)</f>
        <v>0</v>
      </c>
      <c r="E135" s="5" t="n">
        <f aca="false">COUNTIFS('تفاصيل الفرص'!$B$2:$B$195,$B135,'تفاصيل الفرص'!$D$2:$D$195,$C135,'تفاصيل الفرص'!$X$2:$X$195,0)</f>
        <v>0</v>
      </c>
      <c r="F135" s="5" t="n">
        <f aca="false">COUNTIFS('سجل الأكشنات'!$B$2:$B$422,$B135,'سجل الأكشنات'!$D$2:$D$422,$C135)</f>
        <v>0</v>
      </c>
      <c r="G135" s="5" t="n">
        <f aca="false">COUNTIFS('سجل الأكشنات'!$B$2:$B$422,$B135,'سجل الأكشنات'!$D$2:$D$422,$C135,'سجل الأكشنات'!$H$2:$H$422,"تفصيلي")</f>
        <v>0</v>
      </c>
      <c r="H135" s="5" t="n">
        <f aca="false">F135-G135</f>
        <v>0</v>
      </c>
      <c r="I135" s="5" t="str">
        <f aca="false">IF($B135&gt;"2026-07-27","لا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51</v>
      </c>
      <c r="B136" s="5" t="s">
        <v>72</v>
      </c>
      <c r="C136" s="4" t="s">
        <v>30</v>
      </c>
      <c r="D136" s="5" t="n">
        <f aca="false">COUNTIFS('تفاصيل الفرص'!$B$2:$B$195,$B136,'تفاصيل الفرص'!$D$2:$D$195,$C136)</f>
        <v>0</v>
      </c>
      <c r="E136" s="5" t="n">
        <f aca="false">COUNTIFS('تفاصيل الفرص'!$B$2:$B$195,$B136,'تفاصيل الفرص'!$D$2:$D$195,$C136,'تفاصيل الفرص'!$X$2:$X$195,0)</f>
        <v>0</v>
      </c>
      <c r="F136" s="5" t="n">
        <f aca="false">COUNTIFS('سجل الأكشنات'!$B$2:$B$422,$B136,'سجل الأكشنات'!$D$2:$D$422,$C136)</f>
        <v>0</v>
      </c>
      <c r="G136" s="5" t="n">
        <f aca="false">COUNTIFS('سجل الأكشنات'!$B$2:$B$422,$B136,'سجل الأكشنات'!$D$2:$D$422,$C136,'سجل الأكشنات'!$H$2:$H$422,"تفصيلي")</f>
        <v>0</v>
      </c>
      <c r="H136" s="5" t="n">
        <f aca="false">F136-G136</f>
        <v>0</v>
      </c>
      <c r="I136" s="5" t="str">
        <f aca="false">IF($B136&gt;"2026-07-27","لا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51</v>
      </c>
      <c r="B137" s="5" t="s">
        <v>72</v>
      </c>
      <c r="C137" s="4" t="s">
        <v>32</v>
      </c>
      <c r="D137" s="5" t="n">
        <f aca="false">COUNTIFS('تفاصيل الفرص'!$B$2:$B$195,$B137,'تفاصيل الفرص'!$D$2:$D$195,$C137)</f>
        <v>0</v>
      </c>
      <c r="E137" s="5" t="n">
        <f aca="false">COUNTIFS('تفاصيل الفرص'!$B$2:$B$195,$B137,'تفاصيل الفرص'!$D$2:$D$195,$C137,'تفاصيل الفرص'!$X$2:$X$195,0)</f>
        <v>0</v>
      </c>
      <c r="F137" s="5" t="n">
        <f aca="false">COUNTIFS('سجل الأكشنات'!$B$2:$B$422,$B137,'سجل الأكشنات'!$D$2:$D$422,$C137)</f>
        <v>0</v>
      </c>
      <c r="G137" s="5" t="n">
        <f aca="false">COUNTIFS('سجل الأكشنات'!$B$2:$B$422,$B137,'سجل الأكشنات'!$D$2:$D$422,$C137,'سجل الأكشنات'!$H$2:$H$422,"تفصيلي")</f>
        <v>0</v>
      </c>
      <c r="H137" s="5" t="n">
        <f aca="false">F137-G137</f>
        <v>0</v>
      </c>
      <c r="I137" s="5" t="str">
        <f aca="false">IF($B137&gt;"2026-07-27","لا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51</v>
      </c>
      <c r="B138" s="5" t="s">
        <v>72</v>
      </c>
      <c r="C138" s="4" t="s">
        <v>34</v>
      </c>
      <c r="D138" s="5" t="n">
        <f aca="false">COUNTIFS('تفاصيل الفرص'!$B$2:$B$195,$B138,'تفاصيل الفرص'!$D$2:$D$195,$C138)</f>
        <v>0</v>
      </c>
      <c r="E138" s="5" t="n">
        <f aca="false">COUNTIFS('تفاصيل الفرص'!$B$2:$B$195,$B138,'تفاصيل الفرص'!$D$2:$D$195,$C138,'تفاصيل الفرص'!$X$2:$X$195,0)</f>
        <v>0</v>
      </c>
      <c r="F138" s="5" t="n">
        <f aca="false">COUNTIFS('سجل الأكشنات'!$B$2:$B$422,$B138,'سجل الأكشنات'!$D$2:$D$422,$C138)</f>
        <v>0</v>
      </c>
      <c r="G138" s="5" t="n">
        <f aca="false">COUNTIFS('سجل الأكشنات'!$B$2:$B$422,$B138,'سجل الأكشنات'!$D$2:$D$422,$C138,'سجل الأكشنات'!$H$2:$H$422,"تفصيلي")</f>
        <v>0</v>
      </c>
      <c r="H138" s="5" t="n">
        <f aca="false">F138-G138</f>
        <v>0</v>
      </c>
      <c r="I138" s="5" t="str">
        <f aca="false">IF($B138&gt;"2026-07-27","لا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12" t="s">
        <v>53</v>
      </c>
      <c r="B139" s="12" t="s">
        <v>73</v>
      </c>
      <c r="C139" s="13" t="s">
        <v>18</v>
      </c>
      <c r="D139" s="12" t="n">
        <f aca="false">COUNTIFS('تفاصيل الفرص'!$B$2:$B$195,$B139,'تفاصيل الفرص'!$D$2:$D$195,$C139)</f>
        <v>0</v>
      </c>
      <c r="E139" s="12" t="n">
        <f aca="false">COUNTIFS('تفاصيل الفرص'!$B$2:$B$195,$B139,'تفاصيل الفرص'!$D$2:$D$195,$C139,'تفاصيل الفرص'!$X$2:$X$195,0)</f>
        <v>0</v>
      </c>
      <c r="F139" s="12" t="n">
        <f aca="false">COUNTIFS('سجل الأكشنات'!$B$2:$B$422,$B139,'سجل الأكشنات'!$D$2:$D$422,$C139)</f>
        <v>0</v>
      </c>
      <c r="G139" s="12" t="n">
        <f aca="false">COUNTIFS('سجل الأكشنات'!$B$2:$B$422,$B139,'سجل الأكشنات'!$D$2:$D$422,$C139,'سجل الأكشنات'!$H$2:$H$422,"تفصيلي")</f>
        <v>0</v>
      </c>
      <c r="H139" s="12" t="n">
        <f aca="false">F139-G139</f>
        <v>0</v>
      </c>
      <c r="I139" s="12" t="str">
        <f aca="false">IF($B139&gt;"2026-07-27","لا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53</v>
      </c>
      <c r="B140" s="12" t="s">
        <v>73</v>
      </c>
      <c r="C140" s="13" t="s">
        <v>20</v>
      </c>
      <c r="D140" s="12" t="n">
        <f aca="false">COUNTIFS('تفاصيل الفرص'!$B$2:$B$195,$B140,'تفاصيل الفرص'!$D$2:$D$195,$C140)</f>
        <v>0</v>
      </c>
      <c r="E140" s="12" t="n">
        <f aca="false">COUNTIFS('تفاصيل الفرص'!$B$2:$B$195,$B140,'تفاصيل الفرص'!$D$2:$D$195,$C140,'تفاصيل الفرص'!$X$2:$X$195,0)</f>
        <v>0</v>
      </c>
      <c r="F140" s="12" t="n">
        <f aca="false">COUNTIFS('سجل الأكشنات'!$B$2:$B$422,$B140,'سجل الأكشنات'!$D$2:$D$422,$C140)</f>
        <v>0</v>
      </c>
      <c r="G140" s="12" t="n">
        <f aca="false">COUNTIFS('سجل الأكشنات'!$B$2:$B$422,$B140,'سجل الأكشنات'!$D$2:$D$422,$C140,'سجل الأكشنات'!$H$2:$H$422,"تفصيلي")</f>
        <v>0</v>
      </c>
      <c r="H140" s="12" t="n">
        <f aca="false">F140-G140</f>
        <v>0</v>
      </c>
      <c r="I140" s="12" t="str">
        <f aca="false">IF($B140&gt;"2026-07-27","لا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53</v>
      </c>
      <c r="B141" s="12" t="s">
        <v>73</v>
      </c>
      <c r="C141" s="13" t="s">
        <v>22</v>
      </c>
      <c r="D141" s="12" t="n">
        <f aca="false">COUNTIFS('تفاصيل الفرص'!$B$2:$B$195,$B141,'تفاصيل الفرص'!$D$2:$D$195,$C141)</f>
        <v>0</v>
      </c>
      <c r="E141" s="12" t="n">
        <f aca="false">COUNTIFS('تفاصيل الفرص'!$B$2:$B$195,$B141,'تفاصيل الفرص'!$D$2:$D$195,$C141,'تفاصيل الفرص'!$X$2:$X$195,0)</f>
        <v>0</v>
      </c>
      <c r="F141" s="12" t="n">
        <f aca="false">COUNTIFS('سجل الأكشنات'!$B$2:$B$422,$B141,'سجل الأكشنات'!$D$2:$D$422,$C141)</f>
        <v>0</v>
      </c>
      <c r="G141" s="12" t="n">
        <f aca="false">COUNTIFS('سجل الأكشنات'!$B$2:$B$422,$B141,'سجل الأكشنات'!$D$2:$D$422,$C141,'سجل الأكشنات'!$H$2:$H$422,"تفصيلي")</f>
        <v>0</v>
      </c>
      <c r="H141" s="12" t="n">
        <f aca="false">F141-G141</f>
        <v>0</v>
      </c>
      <c r="I141" s="12" t="str">
        <f aca="false">IF($B141&gt;"2026-07-27","لا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53</v>
      </c>
      <c r="B142" s="12" t="s">
        <v>73</v>
      </c>
      <c r="C142" s="13" t="s">
        <v>24</v>
      </c>
      <c r="D142" s="12" t="n">
        <f aca="false">COUNTIFS('تفاصيل الفرص'!$B$2:$B$195,$B142,'تفاصيل الفرص'!$D$2:$D$195,$C142)</f>
        <v>0</v>
      </c>
      <c r="E142" s="12" t="n">
        <f aca="false">COUNTIFS('تفاصيل الفرص'!$B$2:$B$195,$B142,'تفاصيل الفرص'!$D$2:$D$195,$C142,'تفاصيل الفرص'!$X$2:$X$195,0)</f>
        <v>0</v>
      </c>
      <c r="F142" s="12" t="n">
        <f aca="false">COUNTIFS('سجل الأكشنات'!$B$2:$B$422,$B142,'سجل الأكشنات'!$D$2:$D$422,$C142)</f>
        <v>0</v>
      </c>
      <c r="G142" s="12" t="n">
        <f aca="false">COUNTIFS('سجل الأكشنات'!$B$2:$B$422,$B142,'سجل الأكشنات'!$D$2:$D$422,$C142,'سجل الأكشنات'!$H$2:$H$422,"تفصيلي")</f>
        <v>0</v>
      </c>
      <c r="H142" s="12" t="n">
        <f aca="false">F142-G142</f>
        <v>0</v>
      </c>
      <c r="I142" s="12" t="str">
        <f aca="false">IF($B142&gt;"2026-07-27","لا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53</v>
      </c>
      <c r="B143" s="12" t="s">
        <v>73</v>
      </c>
      <c r="C143" s="13" t="s">
        <v>26</v>
      </c>
      <c r="D143" s="12" t="n">
        <f aca="false">COUNTIFS('تفاصيل الفرص'!$B$2:$B$195,$B143,'تفاصيل الفرص'!$D$2:$D$195,$C143)</f>
        <v>0</v>
      </c>
      <c r="E143" s="12" t="n">
        <f aca="false">COUNTIFS('تفاصيل الفرص'!$B$2:$B$195,$B143,'تفاصيل الفرص'!$D$2:$D$195,$C143,'تفاصيل الفرص'!$X$2:$X$195,0)</f>
        <v>0</v>
      </c>
      <c r="F143" s="12" t="n">
        <f aca="false">COUNTIFS('سجل الأكشنات'!$B$2:$B$422,$B143,'سجل الأكشنات'!$D$2:$D$422,$C143)</f>
        <v>0</v>
      </c>
      <c r="G143" s="12" t="n">
        <f aca="false">COUNTIFS('سجل الأكشنات'!$B$2:$B$422,$B143,'سجل الأكشنات'!$D$2:$D$422,$C143,'سجل الأكشنات'!$H$2:$H$422,"تفصيلي")</f>
        <v>0</v>
      </c>
      <c r="H143" s="12" t="n">
        <f aca="false">F143-G143</f>
        <v>0</v>
      </c>
      <c r="I143" s="12" t="str">
        <f aca="false">IF($B143&gt;"2026-07-27","لا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53</v>
      </c>
      <c r="B144" s="12" t="s">
        <v>73</v>
      </c>
      <c r="C144" s="13" t="s">
        <v>28</v>
      </c>
      <c r="D144" s="12" t="n">
        <f aca="false">COUNTIFS('تفاصيل الفرص'!$B$2:$B$195,$B144,'تفاصيل الفرص'!$D$2:$D$195,$C144)</f>
        <v>0</v>
      </c>
      <c r="E144" s="12" t="n">
        <f aca="false">COUNTIFS('تفاصيل الفرص'!$B$2:$B$195,$B144,'تفاصيل الفرص'!$D$2:$D$195,$C144,'تفاصيل الفرص'!$X$2:$X$195,0)</f>
        <v>0</v>
      </c>
      <c r="F144" s="12" t="n">
        <f aca="false">COUNTIFS('سجل الأكشنات'!$B$2:$B$422,$B144,'سجل الأكشنات'!$D$2:$D$422,$C144)</f>
        <v>0</v>
      </c>
      <c r="G144" s="12" t="n">
        <f aca="false">COUNTIFS('سجل الأكشنات'!$B$2:$B$422,$B144,'سجل الأكشنات'!$D$2:$D$422,$C144,'سجل الأكشنات'!$H$2:$H$422,"تفصيلي")</f>
        <v>0</v>
      </c>
      <c r="H144" s="12" t="n">
        <f aca="false">F144-G144</f>
        <v>0</v>
      </c>
      <c r="I144" s="12" t="str">
        <f aca="false">IF($B144&gt;"2026-07-27","لا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53</v>
      </c>
      <c r="B145" s="12" t="s">
        <v>73</v>
      </c>
      <c r="C145" s="13" t="s">
        <v>30</v>
      </c>
      <c r="D145" s="12" t="n">
        <f aca="false">COUNTIFS('تفاصيل الفرص'!$B$2:$B$195,$B145,'تفاصيل الفرص'!$D$2:$D$195,$C145)</f>
        <v>0</v>
      </c>
      <c r="E145" s="12" t="n">
        <f aca="false">COUNTIFS('تفاصيل الفرص'!$B$2:$B$195,$B145,'تفاصيل الفرص'!$D$2:$D$195,$C145,'تفاصيل الفرص'!$X$2:$X$195,0)</f>
        <v>0</v>
      </c>
      <c r="F145" s="12" t="n">
        <f aca="false">COUNTIFS('سجل الأكشنات'!$B$2:$B$422,$B145,'سجل الأكشنات'!$D$2:$D$422,$C145)</f>
        <v>0</v>
      </c>
      <c r="G145" s="12" t="n">
        <f aca="false">COUNTIFS('سجل الأكشنات'!$B$2:$B$422,$B145,'سجل الأكشنات'!$D$2:$D$422,$C145,'سجل الأكشنات'!$H$2:$H$422,"تفصيلي")</f>
        <v>0</v>
      </c>
      <c r="H145" s="12" t="n">
        <f aca="false">F145-G145</f>
        <v>0</v>
      </c>
      <c r="I145" s="12" t="str">
        <f aca="false">IF($B145&gt;"2026-07-27","لا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53</v>
      </c>
      <c r="B146" s="12" t="s">
        <v>73</v>
      </c>
      <c r="C146" s="13" t="s">
        <v>32</v>
      </c>
      <c r="D146" s="12" t="n">
        <f aca="false">COUNTIFS('تفاصيل الفرص'!$B$2:$B$195,$B146,'تفاصيل الفرص'!$D$2:$D$195,$C146)</f>
        <v>0</v>
      </c>
      <c r="E146" s="12" t="n">
        <f aca="false">COUNTIFS('تفاصيل الفرص'!$B$2:$B$195,$B146,'تفاصيل الفرص'!$D$2:$D$195,$C146,'تفاصيل الفرص'!$X$2:$X$195,0)</f>
        <v>0</v>
      </c>
      <c r="F146" s="12" t="n">
        <f aca="false">COUNTIFS('سجل الأكشنات'!$B$2:$B$422,$B146,'سجل الأكشنات'!$D$2:$D$422,$C146)</f>
        <v>0</v>
      </c>
      <c r="G146" s="12" t="n">
        <f aca="false">COUNTIFS('سجل الأكشنات'!$B$2:$B$422,$B146,'سجل الأكشنات'!$D$2:$D$422,$C146,'سجل الأكشنات'!$H$2:$H$422,"تفصيلي")</f>
        <v>0</v>
      </c>
      <c r="H146" s="12" t="n">
        <f aca="false">F146-G146</f>
        <v>0</v>
      </c>
      <c r="I146" s="12" t="str">
        <f aca="false">IF($B146&gt;"2026-07-27","لا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53</v>
      </c>
      <c r="B147" s="12" t="s">
        <v>73</v>
      </c>
      <c r="C147" s="13" t="s">
        <v>34</v>
      </c>
      <c r="D147" s="12" t="n">
        <f aca="false">COUNTIFS('تفاصيل الفرص'!$B$2:$B$195,$B147,'تفاصيل الفرص'!$D$2:$D$195,$C147)</f>
        <v>0</v>
      </c>
      <c r="E147" s="12" t="n">
        <f aca="false">COUNTIFS('تفاصيل الفرص'!$B$2:$B$195,$B147,'تفاصيل الفرص'!$D$2:$D$195,$C147,'تفاصيل الفرص'!$X$2:$X$195,0)</f>
        <v>0</v>
      </c>
      <c r="F147" s="12" t="n">
        <f aca="false">COUNTIFS('سجل الأكشنات'!$B$2:$B$422,$B147,'سجل الأكشنات'!$D$2:$D$422,$C147)</f>
        <v>0</v>
      </c>
      <c r="G147" s="12" t="n">
        <f aca="false">COUNTIFS('سجل الأكشنات'!$B$2:$B$422,$B147,'سجل الأكشنات'!$D$2:$D$422,$C147,'سجل الأكشنات'!$H$2:$H$422,"تفصيلي")</f>
        <v>0</v>
      </c>
      <c r="H147" s="12" t="n">
        <f aca="false">F147-G147</f>
        <v>0</v>
      </c>
      <c r="I147" s="12" t="str">
        <f aca="false">IF($B147&gt;"2026-07-27","لا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55</v>
      </c>
      <c r="B148" s="5" t="s">
        <v>74</v>
      </c>
      <c r="C148" s="4" t="s">
        <v>18</v>
      </c>
      <c r="D148" s="5" t="n">
        <f aca="false">COUNTIFS('تفاصيل الفرص'!$B$2:$B$195,$B148,'تفاصيل الفرص'!$D$2:$D$195,$C148)</f>
        <v>0</v>
      </c>
      <c r="E148" s="5" t="n">
        <f aca="false">COUNTIFS('تفاصيل الفرص'!$B$2:$B$195,$B148,'تفاصيل الفرص'!$D$2:$D$195,$C148,'تفاصيل الفرص'!$X$2:$X$195,0)</f>
        <v>0</v>
      </c>
      <c r="F148" s="5" t="n">
        <f aca="false">COUNTIFS('سجل الأكشنات'!$B$2:$B$422,$B148,'سجل الأكشنات'!$D$2:$D$422,$C148)</f>
        <v>0</v>
      </c>
      <c r="G148" s="5" t="n">
        <f aca="false">COUNTIFS('سجل الأكشنات'!$B$2:$B$422,$B148,'سجل الأكشنات'!$D$2:$D$422,$C148,'سجل الأكشنات'!$H$2:$H$422,"تفصيلي")</f>
        <v>0</v>
      </c>
      <c r="H148" s="5" t="n">
        <f aca="false">F148-G148</f>
        <v>0</v>
      </c>
      <c r="I148" s="5" t="str">
        <f aca="false">IF($B148&gt;"2026-07-27","لا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55</v>
      </c>
      <c r="B149" s="5" t="s">
        <v>74</v>
      </c>
      <c r="C149" s="4" t="s">
        <v>20</v>
      </c>
      <c r="D149" s="5" t="n">
        <f aca="false">COUNTIFS('تفاصيل الفرص'!$B$2:$B$195,$B149,'تفاصيل الفرص'!$D$2:$D$195,$C149)</f>
        <v>0</v>
      </c>
      <c r="E149" s="5" t="n">
        <f aca="false">COUNTIFS('تفاصيل الفرص'!$B$2:$B$195,$B149,'تفاصيل الفرص'!$D$2:$D$195,$C149,'تفاصيل الفرص'!$X$2:$X$195,0)</f>
        <v>0</v>
      </c>
      <c r="F149" s="5" t="n">
        <f aca="false">COUNTIFS('سجل الأكشنات'!$B$2:$B$422,$B149,'سجل الأكشنات'!$D$2:$D$422,$C149)</f>
        <v>0</v>
      </c>
      <c r="G149" s="5" t="n">
        <f aca="false">COUNTIFS('سجل الأكشنات'!$B$2:$B$422,$B149,'سجل الأكشنات'!$D$2:$D$422,$C149,'سجل الأكشنات'!$H$2:$H$422,"تفصيلي")</f>
        <v>0</v>
      </c>
      <c r="H149" s="5" t="n">
        <f aca="false">F149-G149</f>
        <v>0</v>
      </c>
      <c r="I149" s="5" t="str">
        <f aca="false">IF($B149&gt;"2026-07-27","لا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55</v>
      </c>
      <c r="B150" s="5" t="s">
        <v>74</v>
      </c>
      <c r="C150" s="4" t="s">
        <v>22</v>
      </c>
      <c r="D150" s="5" t="n">
        <f aca="false">COUNTIFS('تفاصيل الفرص'!$B$2:$B$195,$B150,'تفاصيل الفرص'!$D$2:$D$195,$C150)</f>
        <v>0</v>
      </c>
      <c r="E150" s="5" t="n">
        <f aca="false">COUNTIFS('تفاصيل الفرص'!$B$2:$B$195,$B150,'تفاصيل الفرص'!$D$2:$D$195,$C150,'تفاصيل الفرص'!$X$2:$X$195,0)</f>
        <v>0</v>
      </c>
      <c r="F150" s="5" t="n">
        <f aca="false">COUNTIFS('سجل الأكشنات'!$B$2:$B$422,$B150,'سجل الأكشنات'!$D$2:$D$422,$C150)</f>
        <v>0</v>
      </c>
      <c r="G150" s="5" t="n">
        <f aca="false">COUNTIFS('سجل الأكشنات'!$B$2:$B$422,$B150,'سجل الأكشنات'!$D$2:$D$422,$C150,'سجل الأكشنات'!$H$2:$H$422,"تفصيلي")</f>
        <v>0</v>
      </c>
      <c r="H150" s="5" t="n">
        <f aca="false">F150-G150</f>
        <v>0</v>
      </c>
      <c r="I150" s="5" t="str">
        <f aca="false">IF($B150&gt;"2026-07-27","لا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55</v>
      </c>
      <c r="B151" s="5" t="s">
        <v>74</v>
      </c>
      <c r="C151" s="4" t="s">
        <v>24</v>
      </c>
      <c r="D151" s="5" t="n">
        <f aca="false">COUNTIFS('تفاصيل الفرص'!$B$2:$B$195,$B151,'تفاصيل الفرص'!$D$2:$D$195,$C151)</f>
        <v>0</v>
      </c>
      <c r="E151" s="5" t="n">
        <f aca="false">COUNTIFS('تفاصيل الفرص'!$B$2:$B$195,$B151,'تفاصيل الفرص'!$D$2:$D$195,$C151,'تفاصيل الفرص'!$X$2:$X$195,0)</f>
        <v>0</v>
      </c>
      <c r="F151" s="5" t="n">
        <f aca="false">COUNTIFS('سجل الأكشنات'!$B$2:$B$422,$B151,'سجل الأكشنات'!$D$2:$D$422,$C151)</f>
        <v>0</v>
      </c>
      <c r="G151" s="5" t="n">
        <f aca="false">COUNTIFS('سجل الأكشنات'!$B$2:$B$422,$B151,'سجل الأكشنات'!$D$2:$D$422,$C151,'سجل الأكشنات'!$H$2:$H$422,"تفصيلي")</f>
        <v>0</v>
      </c>
      <c r="H151" s="5" t="n">
        <f aca="false">F151-G151</f>
        <v>0</v>
      </c>
      <c r="I151" s="5" t="str">
        <f aca="false">IF($B151&gt;"2026-07-27","لا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55</v>
      </c>
      <c r="B152" s="5" t="s">
        <v>74</v>
      </c>
      <c r="C152" s="4" t="s">
        <v>26</v>
      </c>
      <c r="D152" s="5" t="n">
        <f aca="false">COUNTIFS('تفاصيل الفرص'!$B$2:$B$195,$B152,'تفاصيل الفرص'!$D$2:$D$195,$C152)</f>
        <v>0</v>
      </c>
      <c r="E152" s="5" t="n">
        <f aca="false">COUNTIFS('تفاصيل الفرص'!$B$2:$B$195,$B152,'تفاصيل الفرص'!$D$2:$D$195,$C152,'تفاصيل الفرص'!$X$2:$X$195,0)</f>
        <v>0</v>
      </c>
      <c r="F152" s="5" t="n">
        <f aca="false">COUNTIFS('سجل الأكشنات'!$B$2:$B$422,$B152,'سجل الأكشنات'!$D$2:$D$422,$C152)</f>
        <v>0</v>
      </c>
      <c r="G152" s="5" t="n">
        <f aca="false">COUNTIFS('سجل الأكشنات'!$B$2:$B$422,$B152,'سجل الأكشنات'!$D$2:$D$422,$C152,'سجل الأكشنات'!$H$2:$H$422,"تفصيلي")</f>
        <v>0</v>
      </c>
      <c r="H152" s="5" t="n">
        <f aca="false">F152-G152</f>
        <v>0</v>
      </c>
      <c r="I152" s="5" t="str">
        <f aca="false">IF($B152&gt;"2026-07-27","لا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55</v>
      </c>
      <c r="B153" s="5" t="s">
        <v>74</v>
      </c>
      <c r="C153" s="4" t="s">
        <v>28</v>
      </c>
      <c r="D153" s="5" t="n">
        <f aca="false">COUNTIFS('تفاصيل الفرص'!$B$2:$B$195,$B153,'تفاصيل الفرص'!$D$2:$D$195,$C153)</f>
        <v>0</v>
      </c>
      <c r="E153" s="5" t="n">
        <f aca="false">COUNTIFS('تفاصيل الفرص'!$B$2:$B$195,$B153,'تفاصيل الفرص'!$D$2:$D$195,$C153,'تفاصيل الفرص'!$X$2:$X$195,0)</f>
        <v>0</v>
      </c>
      <c r="F153" s="5" t="n">
        <f aca="false">COUNTIFS('سجل الأكشنات'!$B$2:$B$422,$B153,'سجل الأكشنات'!$D$2:$D$422,$C153)</f>
        <v>0</v>
      </c>
      <c r="G153" s="5" t="n">
        <f aca="false">COUNTIFS('سجل الأكشنات'!$B$2:$B$422,$B153,'سجل الأكشنات'!$D$2:$D$422,$C153,'سجل الأكشنات'!$H$2:$H$422,"تفصيلي")</f>
        <v>0</v>
      </c>
      <c r="H153" s="5" t="n">
        <f aca="false">F153-G153</f>
        <v>0</v>
      </c>
      <c r="I153" s="5" t="str">
        <f aca="false">IF($B153&gt;"2026-07-27","لا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55</v>
      </c>
      <c r="B154" s="5" t="s">
        <v>74</v>
      </c>
      <c r="C154" s="4" t="s">
        <v>30</v>
      </c>
      <c r="D154" s="5" t="n">
        <f aca="false">COUNTIFS('تفاصيل الفرص'!$B$2:$B$195,$B154,'تفاصيل الفرص'!$D$2:$D$195,$C154)</f>
        <v>0</v>
      </c>
      <c r="E154" s="5" t="n">
        <f aca="false">COUNTIFS('تفاصيل الفرص'!$B$2:$B$195,$B154,'تفاصيل الفرص'!$D$2:$D$195,$C154,'تفاصيل الفرص'!$X$2:$X$195,0)</f>
        <v>0</v>
      </c>
      <c r="F154" s="5" t="n">
        <f aca="false">COUNTIFS('سجل الأكشنات'!$B$2:$B$422,$B154,'سجل الأكشنات'!$D$2:$D$422,$C154)</f>
        <v>0</v>
      </c>
      <c r="G154" s="5" t="n">
        <f aca="false">COUNTIFS('سجل الأكشنات'!$B$2:$B$422,$B154,'سجل الأكشنات'!$D$2:$D$422,$C154,'سجل الأكشنات'!$H$2:$H$422,"تفصيلي")</f>
        <v>0</v>
      </c>
      <c r="H154" s="5" t="n">
        <f aca="false">F154-G154</f>
        <v>0</v>
      </c>
      <c r="I154" s="5" t="str">
        <f aca="false">IF($B154&gt;"2026-07-27","لا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55</v>
      </c>
      <c r="B155" s="5" t="s">
        <v>74</v>
      </c>
      <c r="C155" s="4" t="s">
        <v>32</v>
      </c>
      <c r="D155" s="5" t="n">
        <f aca="false">COUNTIFS('تفاصيل الفرص'!$B$2:$B$195,$B155,'تفاصيل الفرص'!$D$2:$D$195,$C155)</f>
        <v>0</v>
      </c>
      <c r="E155" s="5" t="n">
        <f aca="false">COUNTIFS('تفاصيل الفرص'!$B$2:$B$195,$B155,'تفاصيل الفرص'!$D$2:$D$195,$C155,'تفاصيل الفرص'!$X$2:$X$195,0)</f>
        <v>0</v>
      </c>
      <c r="F155" s="5" t="n">
        <f aca="false">COUNTIFS('سجل الأكشنات'!$B$2:$B$422,$B155,'سجل الأكشنات'!$D$2:$D$422,$C155)</f>
        <v>0</v>
      </c>
      <c r="G155" s="5" t="n">
        <f aca="false">COUNTIFS('سجل الأكشنات'!$B$2:$B$422,$B155,'سجل الأكشنات'!$D$2:$D$422,$C155,'سجل الأكشنات'!$H$2:$H$422,"تفصيلي")</f>
        <v>0</v>
      </c>
      <c r="H155" s="5" t="n">
        <f aca="false">F155-G155</f>
        <v>0</v>
      </c>
      <c r="I155" s="5" t="str">
        <f aca="false">IF($B155&gt;"2026-07-27","لا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5" t="s">
        <v>55</v>
      </c>
      <c r="B156" s="5" t="s">
        <v>74</v>
      </c>
      <c r="C156" s="4" t="s">
        <v>34</v>
      </c>
      <c r="D156" s="5" t="n">
        <f aca="false">COUNTIFS('تفاصيل الفرص'!$B$2:$B$195,$B156,'تفاصيل الفرص'!$D$2:$D$195,$C156)</f>
        <v>0</v>
      </c>
      <c r="E156" s="5" t="n">
        <f aca="false">COUNTIFS('تفاصيل الفرص'!$B$2:$B$195,$B156,'تفاصيل الفرص'!$D$2:$D$195,$C156,'تفاصيل الفرص'!$X$2:$X$195,0)</f>
        <v>0</v>
      </c>
      <c r="F156" s="5" t="n">
        <f aca="false">COUNTIFS('سجل الأكشنات'!$B$2:$B$422,$B156,'سجل الأكشنات'!$D$2:$D$422,$C156)</f>
        <v>0</v>
      </c>
      <c r="G156" s="5" t="n">
        <f aca="false">COUNTIFS('سجل الأكشنات'!$B$2:$B$422,$B156,'سجل الأكشنات'!$D$2:$D$422,$C156,'سجل الأكشنات'!$H$2:$H$422,"تفصيلي")</f>
        <v>0</v>
      </c>
      <c r="H156" s="5" t="n">
        <f aca="false">F156-G156</f>
        <v>0</v>
      </c>
      <c r="I156" s="5" t="str">
        <f aca="false">IF($B156&gt;"2026-07-27","لا توجد بيانات بعد",IF(AND(D156=0,F156=0),"بدون نشاط","نشِط"))</f>
        <v>لا توجد بيانات بعد</v>
      </c>
    </row>
  </sheetData>
  <autoFilter ref="A3:I156"/>
  <mergeCells count="1">
    <mergeCell ref="A1:F1"/>
  </mergeCells>
  <conditionalFormatting sqref="I4:I156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156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5" min="7" style="0" width="16"/>
  </cols>
  <sheetData>
    <row r="1" customFormat="false" ht="17.35" hidden="false" customHeight="false" outlineLevel="0" collapsed="false">
      <c r="A1" s="14" t="s">
        <v>75</v>
      </c>
    </row>
    <row r="2" customFormat="false" ht="15" hidden="false" customHeight="false" outlineLevel="0" collapsed="false">
      <c r="A2" s="15" t="s">
        <v>76</v>
      </c>
    </row>
    <row r="4" customFormat="false" ht="15" hidden="false" customHeight="false" outlineLevel="0" collapsed="false">
      <c r="A4" s="16" t="s">
        <v>77</v>
      </c>
    </row>
    <row r="5" customFormat="false" ht="51.75" hidden="false" customHeight="true" outlineLevel="0" collapsed="false">
      <c r="A5" s="3" t="s">
        <v>78</v>
      </c>
      <c r="B5" s="3" t="s">
        <v>79</v>
      </c>
      <c r="C5" s="3" t="s">
        <v>80</v>
      </c>
      <c r="D5" s="3" t="s">
        <v>81</v>
      </c>
      <c r="E5" s="3" t="s">
        <v>82</v>
      </c>
      <c r="F5" s="3" t="s">
        <v>83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30</v>
      </c>
      <c r="N5" s="3" t="s">
        <v>32</v>
      </c>
      <c r="O5" s="3" t="s">
        <v>34</v>
      </c>
    </row>
    <row r="6" customFormat="false" ht="15" hidden="false" customHeight="false" outlineLevel="0" collapsed="false">
      <c r="A6" s="4" t="s">
        <v>84</v>
      </c>
      <c r="B6" s="4" t="s">
        <v>85</v>
      </c>
      <c r="C6" s="5" t="n">
        <f aca="false">COUNTIF('تفاصيل الفرص'!$I$2:$I$195,"لا")</f>
        <v>87</v>
      </c>
      <c r="D6" s="6" t="n">
        <f aca="false">IF(194=0,0,C6/194)</f>
        <v>0.448453608247423</v>
      </c>
      <c r="E6" s="5" t="n">
        <v>4</v>
      </c>
      <c r="F6" s="4" t="s">
        <v>86</v>
      </c>
      <c r="G6" s="5" t="n">
        <f aca="false">COUNTIFS('تفاصيل الفرص'!$D$2:$D$195,G$5,'تفاصيل الفرص'!$I$2:$I$195,"لا")</f>
        <v>0</v>
      </c>
      <c r="H6" s="5" t="n">
        <f aca="false">COUNTIFS('تفاصيل الفرص'!$D$2:$D$195,H$5,'تفاصيل الفرص'!$I$2:$I$195,"لا")</f>
        <v>20</v>
      </c>
      <c r="I6" s="5" t="n">
        <f aca="false">COUNTIFS('تفاصيل الفرص'!$D$2:$D$195,I$5,'تفاصيل الفرص'!$I$2:$I$195,"لا")</f>
        <v>0</v>
      </c>
      <c r="J6" s="5" t="n">
        <f aca="false">COUNTIFS('تفاصيل الفرص'!$D$2:$D$195,J$5,'تفاصيل الفرص'!$I$2:$I$195,"لا")</f>
        <v>7</v>
      </c>
      <c r="K6" s="5" t="n">
        <f aca="false">COUNTIFS('تفاصيل الفرص'!$D$2:$D$195,K$5,'تفاصيل الفرص'!$I$2:$I$195,"لا")</f>
        <v>0</v>
      </c>
      <c r="L6" s="5" t="n">
        <f aca="false">COUNTIFS('تفاصيل الفرص'!$D$2:$D$195,L$5,'تفاصيل الفرص'!$I$2:$I$195,"لا")</f>
        <v>6</v>
      </c>
      <c r="M6" s="5" t="n">
        <f aca="false">COUNTIFS('تفاصيل الفرص'!$D$2:$D$195,M$5,'تفاصيل الفرص'!$I$2:$I$195,"لا")</f>
        <v>54</v>
      </c>
      <c r="N6" s="5" t="n">
        <f aca="false">COUNTIFS('تفاصيل الفرص'!$D$2:$D$195,N$5,'تفاصيل الفرص'!$I$2:$I$195,"لا")</f>
        <v>0</v>
      </c>
      <c r="O6" s="5" t="n">
        <f aca="false">COUNTIFS('تفاصيل الفرص'!$D$2:$D$195,O$5,'تفاصيل الفرص'!$I$2:$I$195,"لا")</f>
        <v>0</v>
      </c>
    </row>
    <row r="7" customFormat="false" ht="15" hidden="false" customHeight="false" outlineLevel="0" collapsed="false">
      <c r="A7" s="4" t="s">
        <v>87</v>
      </c>
      <c r="B7" s="4" t="s">
        <v>5</v>
      </c>
      <c r="C7" s="5" t="n">
        <f aca="false">COUNTIF('تفاصيل الفرص'!$K$2:$K$195,"لا")</f>
        <v>178</v>
      </c>
      <c r="D7" s="6" t="n">
        <f aca="false">IF(194=0,0,C7/194)</f>
        <v>0.917525773195876</v>
      </c>
      <c r="E7" s="5" t="n">
        <v>8</v>
      </c>
      <c r="F7" s="4" t="s">
        <v>88</v>
      </c>
      <c r="G7" s="5" t="n">
        <f aca="false">COUNTIFS('تفاصيل الفرص'!$D$2:$D$195,G$5,'تفاصيل الفرص'!$K$2:$K$195,"لا")</f>
        <v>22</v>
      </c>
      <c r="H7" s="5" t="n">
        <f aca="false">COUNTIFS('تفاصيل الفرص'!$D$2:$D$195,H$5,'تفاصيل الفرص'!$K$2:$K$195,"لا")</f>
        <v>18</v>
      </c>
      <c r="I7" s="5" t="n">
        <f aca="false">COUNTIFS('تفاصيل الفرص'!$D$2:$D$195,I$5,'تفاصيل الفرص'!$K$2:$K$195,"لا")</f>
        <v>24</v>
      </c>
      <c r="J7" s="5" t="n">
        <f aca="false">COUNTIFS('تفاصيل الفرص'!$D$2:$D$195,J$5,'تفاصيل الفرص'!$K$2:$K$195,"لا")</f>
        <v>8</v>
      </c>
      <c r="K7" s="5" t="n">
        <f aca="false">COUNTIFS('تفاصيل الفرص'!$D$2:$D$195,K$5,'تفاصيل الفرص'!$K$2:$K$195,"لا")</f>
        <v>6</v>
      </c>
      <c r="L7" s="5" t="n">
        <f aca="false">COUNTIFS('تفاصيل الفرص'!$D$2:$D$195,L$5,'تفاصيل الفرص'!$K$2:$K$195,"لا")</f>
        <v>7</v>
      </c>
      <c r="M7" s="5" t="n">
        <f aca="false">COUNTIFS('تفاصيل الفرص'!$D$2:$D$195,M$5,'تفاصيل الفرص'!$K$2:$K$195,"لا")</f>
        <v>64</v>
      </c>
      <c r="N7" s="5" t="n">
        <f aca="false">COUNTIFS('تفاصيل الفرص'!$D$2:$D$195,N$5,'تفاصيل الفرص'!$K$2:$K$195,"لا")</f>
        <v>29</v>
      </c>
      <c r="O7" s="5" t="n">
        <f aca="false">COUNTIFS('تفاصيل الفرص'!$D$2:$D$195,O$5,'تفاصيل الفرص'!$K$2:$K$195,"لا")</f>
        <v>0</v>
      </c>
    </row>
    <row r="8" customFormat="false" ht="15" hidden="false" customHeight="false" outlineLevel="0" collapsed="false">
      <c r="A8" s="4" t="s">
        <v>89</v>
      </c>
      <c r="B8" s="4" t="s">
        <v>6</v>
      </c>
      <c r="C8" s="5" t="n">
        <f aca="false">COUNTIF('تفاصيل الفرص'!$M$2:$M$195,"لا")</f>
        <v>153</v>
      </c>
      <c r="D8" s="6" t="n">
        <f aca="false">IF(194=0,0,C8/194)</f>
        <v>0.788659793814433</v>
      </c>
      <c r="E8" s="5" t="n">
        <v>8</v>
      </c>
      <c r="F8" s="4" t="s">
        <v>90</v>
      </c>
      <c r="G8" s="5" t="n">
        <f aca="false">COUNTIFS('تفاصيل الفرص'!$D$2:$D$195,G$5,'تفاصيل الفرص'!$M$2:$M$195,"لا")</f>
        <v>13</v>
      </c>
      <c r="H8" s="5" t="n">
        <f aca="false">COUNTIFS('تفاصيل الفرص'!$D$2:$D$195,H$5,'تفاصيل الفرص'!$M$2:$M$195,"لا")</f>
        <v>17</v>
      </c>
      <c r="I8" s="5" t="n">
        <f aca="false">COUNTIFS('تفاصيل الفرص'!$D$2:$D$195,I$5,'تفاصيل الفرص'!$M$2:$M$195,"لا")</f>
        <v>13</v>
      </c>
      <c r="J8" s="5" t="n">
        <f aca="false">COUNTIFS('تفاصيل الفرص'!$D$2:$D$195,J$5,'تفاصيل الفرص'!$M$2:$M$195,"لا")</f>
        <v>6</v>
      </c>
      <c r="K8" s="5" t="n">
        <f aca="false">COUNTIFS('تفاصيل الفرص'!$D$2:$D$195,K$5,'تفاصيل الفرص'!$M$2:$M$195,"لا")</f>
        <v>5</v>
      </c>
      <c r="L8" s="5" t="n">
        <f aca="false">COUNTIFS('تفاصيل الفرص'!$D$2:$D$195,L$5,'تفاصيل الفرص'!$M$2:$M$195,"لا")</f>
        <v>6</v>
      </c>
      <c r="M8" s="5" t="n">
        <f aca="false">COUNTIFS('تفاصيل الفرص'!$D$2:$D$195,M$5,'تفاصيل الفرص'!$M$2:$M$195,"لا")</f>
        <v>65</v>
      </c>
      <c r="N8" s="5" t="n">
        <f aca="false">COUNTIFS('تفاصيل الفرص'!$D$2:$D$195,N$5,'تفاصيل الفرص'!$M$2:$M$195,"لا")</f>
        <v>28</v>
      </c>
      <c r="O8" s="5" t="n">
        <f aca="false">COUNTIFS('تفاصيل الفرص'!$D$2:$D$195,O$5,'تفاصيل الفرص'!$M$2:$M$195,"لا")</f>
        <v>0</v>
      </c>
    </row>
    <row r="9" customFormat="false" ht="15" hidden="false" customHeight="false" outlineLevel="0" collapsed="false">
      <c r="A9" s="4" t="s">
        <v>91</v>
      </c>
      <c r="B9" s="4" t="s">
        <v>7</v>
      </c>
      <c r="C9" s="5" t="n">
        <f aca="false">COUNTIF('تفاصيل الفرص'!$O$2:$O$195,"لا")</f>
        <v>155</v>
      </c>
      <c r="D9" s="6" t="n">
        <f aca="false">IF(194=0,0,C9/194)</f>
        <v>0.798969072164949</v>
      </c>
      <c r="E9" s="5" t="n">
        <v>9</v>
      </c>
      <c r="F9" s="4" t="s">
        <v>88</v>
      </c>
      <c r="G9" s="5" t="n">
        <f aca="false">COUNTIFS('تفاصيل الفرص'!$D$2:$D$195,G$5,'تفاصيل الفرص'!$O$2:$O$195,"لا")</f>
        <v>12</v>
      </c>
      <c r="H9" s="5" t="n">
        <f aca="false">COUNTIFS('تفاصيل الفرص'!$D$2:$D$195,H$5,'تفاصيل الفرص'!$O$2:$O$195,"لا")</f>
        <v>19</v>
      </c>
      <c r="I9" s="5" t="n">
        <f aca="false">COUNTIFS('تفاصيل الفرص'!$D$2:$D$195,I$5,'تفاصيل الفرص'!$O$2:$O$195,"لا")</f>
        <v>12</v>
      </c>
      <c r="J9" s="5" t="n">
        <f aca="false">COUNTIFS('تفاصيل الفرص'!$D$2:$D$195,J$5,'تفاصيل الفرص'!$O$2:$O$195,"لا")</f>
        <v>7</v>
      </c>
      <c r="K9" s="5" t="n">
        <f aca="false">COUNTIFS('تفاصيل الفرص'!$D$2:$D$195,K$5,'تفاصيل الفرص'!$O$2:$O$195,"لا")</f>
        <v>5</v>
      </c>
      <c r="L9" s="5" t="n">
        <f aca="false">COUNTIFS('تفاصيل الفرص'!$D$2:$D$195,L$5,'تفاصيل الفرص'!$O$2:$O$195,"لا")</f>
        <v>6</v>
      </c>
      <c r="M9" s="5" t="n">
        <f aca="false">COUNTIFS('تفاصيل الفرص'!$D$2:$D$195,M$5,'تفاصيل الفرص'!$O$2:$O$195,"لا")</f>
        <v>64</v>
      </c>
      <c r="N9" s="5" t="n">
        <f aca="false">COUNTIFS('تفاصيل الفرص'!$D$2:$D$195,N$5,'تفاصيل الفرص'!$O$2:$O$195,"لا")</f>
        <v>29</v>
      </c>
      <c r="O9" s="5" t="n">
        <f aca="false">COUNTIFS('تفاصيل الفرص'!$D$2:$D$195,O$5,'تفاصيل الفرص'!$O$2:$O$195,"لا")</f>
        <v>1</v>
      </c>
    </row>
    <row r="10" customFormat="false" ht="15" hidden="false" customHeight="false" outlineLevel="0" collapsed="false">
      <c r="A10" s="4" t="s">
        <v>92</v>
      </c>
      <c r="B10" s="4" t="s">
        <v>8</v>
      </c>
      <c r="C10" s="5" t="n">
        <f aca="false">COUNTIF('تفاصيل الفرص'!$Q$2:$Q$195,"لا")</f>
        <v>152</v>
      </c>
      <c r="D10" s="6" t="n">
        <f aca="false">IF(194=0,0,C10/194)</f>
        <v>0.783505154639175</v>
      </c>
      <c r="E10" s="5" t="n">
        <v>8</v>
      </c>
      <c r="F10" s="4" t="s">
        <v>88</v>
      </c>
      <c r="G10" s="5" t="n">
        <f aca="false">COUNTIFS('تفاصيل الفرص'!$D$2:$D$195,G$5,'تفاصيل الفرص'!$Q$2:$Q$195,"لا")</f>
        <v>1</v>
      </c>
      <c r="H10" s="5" t="n">
        <f aca="false">COUNTIFS('تفاصيل الفرص'!$D$2:$D$195,H$5,'تفاصيل الفرص'!$Q$2:$Q$195,"لا")</f>
        <v>20</v>
      </c>
      <c r="I10" s="5" t="n">
        <f aca="false">COUNTIFS('تفاصيل الفرص'!$D$2:$D$195,I$5,'تفاصيل الفرص'!$Q$2:$Q$195,"لا")</f>
        <v>22</v>
      </c>
      <c r="J10" s="5" t="n">
        <f aca="false">COUNTIFS('تفاصيل الفرص'!$D$2:$D$195,J$5,'تفاصيل الفرص'!$Q$2:$Q$195,"لا")</f>
        <v>8</v>
      </c>
      <c r="K10" s="5" t="n">
        <f aca="false">COUNTIFS('تفاصيل الفرص'!$D$2:$D$195,K$5,'تفاصيل الفرص'!$Q$2:$Q$195,"لا")</f>
        <v>2</v>
      </c>
      <c r="L10" s="5" t="n">
        <f aca="false">COUNTIFS('تفاصيل الفرص'!$D$2:$D$195,L$5,'تفاصيل الفرص'!$Q$2:$Q$195,"لا")</f>
        <v>7</v>
      </c>
      <c r="M10" s="5" t="n">
        <f aca="false">COUNTIFS('تفاصيل الفرص'!$D$2:$D$195,M$5,'تفاصيل الفرص'!$Q$2:$Q$195,"لا")</f>
        <v>64</v>
      </c>
      <c r="N10" s="5" t="n">
        <f aca="false">COUNTIFS('تفاصيل الفرص'!$D$2:$D$195,N$5,'تفاصيل الفرص'!$Q$2:$Q$195,"لا")</f>
        <v>28</v>
      </c>
      <c r="O10" s="5" t="n">
        <f aca="false">COUNTIFS('تفاصيل الفرص'!$D$2:$D$195,O$5,'تفاصيل الفرص'!$Q$2:$Q$195,"لا")</f>
        <v>0</v>
      </c>
    </row>
    <row r="11" customFormat="false" ht="15" hidden="false" customHeight="false" outlineLevel="0" collapsed="false">
      <c r="A11" s="4" t="s">
        <v>93</v>
      </c>
      <c r="B11" s="4" t="s">
        <v>9</v>
      </c>
      <c r="C11" s="5" t="n">
        <f aca="false">COUNTIF('تفاصيل الفرص'!$S$2:$S$195,"لا")</f>
        <v>187</v>
      </c>
      <c r="D11" s="6" t="n">
        <f aca="false">IF(194=0,0,C11/194)</f>
        <v>0.963917525773196</v>
      </c>
      <c r="E11" s="5" t="n">
        <v>9</v>
      </c>
      <c r="F11" s="4" t="s">
        <v>90</v>
      </c>
      <c r="G11" s="5" t="n">
        <f aca="false">COUNTIFS('تفاصيل الفرص'!$D$2:$D$195,G$5,'تفاصيل الفرص'!$S$2:$S$195,"لا")</f>
        <v>23</v>
      </c>
      <c r="H11" s="5" t="n">
        <f aca="false">COUNTIFS('تفاصيل الفرص'!$D$2:$D$195,H$5,'تفاصيل الفرص'!$S$2:$S$195,"لا")</f>
        <v>28</v>
      </c>
      <c r="I11" s="5" t="n">
        <f aca="false">COUNTIFS('تفاصيل الفرص'!$D$2:$D$195,I$5,'تفاصيل الفرص'!$S$2:$S$195,"لا")</f>
        <v>20</v>
      </c>
      <c r="J11" s="5" t="n">
        <f aca="false">COUNTIFS('تفاصيل الفرص'!$D$2:$D$195,J$5,'تفاصيل الفرص'!$S$2:$S$195,"لا")</f>
        <v>8</v>
      </c>
      <c r="K11" s="5" t="n">
        <f aca="false">COUNTIFS('تفاصيل الفرص'!$D$2:$D$195,K$5,'تفاصيل الفرص'!$S$2:$S$195,"لا")</f>
        <v>6</v>
      </c>
      <c r="L11" s="5" t="n">
        <f aca="false">COUNTIFS('تفاصيل الفرص'!$D$2:$D$195,L$5,'تفاصيل الفرص'!$S$2:$S$195,"لا")</f>
        <v>7</v>
      </c>
      <c r="M11" s="5" t="n">
        <f aca="false">COUNTIFS('تفاصيل الفرص'!$D$2:$D$195,M$5,'تفاصيل الفرص'!$S$2:$S$195,"لا")</f>
        <v>65</v>
      </c>
      <c r="N11" s="5" t="n">
        <f aca="false">COUNTIFS('تفاصيل الفرص'!$D$2:$D$195,N$5,'تفاصيل الفرص'!$S$2:$S$195,"لا")</f>
        <v>29</v>
      </c>
      <c r="O11" s="5" t="n">
        <f aca="false">COUNTIFS('تفاصيل الفرص'!$D$2:$D$195,O$5,'تفاصيل الفرص'!$S$2:$S$195,"لا")</f>
        <v>1</v>
      </c>
    </row>
    <row r="12" customFormat="false" ht="15" hidden="false" customHeight="false" outlineLevel="0" collapsed="false">
      <c r="A12" s="4" t="s">
        <v>94</v>
      </c>
      <c r="B12" s="4" t="s">
        <v>10</v>
      </c>
      <c r="C12" s="5" t="n">
        <f aca="false">COUNTIF('تفاصيل الفرص'!$U$2:$U$195,"لا")</f>
        <v>187</v>
      </c>
      <c r="D12" s="6" t="n">
        <f aca="false">IF(194=0,0,C12/194)</f>
        <v>0.963917525773196</v>
      </c>
      <c r="E12" s="5" t="n">
        <v>9</v>
      </c>
      <c r="F12" s="4" t="s">
        <v>90</v>
      </c>
      <c r="G12" s="5" t="n">
        <f aca="false">COUNTIFS('تفاصيل الفرص'!$D$2:$D$195,G$5,'تفاصيل الفرص'!$U$2:$U$195,"لا")</f>
        <v>23</v>
      </c>
      <c r="H12" s="5" t="n">
        <f aca="false">COUNTIFS('تفاصيل الفرص'!$D$2:$D$195,H$5,'تفاصيل الفرص'!$U$2:$U$195,"لا")</f>
        <v>27</v>
      </c>
      <c r="I12" s="5" t="n">
        <f aca="false">COUNTIFS('تفاصيل الفرص'!$D$2:$D$195,I$5,'تفاصيل الفرص'!$U$2:$U$195,"لا")</f>
        <v>22</v>
      </c>
      <c r="J12" s="5" t="n">
        <f aca="false">COUNTIFS('تفاصيل الفرص'!$D$2:$D$195,J$5,'تفاصيل الفرص'!$U$2:$U$195,"لا")</f>
        <v>8</v>
      </c>
      <c r="K12" s="5" t="n">
        <f aca="false">COUNTIFS('تفاصيل الفرص'!$D$2:$D$195,K$5,'تفاصيل الفرص'!$U$2:$U$195,"لا")</f>
        <v>6</v>
      </c>
      <c r="L12" s="5" t="n">
        <f aca="false">COUNTIFS('تفاصيل الفرص'!$D$2:$D$195,L$5,'تفاصيل الفرص'!$U$2:$U$195,"لا")</f>
        <v>7</v>
      </c>
      <c r="M12" s="5" t="n">
        <f aca="false">COUNTIFS('تفاصيل الفرص'!$D$2:$D$195,M$5,'تفاصيل الفرص'!$U$2:$U$195,"لا")</f>
        <v>65</v>
      </c>
      <c r="N12" s="5" t="n">
        <f aca="false">COUNTIFS('تفاصيل الفرص'!$D$2:$D$195,N$5,'تفاصيل الفرص'!$U$2:$U$195,"لا")</f>
        <v>28</v>
      </c>
      <c r="O12" s="5" t="n">
        <f aca="false">COUNTIFS('تفاصيل الفرص'!$D$2:$D$195,O$5,'تفاصيل الفرص'!$U$2:$U$195,"لا")</f>
        <v>1</v>
      </c>
    </row>
    <row r="13" customFormat="false" ht="15" hidden="false" customHeight="false" outlineLevel="0" collapsed="false">
      <c r="A13" s="4" t="s">
        <v>95</v>
      </c>
      <c r="B13" s="4" t="s">
        <v>11</v>
      </c>
      <c r="C13" s="5" t="n">
        <f aca="false">COUNTIF('تفاصيل الفرص'!$W$2:$W$195,"لا")</f>
        <v>183</v>
      </c>
      <c r="D13" s="6" t="n">
        <f aca="false">IF(194=0,0,C13/194)</f>
        <v>0.943298969072165</v>
      </c>
      <c r="E13" s="5" t="n">
        <v>9</v>
      </c>
      <c r="F13" s="4" t="s">
        <v>90</v>
      </c>
      <c r="G13" s="5" t="n">
        <f aca="false">COUNTIFS('تفاصيل الفرص'!$D$2:$D$195,G$5,'تفاصيل الفرص'!$W$2:$W$195,"لا")</f>
        <v>22</v>
      </c>
      <c r="H13" s="5" t="n">
        <f aca="false">COUNTIFS('تفاصيل الفرص'!$D$2:$D$195,H$5,'تفاصيل الفرص'!$W$2:$W$195,"لا")</f>
        <v>29</v>
      </c>
      <c r="I13" s="5" t="n">
        <f aca="false">COUNTIFS('تفاصيل الفرص'!$D$2:$D$195,I$5,'تفاصيل الفرص'!$W$2:$W$195,"لا")</f>
        <v>18</v>
      </c>
      <c r="J13" s="5" t="n">
        <f aca="false">COUNTIFS('تفاصيل الفرص'!$D$2:$D$195,J$5,'تفاصيل الفرص'!$W$2:$W$195,"لا")</f>
        <v>8</v>
      </c>
      <c r="K13" s="5" t="n">
        <f aca="false">COUNTIFS('تفاصيل الفرص'!$D$2:$D$195,K$5,'تفاصيل الفرص'!$W$2:$W$195,"لا")</f>
        <v>4</v>
      </c>
      <c r="L13" s="5" t="n">
        <f aca="false">COUNTIFS('تفاصيل الفرص'!$D$2:$D$195,L$5,'تفاصيل الفرص'!$W$2:$W$195,"لا")</f>
        <v>7</v>
      </c>
      <c r="M13" s="5" t="n">
        <f aca="false">COUNTIFS('تفاصيل الفرص'!$D$2:$D$195,M$5,'تفاصيل الفرص'!$W$2:$W$195,"لا")</f>
        <v>65</v>
      </c>
      <c r="N13" s="5" t="n">
        <f aca="false">COUNTIFS('تفاصيل الفرص'!$D$2:$D$195,N$5,'تفاصيل الفرص'!$W$2:$W$195,"لا")</f>
        <v>29</v>
      </c>
      <c r="O13" s="5" t="n">
        <f aca="false">COUNTIFS('تفاصيل الفرص'!$D$2:$D$195,O$5,'تفاصيل الفرص'!$W$2:$W$195,"لا")</f>
        <v>1</v>
      </c>
    </row>
    <row r="16" customFormat="false" ht="15" hidden="false" customHeight="false" outlineLevel="0" collapsed="false">
      <c r="A16" s="16" t="s">
        <v>96</v>
      </c>
    </row>
    <row r="17" customFormat="false" ht="31.5" hidden="false" customHeight="true" outlineLevel="0" collapsed="false">
      <c r="A17" s="3" t="s">
        <v>97</v>
      </c>
      <c r="B17" s="3" t="s">
        <v>3</v>
      </c>
      <c r="C17" s="3" t="s">
        <v>98</v>
      </c>
    </row>
    <row r="18" customFormat="false" ht="23.85" hidden="false" customHeight="false" outlineLevel="0" collapsed="false">
      <c r="A18" s="4" t="s">
        <v>99</v>
      </c>
      <c r="B18" s="5" t="n">
        <v>82</v>
      </c>
      <c r="C18" s="6" t="n">
        <f aca="false">IF(194=0,0,B18/194)</f>
        <v>0.422680412371134</v>
      </c>
    </row>
    <row r="19" customFormat="false" ht="23.85" hidden="false" customHeight="false" outlineLevel="0" collapsed="false">
      <c r="A19" s="4" t="s">
        <v>100</v>
      </c>
      <c r="B19" s="5" t="n">
        <v>42</v>
      </c>
      <c r="C19" s="6" t="n">
        <f aca="false">IF(194=0,0,B19/194)</f>
        <v>0.216494845360825</v>
      </c>
    </row>
    <row r="20" customFormat="false" ht="23.85" hidden="false" customHeight="false" outlineLevel="0" collapsed="false">
      <c r="A20" s="4" t="s">
        <v>101</v>
      </c>
      <c r="B20" s="5" t="n">
        <v>8</v>
      </c>
      <c r="C20" s="6" t="n">
        <f aca="false">IF(194=0,0,B20/194)</f>
        <v>0.0412371134020619</v>
      </c>
    </row>
    <row r="21" customFormat="false" ht="23.85" hidden="false" customHeight="false" outlineLevel="0" collapsed="false">
      <c r="A21" s="4" t="s">
        <v>102</v>
      </c>
      <c r="B21" s="5" t="n">
        <v>7</v>
      </c>
      <c r="C21" s="6" t="n">
        <f aca="false">IF(194=0,0,B21/194)</f>
        <v>0.0360824742268041</v>
      </c>
    </row>
    <row r="22" customFormat="false" ht="23.85" hidden="false" customHeight="false" outlineLevel="0" collapsed="false">
      <c r="A22" s="4" t="s">
        <v>103</v>
      </c>
      <c r="B22" s="5" t="n">
        <v>6</v>
      </c>
      <c r="C22" s="6" t="n">
        <f aca="false">IF(194=0,0,B22/194)</f>
        <v>0.0309278350515464</v>
      </c>
    </row>
    <row r="23" customFormat="false" ht="23.85" hidden="false" customHeight="false" outlineLevel="0" collapsed="false">
      <c r="A23" s="4" t="s">
        <v>104</v>
      </c>
      <c r="B23" s="5" t="n">
        <v>6</v>
      </c>
      <c r="C23" s="6" t="n">
        <f aca="false">IF(194=0,0,B23/194)</f>
        <v>0.0309278350515464</v>
      </c>
    </row>
    <row r="24" customFormat="false" ht="15" hidden="false" customHeight="false" outlineLevel="0" collapsed="false">
      <c r="A24" s="4" t="s">
        <v>105</v>
      </c>
      <c r="B24" s="5" t="n">
        <v>5</v>
      </c>
      <c r="C24" s="6" t="n">
        <f aca="false">IF(194=0,0,B24/194)</f>
        <v>0.0257731958762887</v>
      </c>
    </row>
    <row r="25" customFormat="false" ht="15" hidden="false" customHeight="false" outlineLevel="0" collapsed="false">
      <c r="A25" s="4" t="s">
        <v>106</v>
      </c>
      <c r="B25" s="5" t="n">
        <v>5</v>
      </c>
      <c r="C25" s="6" t="n">
        <f aca="false">IF(194=0,0,B25/194)</f>
        <v>0.0257731958762887</v>
      </c>
    </row>
    <row r="26" customFormat="false" ht="15" hidden="false" customHeight="false" outlineLevel="0" collapsed="false">
      <c r="A26" s="4" t="s">
        <v>107</v>
      </c>
      <c r="B26" s="5" t="n">
        <v>4</v>
      </c>
      <c r="C26" s="6" t="n">
        <f aca="false">IF(194=0,0,B26/194)</f>
        <v>0.0206185567010309</v>
      </c>
    </row>
    <row r="27" customFormat="false" ht="15" hidden="false" customHeight="false" outlineLevel="0" collapsed="false">
      <c r="A27" s="4" t="s">
        <v>108</v>
      </c>
      <c r="B27" s="5" t="n">
        <v>3</v>
      </c>
      <c r="C27" s="6" t="n">
        <f aca="false">IF(194=0,0,B27/194)</f>
        <v>0.0154639175257732</v>
      </c>
    </row>
    <row r="28" customFormat="false" ht="15" hidden="false" customHeight="false" outlineLevel="0" collapsed="false">
      <c r="A28" s="4" t="s">
        <v>109</v>
      </c>
      <c r="B28" s="5" t="n">
        <v>3</v>
      </c>
      <c r="C28" s="6" t="n">
        <f aca="false">IF(194=0,0,B28/194)</f>
        <v>0.0154639175257732</v>
      </c>
    </row>
    <row r="29" customFormat="false" ht="15" hidden="false" customHeight="false" outlineLevel="0" collapsed="false">
      <c r="A29" s="4" t="s">
        <v>110</v>
      </c>
      <c r="B29" s="5" t="n">
        <v>2</v>
      </c>
      <c r="C29" s="6" t="n">
        <f aca="false">IF(194=0,0,B29/194)</f>
        <v>0.0103092783505155</v>
      </c>
    </row>
    <row r="32" customFormat="false" ht="15" hidden="false" customHeight="false" outlineLevel="0" collapsed="false">
      <c r="A32" s="16" t="s">
        <v>111</v>
      </c>
    </row>
    <row r="33" customFormat="false" ht="51.75" hidden="false" customHeight="true" outlineLevel="0" collapsed="false">
      <c r="A33" s="3" t="s">
        <v>112</v>
      </c>
      <c r="B33" s="3" t="s">
        <v>13</v>
      </c>
      <c r="C33" s="3" t="s">
        <v>113</v>
      </c>
      <c r="D33" s="3" t="s">
        <v>18</v>
      </c>
      <c r="E33" s="3" t="s">
        <v>20</v>
      </c>
      <c r="F33" s="3" t="s">
        <v>22</v>
      </c>
      <c r="G33" s="3" t="s">
        <v>24</v>
      </c>
      <c r="H33" s="3" t="s">
        <v>26</v>
      </c>
      <c r="I33" s="3" t="s">
        <v>28</v>
      </c>
      <c r="J33" s="3" t="s">
        <v>30</v>
      </c>
      <c r="K33" s="3" t="s">
        <v>32</v>
      </c>
      <c r="L33" s="3" t="s">
        <v>34</v>
      </c>
    </row>
    <row r="34" customFormat="false" ht="15" hidden="false" customHeight="false" outlineLevel="0" collapsed="false">
      <c r="A34" s="4" t="s">
        <v>114</v>
      </c>
      <c r="B34" s="5" t="n">
        <f aca="false">COUNTIF('سجل الأكشنات'!$J$2:$J$422,$A34)</f>
        <v>347</v>
      </c>
      <c r="C34" s="6" t="n">
        <f aca="false">IF(421=0,0,B34/421)</f>
        <v>0.824228028503563</v>
      </c>
      <c r="D34" s="5" t="n">
        <f aca="false">COUNTIFS('سجل الأكشنات'!$D$2:$D$422,D$33,'سجل الأكشنات'!$J$2:$J$422,$A34)</f>
        <v>47</v>
      </c>
      <c r="E34" s="5" t="n">
        <f aca="false">COUNTIFS('سجل الأكشنات'!$D$2:$D$422,E$33,'سجل الأكشنات'!$J$2:$J$422,$A34)</f>
        <v>51</v>
      </c>
      <c r="F34" s="5" t="n">
        <f aca="false">COUNTIFS('سجل الأكشنات'!$D$2:$D$422,F$33,'سجل الأكشنات'!$J$2:$J$422,$A34)</f>
        <v>12</v>
      </c>
      <c r="G34" s="5" t="n">
        <f aca="false">COUNTIFS('سجل الأكشنات'!$D$2:$D$422,G$33,'سجل الأكشنات'!$J$2:$J$422,$A34)</f>
        <v>39</v>
      </c>
      <c r="H34" s="5" t="n">
        <f aca="false">COUNTIFS('سجل الأكشنات'!$D$2:$D$422,H$33,'سجل الأكشنات'!$J$2:$J$422,$A34)</f>
        <v>25</v>
      </c>
      <c r="I34" s="5" t="n">
        <f aca="false">COUNTIFS('سجل الأكشنات'!$D$2:$D$422,I$33,'سجل الأكشنات'!$J$2:$J$422,$A34)</f>
        <v>49</v>
      </c>
      <c r="J34" s="5" t="n">
        <f aca="false">COUNTIFS('سجل الأكشنات'!$D$2:$D$422,J$33,'سجل الأكشنات'!$J$2:$J$422,$A34)</f>
        <v>57</v>
      </c>
      <c r="K34" s="5" t="n">
        <f aca="false">COUNTIFS('سجل الأكشنات'!$D$2:$D$422,K$33,'سجل الأكشنات'!$J$2:$J$422,$A34)</f>
        <v>49</v>
      </c>
      <c r="L34" s="5" t="n">
        <f aca="false">COUNTIFS('سجل الأكشنات'!$D$2:$D$422,L$33,'سجل الأكشنات'!$J$2:$J$422,$A34)</f>
        <v>18</v>
      </c>
    </row>
    <row r="35" customFormat="false" ht="15" hidden="false" customHeight="false" outlineLevel="0" collapsed="false">
      <c r="A35" s="4" t="s">
        <v>115</v>
      </c>
      <c r="B35" s="5" t="n">
        <f aca="false">COUNTIF('سجل الأكشنات'!$J$2:$J$422,$A35)</f>
        <v>30</v>
      </c>
      <c r="C35" s="6" t="n">
        <f aca="false">IF(421=0,0,B35/421)</f>
        <v>0.0712589073634204</v>
      </c>
      <c r="D35" s="5" t="n">
        <f aca="false">COUNTIFS('سجل الأكشنات'!$D$2:$D$422,D$33,'سجل الأكشنات'!$J$2:$J$422,$A35)</f>
        <v>6</v>
      </c>
      <c r="E35" s="5" t="n">
        <f aca="false">COUNTIFS('سجل الأكشنات'!$D$2:$D$422,E$33,'سجل الأكشنات'!$J$2:$J$422,$A35)</f>
        <v>1</v>
      </c>
      <c r="F35" s="5" t="n">
        <f aca="false">COUNTIFS('سجل الأكشنات'!$D$2:$D$422,F$33,'سجل الأكشنات'!$J$2:$J$422,$A35)</f>
        <v>10</v>
      </c>
      <c r="G35" s="5" t="n">
        <f aca="false">COUNTIFS('سجل الأكشنات'!$D$2:$D$422,G$33,'سجل الأكشنات'!$J$2:$J$422,$A35)</f>
        <v>0</v>
      </c>
      <c r="H35" s="5" t="n">
        <f aca="false">COUNTIFS('سجل الأكشنات'!$D$2:$D$422,H$33,'سجل الأكشنات'!$J$2:$J$422,$A35)</f>
        <v>0</v>
      </c>
      <c r="I35" s="5" t="n">
        <f aca="false">COUNTIFS('سجل الأكشنات'!$D$2:$D$422,I$33,'سجل الأكشنات'!$J$2:$J$422,$A35)</f>
        <v>1</v>
      </c>
      <c r="J35" s="5" t="n">
        <f aca="false">COUNTIFS('سجل الأكشنات'!$D$2:$D$422,J$33,'سجل الأكشنات'!$J$2:$J$422,$A35)</f>
        <v>5</v>
      </c>
      <c r="K35" s="5" t="n">
        <f aca="false">COUNTIFS('سجل الأكشنات'!$D$2:$D$422,K$33,'سجل الأكشنات'!$J$2:$J$422,$A35)</f>
        <v>3</v>
      </c>
      <c r="L35" s="5" t="n">
        <f aca="false">COUNTIFS('سجل الأكشنات'!$D$2:$D$422,L$33,'سجل الأكشنات'!$J$2:$J$422,$A35)</f>
        <v>4</v>
      </c>
    </row>
    <row r="36" customFormat="false" ht="15" hidden="false" customHeight="false" outlineLevel="0" collapsed="false">
      <c r="A36" s="4" t="s">
        <v>116</v>
      </c>
      <c r="B36" s="5" t="n">
        <f aca="false">COUNTIF('سجل الأكشنات'!$J$2:$J$422,$A36)</f>
        <v>28</v>
      </c>
      <c r="C36" s="6" t="n">
        <f aca="false">IF(421=0,0,B36/421)</f>
        <v>0.0665083135391924</v>
      </c>
      <c r="D36" s="5" t="n">
        <f aca="false">COUNTIFS('سجل الأكشنات'!$D$2:$D$422,D$33,'سجل الأكشنات'!$J$2:$J$422,$A36)</f>
        <v>3</v>
      </c>
      <c r="E36" s="5" t="n">
        <f aca="false">COUNTIFS('سجل الأكشنات'!$D$2:$D$422,E$33,'سجل الأكشنات'!$J$2:$J$422,$A36)</f>
        <v>10</v>
      </c>
      <c r="F36" s="5" t="n">
        <f aca="false">COUNTIFS('سجل الأكشنات'!$D$2:$D$422,F$33,'سجل الأكشنات'!$J$2:$J$422,$A36)</f>
        <v>0</v>
      </c>
      <c r="G36" s="5" t="n">
        <f aca="false">COUNTIFS('سجل الأكشنات'!$D$2:$D$422,G$33,'سجل الأكشنات'!$J$2:$J$422,$A36)</f>
        <v>1</v>
      </c>
      <c r="H36" s="5" t="n">
        <f aca="false">COUNTIFS('سجل الأكشنات'!$D$2:$D$422,H$33,'سجل الأكشنات'!$J$2:$J$422,$A36)</f>
        <v>2</v>
      </c>
      <c r="I36" s="5" t="n">
        <f aca="false">COUNTIFS('سجل الأكشنات'!$D$2:$D$422,I$33,'سجل الأكشنات'!$J$2:$J$422,$A36)</f>
        <v>1</v>
      </c>
      <c r="J36" s="5" t="n">
        <f aca="false">COUNTIFS('سجل الأكشنات'!$D$2:$D$422,J$33,'سجل الأكشنات'!$J$2:$J$422,$A36)</f>
        <v>11</v>
      </c>
      <c r="K36" s="5" t="n">
        <f aca="false">COUNTIFS('سجل الأكشنات'!$D$2:$D$422,K$33,'سجل الأكشنات'!$J$2:$J$422,$A36)</f>
        <v>0</v>
      </c>
      <c r="L36" s="5" t="n">
        <f aca="false">COUNTIFS('سجل الأكشنات'!$D$2:$D$422,L$33,'سجل الأكشنات'!$J$2:$J$422,$A36)</f>
        <v>0</v>
      </c>
    </row>
    <row r="37" customFormat="false" ht="23.85" hidden="false" customHeight="false" outlineLevel="0" collapsed="false">
      <c r="A37" s="4" t="s">
        <v>117</v>
      </c>
      <c r="B37" s="5" t="n">
        <f aca="false">COUNTIF('سجل الأكشنات'!$J$2:$J$422,$A37)</f>
        <v>16</v>
      </c>
      <c r="C37" s="6" t="n">
        <f aca="false">IF(421=0,0,B37/421)</f>
        <v>0.0380047505938242</v>
      </c>
      <c r="D37" s="5" t="n">
        <f aca="false">COUNTIFS('سجل الأكشنات'!$D$2:$D$422,D$33,'سجل الأكشنات'!$J$2:$J$422,$A37)</f>
        <v>0</v>
      </c>
      <c r="E37" s="5" t="n">
        <f aca="false">COUNTIFS('سجل الأكشنات'!$D$2:$D$422,E$33,'سجل الأكشنات'!$J$2:$J$422,$A37)</f>
        <v>0</v>
      </c>
      <c r="F37" s="5" t="n">
        <f aca="false">COUNTIFS('سجل الأكشنات'!$D$2:$D$422,F$33,'سجل الأكشنات'!$J$2:$J$422,$A37)</f>
        <v>1</v>
      </c>
      <c r="G37" s="5" t="n">
        <f aca="false">COUNTIFS('سجل الأكشنات'!$D$2:$D$422,G$33,'سجل الأكشنات'!$J$2:$J$422,$A37)</f>
        <v>0</v>
      </c>
      <c r="H37" s="5" t="n">
        <f aca="false">COUNTIFS('سجل الأكشنات'!$D$2:$D$422,H$33,'سجل الأكشنات'!$J$2:$J$422,$A37)</f>
        <v>12</v>
      </c>
      <c r="I37" s="5" t="n">
        <f aca="false">COUNTIFS('سجل الأكشنات'!$D$2:$D$422,I$33,'سجل الأكشنات'!$J$2:$J$422,$A37)</f>
        <v>0</v>
      </c>
      <c r="J37" s="5" t="n">
        <f aca="false">COUNTIFS('سجل الأكشنات'!$D$2:$D$422,J$33,'سجل الأكشنات'!$J$2:$J$422,$A37)</f>
        <v>0</v>
      </c>
      <c r="K37" s="5" t="n">
        <f aca="false">COUNTIFS('سجل الأكشنات'!$D$2:$D$422,K$33,'سجل الأكشنات'!$J$2:$J$422,$A37)</f>
        <v>2</v>
      </c>
      <c r="L37" s="5" t="n">
        <f aca="false">COUNTIFS('سجل الأكشنات'!$D$2:$D$422,L$33,'سجل الأكشنات'!$J$2:$J$422,$A37)</f>
        <v>1</v>
      </c>
    </row>
    <row r="40" customFormat="false" ht="15" hidden="false" customHeight="false" outlineLevel="0" collapsed="false">
      <c r="A40" s="16" t="s">
        <v>118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119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23</v>
      </c>
      <c r="C42" s="5" t="n">
        <v>56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29</v>
      </c>
      <c r="C43" s="5" t="n">
        <v>62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24</v>
      </c>
      <c r="C44" s="5" t="n">
        <v>23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8</v>
      </c>
      <c r="C45" s="5" t="n">
        <v>40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8</v>
      </c>
      <c r="C46" s="5" t="n">
        <v>39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7</v>
      </c>
      <c r="C47" s="5" t="n">
        <v>51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65</v>
      </c>
      <c r="C48" s="5" t="n">
        <v>73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29</v>
      </c>
      <c r="C49" s="5" t="n">
        <v>54</v>
      </c>
      <c r="D49" s="4"/>
      <c r="E49" s="4"/>
      <c r="F49" s="4"/>
      <c r="G49" s="4"/>
      <c r="H49" s="4"/>
      <c r="I49" s="4"/>
      <c r="J49" s="4"/>
    </row>
    <row r="50" customFormat="false" ht="45.75" hidden="false" customHeight="true" outlineLevel="0" collapsed="false">
      <c r="A50" s="4" t="s">
        <v>34</v>
      </c>
      <c r="B50" s="5" t="n">
        <v>1</v>
      </c>
      <c r="C50" s="5" t="n">
        <v>23</v>
      </c>
      <c r="D50" s="4"/>
      <c r="E50" s="4"/>
      <c r="F50" s="4"/>
      <c r="G50" s="4"/>
      <c r="H50" s="4"/>
      <c r="I50" s="4"/>
      <c r="J50" s="4"/>
    </row>
  </sheetData>
  <mergeCells count="10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  <mergeCell ref="D50:J50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9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120</v>
      </c>
      <c r="B1" s="3" t="s">
        <v>47</v>
      </c>
      <c r="C1" s="3" t="s">
        <v>121</v>
      </c>
      <c r="D1" s="3" t="s">
        <v>2</v>
      </c>
      <c r="E1" s="3" t="s">
        <v>122</v>
      </c>
      <c r="F1" s="3" t="s">
        <v>123</v>
      </c>
      <c r="G1" s="3" t="s">
        <v>124</v>
      </c>
      <c r="H1" s="3" t="s">
        <v>85</v>
      </c>
      <c r="I1" s="3" t="s">
        <v>125</v>
      </c>
      <c r="J1" s="3" t="s">
        <v>5</v>
      </c>
      <c r="K1" s="3" t="s">
        <v>126</v>
      </c>
      <c r="L1" s="3" t="s">
        <v>6</v>
      </c>
      <c r="M1" s="3" t="s">
        <v>127</v>
      </c>
      <c r="N1" s="3" t="s">
        <v>7</v>
      </c>
      <c r="O1" s="3" t="s">
        <v>128</v>
      </c>
      <c r="P1" s="3" t="s">
        <v>8</v>
      </c>
      <c r="Q1" s="3" t="s">
        <v>129</v>
      </c>
      <c r="R1" s="3" t="s">
        <v>130</v>
      </c>
      <c r="S1" s="3" t="s">
        <v>131</v>
      </c>
      <c r="T1" s="3" t="s">
        <v>10</v>
      </c>
      <c r="U1" s="3" t="s">
        <v>132</v>
      </c>
      <c r="V1" s="3" t="s">
        <v>133</v>
      </c>
      <c r="W1" s="3" t="s">
        <v>134</v>
      </c>
      <c r="X1" s="3" t="s">
        <v>135</v>
      </c>
      <c r="Y1" s="3" t="s">
        <v>119</v>
      </c>
    </row>
    <row r="2" customFormat="false" ht="23.85" hidden="false" customHeight="false" outlineLevel="0" collapsed="false">
      <c r="A2" s="5" t="n">
        <v>41574</v>
      </c>
      <c r="B2" s="5" t="s">
        <v>52</v>
      </c>
      <c r="C2" s="5" t="s">
        <v>136</v>
      </c>
      <c r="D2" s="4" t="s">
        <v>32</v>
      </c>
      <c r="E2" s="4" t="s">
        <v>137</v>
      </c>
      <c r="F2" s="4" t="s">
        <v>138</v>
      </c>
      <c r="G2" s="4" t="s">
        <v>139</v>
      </c>
      <c r="H2" s="4" t="s">
        <v>140</v>
      </c>
      <c r="I2" s="5" t="s">
        <v>141</v>
      </c>
      <c r="J2" s="4"/>
      <c r="K2" s="5" t="s">
        <v>142</v>
      </c>
      <c r="L2" s="4"/>
      <c r="M2" s="5" t="s">
        <v>142</v>
      </c>
      <c r="N2" s="4"/>
      <c r="O2" s="5" t="s">
        <v>142</v>
      </c>
      <c r="P2" s="4"/>
      <c r="Q2" s="5" t="s">
        <v>142</v>
      </c>
      <c r="R2" s="5" t="n">
        <v>0</v>
      </c>
      <c r="S2" s="5" t="s">
        <v>142</v>
      </c>
      <c r="T2" s="4"/>
      <c r="U2" s="5" t="s">
        <v>142</v>
      </c>
      <c r="V2" s="5" t="n">
        <v>0</v>
      </c>
      <c r="W2" s="5" t="s">
        <v>142</v>
      </c>
      <c r="X2" s="5" t="n">
        <v>7</v>
      </c>
      <c r="Y2" s="4" t="s">
        <v>143</v>
      </c>
    </row>
    <row r="3" customFormat="false" ht="23.85" hidden="false" customHeight="false" outlineLevel="0" collapsed="false">
      <c r="A3" s="5" t="n">
        <v>41575</v>
      </c>
      <c r="B3" s="5" t="s">
        <v>52</v>
      </c>
      <c r="C3" s="5" t="s">
        <v>144</v>
      </c>
      <c r="D3" s="4" t="s">
        <v>32</v>
      </c>
      <c r="E3" s="4" t="s">
        <v>137</v>
      </c>
      <c r="F3" s="4" t="s">
        <v>138</v>
      </c>
      <c r="G3" s="4" t="s">
        <v>145</v>
      </c>
      <c r="H3" s="4" t="s">
        <v>146</v>
      </c>
      <c r="I3" s="5" t="s">
        <v>141</v>
      </c>
      <c r="J3" s="4"/>
      <c r="K3" s="5" t="s">
        <v>142</v>
      </c>
      <c r="L3" s="4"/>
      <c r="M3" s="5" t="s">
        <v>142</v>
      </c>
      <c r="N3" s="4"/>
      <c r="O3" s="5" t="s">
        <v>142</v>
      </c>
      <c r="P3" s="4"/>
      <c r="Q3" s="5" t="s">
        <v>142</v>
      </c>
      <c r="R3" s="5" t="n">
        <v>0</v>
      </c>
      <c r="S3" s="5" t="s">
        <v>142</v>
      </c>
      <c r="T3" s="4"/>
      <c r="U3" s="5" t="s">
        <v>142</v>
      </c>
      <c r="V3" s="5" t="n">
        <v>0</v>
      </c>
      <c r="W3" s="5" t="s">
        <v>142</v>
      </c>
      <c r="X3" s="5" t="n">
        <v>7</v>
      </c>
      <c r="Y3" s="4" t="s">
        <v>143</v>
      </c>
    </row>
    <row r="4" customFormat="false" ht="23.85" hidden="false" customHeight="false" outlineLevel="0" collapsed="false">
      <c r="A4" s="5" t="n">
        <v>41576</v>
      </c>
      <c r="B4" s="5" t="s">
        <v>52</v>
      </c>
      <c r="C4" s="5" t="s">
        <v>147</v>
      </c>
      <c r="D4" s="4" t="s">
        <v>32</v>
      </c>
      <c r="E4" s="4" t="s">
        <v>137</v>
      </c>
      <c r="F4" s="4" t="s">
        <v>138</v>
      </c>
      <c r="G4" s="4" t="s">
        <v>148</v>
      </c>
      <c r="H4" s="4" t="s">
        <v>149</v>
      </c>
      <c r="I4" s="5" t="s">
        <v>141</v>
      </c>
      <c r="J4" s="4"/>
      <c r="K4" s="5" t="s">
        <v>142</v>
      </c>
      <c r="L4" s="4"/>
      <c r="M4" s="5" t="s">
        <v>142</v>
      </c>
      <c r="N4" s="4"/>
      <c r="O4" s="5" t="s">
        <v>142</v>
      </c>
      <c r="P4" s="4"/>
      <c r="Q4" s="5" t="s">
        <v>142</v>
      </c>
      <c r="R4" s="5" t="n">
        <v>0</v>
      </c>
      <c r="S4" s="5" t="s">
        <v>142</v>
      </c>
      <c r="T4" s="4"/>
      <c r="U4" s="5" t="s">
        <v>142</v>
      </c>
      <c r="V4" s="5" t="n">
        <v>0</v>
      </c>
      <c r="W4" s="5" t="s">
        <v>142</v>
      </c>
      <c r="X4" s="5" t="n">
        <v>7</v>
      </c>
      <c r="Y4" s="4" t="s">
        <v>143</v>
      </c>
    </row>
    <row r="5" customFormat="false" ht="23.85" hidden="false" customHeight="false" outlineLevel="0" collapsed="false">
      <c r="A5" s="5" t="n">
        <v>41577</v>
      </c>
      <c r="B5" s="5" t="s">
        <v>52</v>
      </c>
      <c r="C5" s="5" t="s">
        <v>150</v>
      </c>
      <c r="D5" s="4" t="s">
        <v>32</v>
      </c>
      <c r="E5" s="4" t="s">
        <v>137</v>
      </c>
      <c r="F5" s="4" t="s">
        <v>138</v>
      </c>
      <c r="G5" s="4" t="s">
        <v>151</v>
      </c>
      <c r="H5" s="4" t="s">
        <v>152</v>
      </c>
      <c r="I5" s="5" t="s">
        <v>141</v>
      </c>
      <c r="J5" s="4"/>
      <c r="K5" s="5" t="s">
        <v>142</v>
      </c>
      <c r="L5" s="4"/>
      <c r="M5" s="5" t="s">
        <v>142</v>
      </c>
      <c r="N5" s="4"/>
      <c r="O5" s="5" t="s">
        <v>142</v>
      </c>
      <c r="P5" s="4"/>
      <c r="Q5" s="5" t="s">
        <v>142</v>
      </c>
      <c r="R5" s="5" t="n">
        <v>0</v>
      </c>
      <c r="S5" s="5" t="s">
        <v>142</v>
      </c>
      <c r="T5" s="4"/>
      <c r="U5" s="5" t="s">
        <v>142</v>
      </c>
      <c r="V5" s="5" t="n">
        <v>0</v>
      </c>
      <c r="W5" s="5" t="s">
        <v>142</v>
      </c>
      <c r="X5" s="5" t="n">
        <v>7</v>
      </c>
      <c r="Y5" s="4" t="s">
        <v>143</v>
      </c>
    </row>
    <row r="6" customFormat="false" ht="23.85" hidden="false" customHeight="false" outlineLevel="0" collapsed="false">
      <c r="A6" s="5" t="n">
        <v>41578</v>
      </c>
      <c r="B6" s="5" t="s">
        <v>52</v>
      </c>
      <c r="C6" s="5" t="s">
        <v>153</v>
      </c>
      <c r="D6" s="4" t="s">
        <v>32</v>
      </c>
      <c r="E6" s="4" t="s">
        <v>137</v>
      </c>
      <c r="F6" s="4" t="s">
        <v>138</v>
      </c>
      <c r="G6" s="4" t="s">
        <v>154</v>
      </c>
      <c r="H6" s="4" t="s">
        <v>155</v>
      </c>
      <c r="I6" s="5" t="s">
        <v>141</v>
      </c>
      <c r="J6" s="4"/>
      <c r="K6" s="5" t="s">
        <v>142</v>
      </c>
      <c r="L6" s="4"/>
      <c r="M6" s="5" t="s">
        <v>142</v>
      </c>
      <c r="N6" s="4"/>
      <c r="O6" s="5" t="s">
        <v>142</v>
      </c>
      <c r="P6" s="4"/>
      <c r="Q6" s="5" t="s">
        <v>142</v>
      </c>
      <c r="R6" s="5" t="n">
        <v>0</v>
      </c>
      <c r="S6" s="5" t="s">
        <v>142</v>
      </c>
      <c r="T6" s="4"/>
      <c r="U6" s="5" t="s">
        <v>142</v>
      </c>
      <c r="V6" s="5" t="n">
        <v>0</v>
      </c>
      <c r="W6" s="5" t="s">
        <v>142</v>
      </c>
      <c r="X6" s="5" t="n">
        <v>7</v>
      </c>
      <c r="Y6" s="4" t="s">
        <v>143</v>
      </c>
    </row>
    <row r="7" customFormat="false" ht="23.85" hidden="false" customHeight="false" outlineLevel="0" collapsed="false">
      <c r="A7" s="5" t="n">
        <v>41579</v>
      </c>
      <c r="B7" s="5" t="s">
        <v>52</v>
      </c>
      <c r="C7" s="5" t="s">
        <v>156</v>
      </c>
      <c r="D7" s="4" t="s">
        <v>32</v>
      </c>
      <c r="E7" s="4" t="s">
        <v>137</v>
      </c>
      <c r="F7" s="4" t="s">
        <v>138</v>
      </c>
      <c r="G7" s="4" t="s">
        <v>157</v>
      </c>
      <c r="H7" s="4" t="s">
        <v>158</v>
      </c>
      <c r="I7" s="5" t="s">
        <v>141</v>
      </c>
      <c r="J7" s="4"/>
      <c r="K7" s="5" t="s">
        <v>142</v>
      </c>
      <c r="L7" s="4"/>
      <c r="M7" s="5" t="s">
        <v>142</v>
      </c>
      <c r="N7" s="4"/>
      <c r="O7" s="5" t="s">
        <v>142</v>
      </c>
      <c r="P7" s="4"/>
      <c r="Q7" s="5" t="s">
        <v>142</v>
      </c>
      <c r="R7" s="5" t="n">
        <v>0</v>
      </c>
      <c r="S7" s="5" t="s">
        <v>142</v>
      </c>
      <c r="T7" s="4"/>
      <c r="U7" s="5" t="s">
        <v>142</v>
      </c>
      <c r="V7" s="5" t="n">
        <v>0</v>
      </c>
      <c r="W7" s="5" t="s">
        <v>142</v>
      </c>
      <c r="X7" s="5" t="n">
        <v>7</v>
      </c>
      <c r="Y7" s="4" t="s">
        <v>143</v>
      </c>
    </row>
    <row r="8" customFormat="false" ht="23.85" hidden="false" customHeight="false" outlineLevel="0" collapsed="false">
      <c r="A8" s="5" t="n">
        <v>41581</v>
      </c>
      <c r="B8" s="5" t="s">
        <v>52</v>
      </c>
      <c r="C8" s="5" t="s">
        <v>159</v>
      </c>
      <c r="D8" s="4" t="s">
        <v>22</v>
      </c>
      <c r="E8" s="4" t="s">
        <v>160</v>
      </c>
      <c r="F8" s="4" t="s">
        <v>161</v>
      </c>
      <c r="G8" s="4" t="s">
        <v>162</v>
      </c>
      <c r="H8" s="4" t="s">
        <v>163</v>
      </c>
      <c r="I8" s="5" t="s">
        <v>141</v>
      </c>
      <c r="J8" s="4"/>
      <c r="K8" s="5" t="s">
        <v>142</v>
      </c>
      <c r="L8" s="4"/>
      <c r="M8" s="5" t="s">
        <v>142</v>
      </c>
      <c r="N8" s="4" t="s">
        <v>164</v>
      </c>
      <c r="O8" s="5" t="s">
        <v>141</v>
      </c>
      <c r="P8" s="4"/>
      <c r="Q8" s="5" t="s">
        <v>142</v>
      </c>
      <c r="R8" s="5" t="n">
        <v>0</v>
      </c>
      <c r="S8" s="5" t="s">
        <v>142</v>
      </c>
      <c r="T8" s="4"/>
      <c r="U8" s="5" t="s">
        <v>142</v>
      </c>
      <c r="V8" s="5" t="n">
        <v>0</v>
      </c>
      <c r="W8" s="5" t="s">
        <v>142</v>
      </c>
      <c r="X8" s="5" t="n">
        <v>6</v>
      </c>
      <c r="Y8" s="4" t="s">
        <v>165</v>
      </c>
    </row>
    <row r="9" customFormat="false" ht="23.85" hidden="false" customHeight="false" outlineLevel="0" collapsed="false">
      <c r="A9" s="5" t="n">
        <v>41583</v>
      </c>
      <c r="B9" s="5" t="s">
        <v>52</v>
      </c>
      <c r="C9" s="5" t="s">
        <v>166</v>
      </c>
      <c r="D9" s="4" t="s">
        <v>24</v>
      </c>
      <c r="E9" s="4" t="s">
        <v>167</v>
      </c>
      <c r="F9" s="4" t="s">
        <v>138</v>
      </c>
      <c r="G9" s="4" t="s">
        <v>168</v>
      </c>
      <c r="H9" s="4" t="s">
        <v>169</v>
      </c>
      <c r="I9" s="5" t="s">
        <v>141</v>
      </c>
      <c r="J9" s="4"/>
      <c r="K9" s="5" t="s">
        <v>142</v>
      </c>
      <c r="L9" s="4" t="s">
        <v>170</v>
      </c>
      <c r="M9" s="5" t="s">
        <v>141</v>
      </c>
      <c r="N9" s="4"/>
      <c r="O9" s="5" t="s">
        <v>142</v>
      </c>
      <c r="P9" s="4"/>
      <c r="Q9" s="5" t="s">
        <v>142</v>
      </c>
      <c r="R9" s="5" t="n">
        <v>0</v>
      </c>
      <c r="S9" s="5" t="s">
        <v>142</v>
      </c>
      <c r="T9" s="4"/>
      <c r="U9" s="5" t="s">
        <v>142</v>
      </c>
      <c r="V9" s="5" t="n">
        <v>0</v>
      </c>
      <c r="W9" s="5" t="s">
        <v>142</v>
      </c>
      <c r="X9" s="5" t="n">
        <v>6</v>
      </c>
      <c r="Y9" s="4" t="s">
        <v>171</v>
      </c>
    </row>
    <row r="10" customFormat="false" ht="35.05" hidden="false" customHeight="false" outlineLevel="0" collapsed="false">
      <c r="A10" s="5" t="n">
        <v>41584</v>
      </c>
      <c r="B10" s="5" t="s">
        <v>52</v>
      </c>
      <c r="C10" s="5" t="s">
        <v>166</v>
      </c>
      <c r="D10" s="4" t="s">
        <v>24</v>
      </c>
      <c r="E10" s="4" t="s">
        <v>167</v>
      </c>
      <c r="F10" s="4" t="s">
        <v>138</v>
      </c>
      <c r="G10" s="4" t="s">
        <v>172</v>
      </c>
      <c r="H10" s="4"/>
      <c r="I10" s="5" t="s">
        <v>142</v>
      </c>
      <c r="J10" s="4"/>
      <c r="K10" s="5" t="s">
        <v>142</v>
      </c>
      <c r="L10" s="4"/>
      <c r="M10" s="5" t="s">
        <v>142</v>
      </c>
      <c r="N10" s="4"/>
      <c r="O10" s="5" t="s">
        <v>142</v>
      </c>
      <c r="P10" s="4"/>
      <c r="Q10" s="5" t="s">
        <v>142</v>
      </c>
      <c r="R10" s="5" t="n">
        <v>0</v>
      </c>
      <c r="S10" s="5" t="s">
        <v>142</v>
      </c>
      <c r="T10" s="4"/>
      <c r="U10" s="5" t="s">
        <v>142</v>
      </c>
      <c r="V10" s="5" t="n">
        <v>0</v>
      </c>
      <c r="W10" s="5" t="s">
        <v>142</v>
      </c>
      <c r="X10" s="5" t="n">
        <v>8</v>
      </c>
      <c r="Y10" s="4" t="s">
        <v>173</v>
      </c>
    </row>
    <row r="11" customFormat="false" ht="35.05" hidden="false" customHeight="false" outlineLevel="0" collapsed="false">
      <c r="A11" s="5" t="n">
        <v>41585</v>
      </c>
      <c r="B11" s="5" t="s">
        <v>52</v>
      </c>
      <c r="C11" s="5" t="s">
        <v>174</v>
      </c>
      <c r="D11" s="4" t="s">
        <v>30</v>
      </c>
      <c r="E11" s="4" t="s">
        <v>137</v>
      </c>
      <c r="F11" s="4" t="s">
        <v>138</v>
      </c>
      <c r="G11" s="4" t="s">
        <v>175</v>
      </c>
      <c r="H11" s="4"/>
      <c r="I11" s="5" t="s">
        <v>142</v>
      </c>
      <c r="J11" s="4"/>
      <c r="K11" s="5" t="s">
        <v>142</v>
      </c>
      <c r="L11" s="4"/>
      <c r="M11" s="5" t="s">
        <v>142</v>
      </c>
      <c r="N11" s="4"/>
      <c r="O11" s="5" t="s">
        <v>142</v>
      </c>
      <c r="P11" s="4"/>
      <c r="Q11" s="5" t="s">
        <v>142</v>
      </c>
      <c r="R11" s="5" t="n">
        <v>0</v>
      </c>
      <c r="S11" s="5" t="s">
        <v>142</v>
      </c>
      <c r="T11" s="4"/>
      <c r="U11" s="5" t="s">
        <v>142</v>
      </c>
      <c r="V11" s="5" t="n">
        <v>0</v>
      </c>
      <c r="W11" s="5" t="s">
        <v>142</v>
      </c>
      <c r="X11" s="5" t="n">
        <v>8</v>
      </c>
      <c r="Y11" s="4" t="s">
        <v>173</v>
      </c>
    </row>
    <row r="12" customFormat="false" ht="35.05" hidden="false" customHeight="false" outlineLevel="0" collapsed="false">
      <c r="A12" s="5" t="n">
        <v>41586</v>
      </c>
      <c r="B12" s="5" t="s">
        <v>52</v>
      </c>
      <c r="C12" s="5" t="s">
        <v>176</v>
      </c>
      <c r="D12" s="4" t="s">
        <v>30</v>
      </c>
      <c r="E12" s="4" t="s">
        <v>137</v>
      </c>
      <c r="F12" s="4" t="s">
        <v>138</v>
      </c>
      <c r="G12" s="4" t="s">
        <v>177</v>
      </c>
      <c r="H12" s="4"/>
      <c r="I12" s="5" t="s">
        <v>142</v>
      </c>
      <c r="J12" s="4"/>
      <c r="K12" s="5" t="s">
        <v>142</v>
      </c>
      <c r="L12" s="4"/>
      <c r="M12" s="5" t="s">
        <v>142</v>
      </c>
      <c r="N12" s="4"/>
      <c r="O12" s="5" t="s">
        <v>142</v>
      </c>
      <c r="P12" s="4"/>
      <c r="Q12" s="5" t="s">
        <v>142</v>
      </c>
      <c r="R12" s="5" t="n">
        <v>0</v>
      </c>
      <c r="S12" s="5" t="s">
        <v>142</v>
      </c>
      <c r="T12" s="4"/>
      <c r="U12" s="5" t="s">
        <v>142</v>
      </c>
      <c r="V12" s="5" t="n">
        <v>0</v>
      </c>
      <c r="W12" s="5" t="s">
        <v>142</v>
      </c>
      <c r="X12" s="5" t="n">
        <v>8</v>
      </c>
      <c r="Y12" s="4" t="s">
        <v>173</v>
      </c>
    </row>
    <row r="13" customFormat="false" ht="35.05" hidden="false" customHeight="false" outlineLevel="0" collapsed="false">
      <c r="A13" s="5" t="n">
        <v>41587</v>
      </c>
      <c r="B13" s="5" t="s">
        <v>52</v>
      </c>
      <c r="C13" s="5" t="s">
        <v>178</v>
      </c>
      <c r="D13" s="4" t="s">
        <v>30</v>
      </c>
      <c r="E13" s="4" t="s">
        <v>137</v>
      </c>
      <c r="F13" s="4" t="s">
        <v>138</v>
      </c>
      <c r="G13" s="4" t="s">
        <v>179</v>
      </c>
      <c r="H13" s="4"/>
      <c r="I13" s="5" t="s">
        <v>142</v>
      </c>
      <c r="J13" s="4"/>
      <c r="K13" s="5" t="s">
        <v>142</v>
      </c>
      <c r="L13" s="4"/>
      <c r="M13" s="5" t="s">
        <v>142</v>
      </c>
      <c r="N13" s="4"/>
      <c r="O13" s="5" t="s">
        <v>142</v>
      </c>
      <c r="P13" s="4"/>
      <c r="Q13" s="5" t="s">
        <v>142</v>
      </c>
      <c r="R13" s="5" t="n">
        <v>0</v>
      </c>
      <c r="S13" s="5" t="s">
        <v>142</v>
      </c>
      <c r="T13" s="4"/>
      <c r="U13" s="5" t="s">
        <v>142</v>
      </c>
      <c r="V13" s="5" t="n">
        <v>0</v>
      </c>
      <c r="W13" s="5" t="s">
        <v>142</v>
      </c>
      <c r="X13" s="5" t="n">
        <v>8</v>
      </c>
      <c r="Y13" s="4" t="s">
        <v>173</v>
      </c>
    </row>
    <row r="14" customFormat="false" ht="35.05" hidden="false" customHeight="false" outlineLevel="0" collapsed="false">
      <c r="A14" s="5" t="n">
        <v>41588</v>
      </c>
      <c r="B14" s="5" t="s">
        <v>52</v>
      </c>
      <c r="C14" s="5" t="s">
        <v>180</v>
      </c>
      <c r="D14" s="4" t="s">
        <v>30</v>
      </c>
      <c r="E14" s="4" t="s">
        <v>137</v>
      </c>
      <c r="F14" s="4" t="s">
        <v>138</v>
      </c>
      <c r="G14" s="4" t="s">
        <v>181</v>
      </c>
      <c r="H14" s="4"/>
      <c r="I14" s="5" t="s">
        <v>142</v>
      </c>
      <c r="J14" s="4"/>
      <c r="K14" s="5" t="s">
        <v>142</v>
      </c>
      <c r="L14" s="4"/>
      <c r="M14" s="5" t="s">
        <v>142</v>
      </c>
      <c r="N14" s="4"/>
      <c r="O14" s="5" t="s">
        <v>142</v>
      </c>
      <c r="P14" s="4"/>
      <c r="Q14" s="5" t="s">
        <v>142</v>
      </c>
      <c r="R14" s="5" t="n">
        <v>0</v>
      </c>
      <c r="S14" s="5" t="s">
        <v>142</v>
      </c>
      <c r="T14" s="4"/>
      <c r="U14" s="5" t="s">
        <v>142</v>
      </c>
      <c r="V14" s="5" t="n">
        <v>0</v>
      </c>
      <c r="W14" s="5" t="s">
        <v>142</v>
      </c>
      <c r="X14" s="5" t="n">
        <v>8</v>
      </c>
      <c r="Y14" s="4" t="s">
        <v>173</v>
      </c>
    </row>
    <row r="15" customFormat="false" ht="35.05" hidden="false" customHeight="false" outlineLevel="0" collapsed="false">
      <c r="A15" s="5" t="n">
        <v>41589</v>
      </c>
      <c r="B15" s="5" t="s">
        <v>52</v>
      </c>
      <c r="C15" s="5" t="s">
        <v>182</v>
      </c>
      <c r="D15" s="4" t="s">
        <v>30</v>
      </c>
      <c r="E15" s="4" t="s">
        <v>137</v>
      </c>
      <c r="F15" s="4" t="s">
        <v>138</v>
      </c>
      <c r="G15" s="4" t="s">
        <v>183</v>
      </c>
      <c r="H15" s="4"/>
      <c r="I15" s="5" t="s">
        <v>142</v>
      </c>
      <c r="J15" s="4"/>
      <c r="K15" s="5" t="s">
        <v>142</v>
      </c>
      <c r="L15" s="4"/>
      <c r="M15" s="5" t="s">
        <v>142</v>
      </c>
      <c r="N15" s="4"/>
      <c r="O15" s="5" t="s">
        <v>142</v>
      </c>
      <c r="P15" s="4"/>
      <c r="Q15" s="5" t="s">
        <v>142</v>
      </c>
      <c r="R15" s="5" t="n">
        <v>0</v>
      </c>
      <c r="S15" s="5" t="s">
        <v>142</v>
      </c>
      <c r="T15" s="4"/>
      <c r="U15" s="5" t="s">
        <v>142</v>
      </c>
      <c r="V15" s="5" t="n">
        <v>0</v>
      </c>
      <c r="W15" s="5" t="s">
        <v>142</v>
      </c>
      <c r="X15" s="5" t="n">
        <v>8</v>
      </c>
      <c r="Y15" s="4" t="s">
        <v>173</v>
      </c>
    </row>
    <row r="16" customFormat="false" ht="23.85" hidden="false" customHeight="false" outlineLevel="0" collapsed="false">
      <c r="A16" s="5" t="n">
        <v>41590</v>
      </c>
      <c r="B16" s="5" t="s">
        <v>54</v>
      </c>
      <c r="C16" s="5" t="s">
        <v>184</v>
      </c>
      <c r="D16" s="4" t="s">
        <v>32</v>
      </c>
      <c r="E16" s="4" t="s">
        <v>137</v>
      </c>
      <c r="F16" s="4" t="s">
        <v>138</v>
      </c>
      <c r="G16" s="4" t="s">
        <v>185</v>
      </c>
      <c r="H16" s="4" t="s">
        <v>186</v>
      </c>
      <c r="I16" s="5" t="s">
        <v>141</v>
      </c>
      <c r="J16" s="4"/>
      <c r="K16" s="5" t="s">
        <v>142</v>
      </c>
      <c r="L16" s="4"/>
      <c r="M16" s="5" t="s">
        <v>142</v>
      </c>
      <c r="N16" s="4"/>
      <c r="O16" s="5" t="s">
        <v>142</v>
      </c>
      <c r="P16" s="4"/>
      <c r="Q16" s="5" t="s">
        <v>142</v>
      </c>
      <c r="R16" s="5" t="n">
        <v>0</v>
      </c>
      <c r="S16" s="5" t="s">
        <v>142</v>
      </c>
      <c r="T16" s="4"/>
      <c r="U16" s="5" t="s">
        <v>142</v>
      </c>
      <c r="V16" s="5" t="n">
        <v>0</v>
      </c>
      <c r="W16" s="5" t="s">
        <v>142</v>
      </c>
      <c r="X16" s="5" t="n">
        <v>7</v>
      </c>
      <c r="Y16" s="4" t="s">
        <v>143</v>
      </c>
    </row>
    <row r="17" customFormat="false" ht="23.85" hidden="false" customHeight="false" outlineLevel="0" collapsed="false">
      <c r="A17" s="5" t="n">
        <v>41591</v>
      </c>
      <c r="B17" s="5" t="s">
        <v>54</v>
      </c>
      <c r="C17" s="5" t="s">
        <v>187</v>
      </c>
      <c r="D17" s="4" t="s">
        <v>32</v>
      </c>
      <c r="E17" s="4" t="s">
        <v>137</v>
      </c>
      <c r="F17" s="4" t="s">
        <v>138</v>
      </c>
      <c r="G17" s="4" t="s">
        <v>188</v>
      </c>
      <c r="H17" s="4" t="s">
        <v>189</v>
      </c>
      <c r="I17" s="5" t="s">
        <v>141</v>
      </c>
      <c r="J17" s="4"/>
      <c r="K17" s="5" t="s">
        <v>142</v>
      </c>
      <c r="L17" s="4"/>
      <c r="M17" s="5" t="s">
        <v>142</v>
      </c>
      <c r="N17" s="4"/>
      <c r="O17" s="5" t="s">
        <v>142</v>
      </c>
      <c r="P17" s="4"/>
      <c r="Q17" s="5" t="s">
        <v>142</v>
      </c>
      <c r="R17" s="5" t="n">
        <v>0</v>
      </c>
      <c r="S17" s="5" t="s">
        <v>142</v>
      </c>
      <c r="T17" s="4"/>
      <c r="U17" s="5" t="s">
        <v>142</v>
      </c>
      <c r="V17" s="5" t="n">
        <v>0</v>
      </c>
      <c r="W17" s="5" t="s">
        <v>142</v>
      </c>
      <c r="X17" s="5" t="n">
        <v>7</v>
      </c>
      <c r="Y17" s="4" t="s">
        <v>143</v>
      </c>
    </row>
    <row r="18" customFormat="false" ht="23.85" hidden="false" customHeight="false" outlineLevel="0" collapsed="false">
      <c r="A18" s="5" t="n">
        <v>41592</v>
      </c>
      <c r="B18" s="5" t="s">
        <v>54</v>
      </c>
      <c r="C18" s="5" t="s">
        <v>190</v>
      </c>
      <c r="D18" s="4" t="s">
        <v>32</v>
      </c>
      <c r="E18" s="4" t="s">
        <v>137</v>
      </c>
      <c r="F18" s="4" t="s">
        <v>138</v>
      </c>
      <c r="G18" s="4" t="s">
        <v>191</v>
      </c>
      <c r="H18" s="4" t="s">
        <v>192</v>
      </c>
      <c r="I18" s="5" t="s">
        <v>141</v>
      </c>
      <c r="J18" s="4"/>
      <c r="K18" s="5" t="s">
        <v>142</v>
      </c>
      <c r="L18" s="4"/>
      <c r="M18" s="5" t="s">
        <v>142</v>
      </c>
      <c r="N18" s="4"/>
      <c r="O18" s="5" t="s">
        <v>142</v>
      </c>
      <c r="P18" s="4"/>
      <c r="Q18" s="5" t="s">
        <v>142</v>
      </c>
      <c r="R18" s="5" t="n">
        <v>0</v>
      </c>
      <c r="S18" s="5" t="s">
        <v>142</v>
      </c>
      <c r="T18" s="4"/>
      <c r="U18" s="5" t="s">
        <v>142</v>
      </c>
      <c r="V18" s="5" t="n">
        <v>0</v>
      </c>
      <c r="W18" s="5" t="s">
        <v>142</v>
      </c>
      <c r="X18" s="5" t="n">
        <v>7</v>
      </c>
      <c r="Y18" s="4" t="s">
        <v>143</v>
      </c>
    </row>
    <row r="19" customFormat="false" ht="23.85" hidden="false" customHeight="false" outlineLevel="0" collapsed="false">
      <c r="A19" s="5" t="n">
        <v>41595</v>
      </c>
      <c r="B19" s="5" t="s">
        <v>54</v>
      </c>
      <c r="C19" s="5" t="s">
        <v>193</v>
      </c>
      <c r="D19" s="4" t="s">
        <v>22</v>
      </c>
      <c r="E19" s="4" t="s">
        <v>160</v>
      </c>
      <c r="F19" s="4" t="s">
        <v>161</v>
      </c>
      <c r="G19" s="4" t="s">
        <v>194</v>
      </c>
      <c r="H19" s="4" t="s">
        <v>195</v>
      </c>
      <c r="I19" s="5" t="s">
        <v>141</v>
      </c>
      <c r="J19" s="4"/>
      <c r="K19" s="5" t="s">
        <v>142</v>
      </c>
      <c r="L19" s="4"/>
      <c r="M19" s="5" t="s">
        <v>142</v>
      </c>
      <c r="N19" s="4" t="s">
        <v>196</v>
      </c>
      <c r="O19" s="5" t="s">
        <v>141</v>
      </c>
      <c r="P19" s="4"/>
      <c r="Q19" s="5" t="s">
        <v>142</v>
      </c>
      <c r="R19" s="5" t="n">
        <v>0</v>
      </c>
      <c r="S19" s="5" t="s">
        <v>142</v>
      </c>
      <c r="T19" s="4"/>
      <c r="U19" s="5" t="s">
        <v>142</v>
      </c>
      <c r="V19" s="5" t="n">
        <v>0</v>
      </c>
      <c r="W19" s="5" t="s">
        <v>142</v>
      </c>
      <c r="X19" s="5" t="n">
        <v>6</v>
      </c>
      <c r="Y19" s="4" t="s">
        <v>165</v>
      </c>
    </row>
    <row r="20" customFormat="false" ht="35.05" hidden="false" customHeight="false" outlineLevel="0" collapsed="false">
      <c r="A20" s="5" t="n">
        <v>41599</v>
      </c>
      <c r="B20" s="5" t="s">
        <v>54</v>
      </c>
      <c r="C20" s="5" t="s">
        <v>197</v>
      </c>
      <c r="D20" s="4" t="s">
        <v>30</v>
      </c>
      <c r="E20" s="4" t="s">
        <v>137</v>
      </c>
      <c r="F20" s="4" t="s">
        <v>138</v>
      </c>
      <c r="G20" s="4" t="s">
        <v>198</v>
      </c>
      <c r="H20" s="4"/>
      <c r="I20" s="5" t="s">
        <v>142</v>
      </c>
      <c r="J20" s="4"/>
      <c r="K20" s="5" t="s">
        <v>142</v>
      </c>
      <c r="L20" s="4"/>
      <c r="M20" s="5" t="s">
        <v>142</v>
      </c>
      <c r="N20" s="4"/>
      <c r="O20" s="5" t="s">
        <v>142</v>
      </c>
      <c r="P20" s="4"/>
      <c r="Q20" s="5" t="s">
        <v>142</v>
      </c>
      <c r="R20" s="5" t="n">
        <v>0</v>
      </c>
      <c r="S20" s="5" t="s">
        <v>142</v>
      </c>
      <c r="T20" s="4"/>
      <c r="U20" s="5" t="s">
        <v>142</v>
      </c>
      <c r="V20" s="5" t="n">
        <v>0</v>
      </c>
      <c r="W20" s="5" t="s">
        <v>142</v>
      </c>
      <c r="X20" s="5" t="n">
        <v>8</v>
      </c>
      <c r="Y20" s="4" t="s">
        <v>173</v>
      </c>
    </row>
    <row r="21" customFormat="false" ht="35.05" hidden="false" customHeight="false" outlineLevel="0" collapsed="false">
      <c r="A21" s="5" t="n">
        <v>41600</v>
      </c>
      <c r="B21" s="5" t="s">
        <v>54</v>
      </c>
      <c r="C21" s="5" t="s">
        <v>199</v>
      </c>
      <c r="D21" s="4" t="s">
        <v>30</v>
      </c>
      <c r="E21" s="4" t="s">
        <v>137</v>
      </c>
      <c r="F21" s="4" t="s">
        <v>138</v>
      </c>
      <c r="G21" s="4" t="s">
        <v>200</v>
      </c>
      <c r="H21" s="4"/>
      <c r="I21" s="5" t="s">
        <v>142</v>
      </c>
      <c r="J21" s="4"/>
      <c r="K21" s="5" t="s">
        <v>142</v>
      </c>
      <c r="L21" s="4"/>
      <c r="M21" s="5" t="s">
        <v>142</v>
      </c>
      <c r="N21" s="4"/>
      <c r="O21" s="5" t="s">
        <v>142</v>
      </c>
      <c r="P21" s="4"/>
      <c r="Q21" s="5" t="s">
        <v>142</v>
      </c>
      <c r="R21" s="5" t="n">
        <v>0</v>
      </c>
      <c r="S21" s="5" t="s">
        <v>142</v>
      </c>
      <c r="T21" s="4"/>
      <c r="U21" s="5" t="s">
        <v>142</v>
      </c>
      <c r="V21" s="5" t="n">
        <v>0</v>
      </c>
      <c r="W21" s="5" t="s">
        <v>142</v>
      </c>
      <c r="X21" s="5" t="n">
        <v>8</v>
      </c>
      <c r="Y21" s="4" t="s">
        <v>173</v>
      </c>
    </row>
    <row r="22" customFormat="false" ht="35.05" hidden="false" customHeight="false" outlineLevel="0" collapsed="false">
      <c r="A22" s="5" t="n">
        <v>41601</v>
      </c>
      <c r="B22" s="5" t="s">
        <v>54</v>
      </c>
      <c r="C22" s="5" t="s">
        <v>201</v>
      </c>
      <c r="D22" s="4" t="s">
        <v>30</v>
      </c>
      <c r="E22" s="4" t="s">
        <v>137</v>
      </c>
      <c r="F22" s="4" t="s">
        <v>138</v>
      </c>
      <c r="G22" s="4" t="s">
        <v>202</v>
      </c>
      <c r="H22" s="4"/>
      <c r="I22" s="5" t="s">
        <v>142</v>
      </c>
      <c r="J22" s="4"/>
      <c r="K22" s="5" t="s">
        <v>142</v>
      </c>
      <c r="L22" s="4"/>
      <c r="M22" s="5" t="s">
        <v>142</v>
      </c>
      <c r="N22" s="4"/>
      <c r="O22" s="5" t="s">
        <v>142</v>
      </c>
      <c r="P22" s="4"/>
      <c r="Q22" s="5" t="s">
        <v>142</v>
      </c>
      <c r="R22" s="5" t="n">
        <v>0</v>
      </c>
      <c r="S22" s="5" t="s">
        <v>142</v>
      </c>
      <c r="T22" s="4"/>
      <c r="U22" s="5" t="s">
        <v>142</v>
      </c>
      <c r="V22" s="5" t="n">
        <v>0</v>
      </c>
      <c r="W22" s="5" t="s">
        <v>142</v>
      </c>
      <c r="X22" s="5" t="n">
        <v>8</v>
      </c>
      <c r="Y22" s="4" t="s">
        <v>173</v>
      </c>
    </row>
    <row r="23" customFormat="false" ht="35.05" hidden="false" customHeight="false" outlineLevel="0" collapsed="false">
      <c r="A23" s="5" t="n">
        <v>41602</v>
      </c>
      <c r="B23" s="5" t="s">
        <v>54</v>
      </c>
      <c r="C23" s="5" t="s">
        <v>203</v>
      </c>
      <c r="D23" s="4" t="s">
        <v>30</v>
      </c>
      <c r="E23" s="4" t="s">
        <v>137</v>
      </c>
      <c r="F23" s="4" t="s">
        <v>138</v>
      </c>
      <c r="G23" s="4" t="s">
        <v>204</v>
      </c>
      <c r="H23" s="4"/>
      <c r="I23" s="5" t="s">
        <v>142</v>
      </c>
      <c r="J23" s="4"/>
      <c r="K23" s="5" t="s">
        <v>142</v>
      </c>
      <c r="L23" s="4"/>
      <c r="M23" s="5" t="s">
        <v>142</v>
      </c>
      <c r="N23" s="4"/>
      <c r="O23" s="5" t="s">
        <v>142</v>
      </c>
      <c r="P23" s="4"/>
      <c r="Q23" s="5" t="s">
        <v>142</v>
      </c>
      <c r="R23" s="5" t="n">
        <v>0</v>
      </c>
      <c r="S23" s="5" t="s">
        <v>142</v>
      </c>
      <c r="T23" s="4"/>
      <c r="U23" s="5" t="s">
        <v>142</v>
      </c>
      <c r="V23" s="5" t="n">
        <v>0</v>
      </c>
      <c r="W23" s="5" t="s">
        <v>142</v>
      </c>
      <c r="X23" s="5" t="n">
        <v>8</v>
      </c>
      <c r="Y23" s="4" t="s">
        <v>173</v>
      </c>
    </row>
    <row r="24" customFormat="false" ht="35.05" hidden="false" customHeight="false" outlineLevel="0" collapsed="false">
      <c r="A24" s="5" t="n">
        <v>41603</v>
      </c>
      <c r="B24" s="5" t="s">
        <v>54</v>
      </c>
      <c r="C24" s="5" t="s">
        <v>205</v>
      </c>
      <c r="D24" s="4" t="s">
        <v>30</v>
      </c>
      <c r="E24" s="4" t="s">
        <v>137</v>
      </c>
      <c r="F24" s="4" t="s">
        <v>138</v>
      </c>
      <c r="G24" s="4" t="s">
        <v>206</v>
      </c>
      <c r="H24" s="4"/>
      <c r="I24" s="5" t="s">
        <v>142</v>
      </c>
      <c r="J24" s="4"/>
      <c r="K24" s="5" t="s">
        <v>142</v>
      </c>
      <c r="L24" s="4"/>
      <c r="M24" s="5" t="s">
        <v>142</v>
      </c>
      <c r="N24" s="4"/>
      <c r="O24" s="5" t="s">
        <v>142</v>
      </c>
      <c r="P24" s="4"/>
      <c r="Q24" s="5" t="s">
        <v>142</v>
      </c>
      <c r="R24" s="5" t="n">
        <v>0</v>
      </c>
      <c r="S24" s="5" t="s">
        <v>142</v>
      </c>
      <c r="T24" s="4"/>
      <c r="U24" s="5" t="s">
        <v>142</v>
      </c>
      <c r="V24" s="5" t="n">
        <v>0</v>
      </c>
      <c r="W24" s="5" t="s">
        <v>142</v>
      </c>
      <c r="X24" s="5" t="n">
        <v>8</v>
      </c>
      <c r="Y24" s="4" t="s">
        <v>173</v>
      </c>
    </row>
    <row r="25" customFormat="false" ht="35.05" hidden="false" customHeight="false" outlineLevel="0" collapsed="false">
      <c r="A25" s="5" t="n">
        <v>41604</v>
      </c>
      <c r="B25" s="5" t="s">
        <v>54</v>
      </c>
      <c r="C25" s="5" t="s">
        <v>207</v>
      </c>
      <c r="D25" s="4" t="s">
        <v>24</v>
      </c>
      <c r="E25" s="4" t="s">
        <v>167</v>
      </c>
      <c r="F25" s="4" t="s">
        <v>138</v>
      </c>
      <c r="G25" s="4" t="s">
        <v>208</v>
      </c>
      <c r="H25" s="4"/>
      <c r="I25" s="5" t="s">
        <v>142</v>
      </c>
      <c r="J25" s="4"/>
      <c r="K25" s="5" t="s">
        <v>142</v>
      </c>
      <c r="L25" s="4"/>
      <c r="M25" s="5" t="s">
        <v>142</v>
      </c>
      <c r="N25" s="4"/>
      <c r="O25" s="5" t="s">
        <v>142</v>
      </c>
      <c r="P25" s="4"/>
      <c r="Q25" s="5" t="s">
        <v>142</v>
      </c>
      <c r="R25" s="5" t="n">
        <v>0</v>
      </c>
      <c r="S25" s="5" t="s">
        <v>142</v>
      </c>
      <c r="T25" s="4"/>
      <c r="U25" s="5" t="s">
        <v>142</v>
      </c>
      <c r="V25" s="5" t="n">
        <v>0</v>
      </c>
      <c r="W25" s="5" t="s">
        <v>142</v>
      </c>
      <c r="X25" s="5" t="n">
        <v>8</v>
      </c>
      <c r="Y25" s="4" t="s">
        <v>173</v>
      </c>
    </row>
    <row r="26" customFormat="false" ht="23.85" hidden="false" customHeight="false" outlineLevel="0" collapsed="false">
      <c r="A26" s="5" t="n">
        <v>41606</v>
      </c>
      <c r="B26" s="5" t="s">
        <v>58</v>
      </c>
      <c r="C26" s="5" t="s">
        <v>209</v>
      </c>
      <c r="D26" s="4" t="s">
        <v>32</v>
      </c>
      <c r="E26" s="4" t="s">
        <v>137</v>
      </c>
      <c r="F26" s="4" t="s">
        <v>138</v>
      </c>
      <c r="G26" s="4" t="s">
        <v>210</v>
      </c>
      <c r="H26" s="4" t="s">
        <v>211</v>
      </c>
      <c r="I26" s="5" t="s">
        <v>141</v>
      </c>
      <c r="J26" s="4"/>
      <c r="K26" s="5" t="s">
        <v>142</v>
      </c>
      <c r="L26" s="4"/>
      <c r="M26" s="5" t="s">
        <v>142</v>
      </c>
      <c r="N26" s="4"/>
      <c r="O26" s="5" t="s">
        <v>142</v>
      </c>
      <c r="P26" s="4"/>
      <c r="Q26" s="5" t="s">
        <v>142</v>
      </c>
      <c r="R26" s="5" t="n">
        <v>0</v>
      </c>
      <c r="S26" s="5" t="s">
        <v>142</v>
      </c>
      <c r="T26" s="4"/>
      <c r="U26" s="5" t="s">
        <v>142</v>
      </c>
      <c r="V26" s="5" t="n">
        <v>0</v>
      </c>
      <c r="W26" s="5" t="s">
        <v>142</v>
      </c>
      <c r="X26" s="5" t="n">
        <v>7</v>
      </c>
      <c r="Y26" s="4" t="s">
        <v>143</v>
      </c>
    </row>
    <row r="27" customFormat="false" ht="23.85" hidden="false" customHeight="false" outlineLevel="0" collapsed="false">
      <c r="A27" s="5" t="n">
        <v>41607</v>
      </c>
      <c r="B27" s="5" t="s">
        <v>58</v>
      </c>
      <c r="C27" s="5" t="s">
        <v>212</v>
      </c>
      <c r="D27" s="4" t="s">
        <v>32</v>
      </c>
      <c r="E27" s="4" t="s">
        <v>137</v>
      </c>
      <c r="F27" s="4" t="s">
        <v>138</v>
      </c>
      <c r="G27" s="4" t="s">
        <v>213</v>
      </c>
      <c r="H27" s="4" t="s">
        <v>214</v>
      </c>
      <c r="I27" s="5" t="s">
        <v>141</v>
      </c>
      <c r="J27" s="4"/>
      <c r="K27" s="5" t="s">
        <v>142</v>
      </c>
      <c r="L27" s="4"/>
      <c r="M27" s="5" t="s">
        <v>142</v>
      </c>
      <c r="N27" s="4"/>
      <c r="O27" s="5" t="s">
        <v>142</v>
      </c>
      <c r="P27" s="4"/>
      <c r="Q27" s="5" t="s">
        <v>142</v>
      </c>
      <c r="R27" s="5" t="n">
        <v>0</v>
      </c>
      <c r="S27" s="5" t="s">
        <v>142</v>
      </c>
      <c r="T27" s="4"/>
      <c r="U27" s="5" t="s">
        <v>142</v>
      </c>
      <c r="V27" s="5" t="n">
        <v>0</v>
      </c>
      <c r="W27" s="5" t="s">
        <v>142</v>
      </c>
      <c r="X27" s="5" t="n">
        <v>7</v>
      </c>
      <c r="Y27" s="4" t="s">
        <v>143</v>
      </c>
    </row>
    <row r="28" customFormat="false" ht="23.85" hidden="false" customHeight="false" outlineLevel="0" collapsed="false">
      <c r="A28" s="5" t="n">
        <v>41608</v>
      </c>
      <c r="B28" s="5" t="s">
        <v>58</v>
      </c>
      <c r="C28" s="5" t="s">
        <v>215</v>
      </c>
      <c r="D28" s="4" t="s">
        <v>32</v>
      </c>
      <c r="E28" s="4" t="s">
        <v>137</v>
      </c>
      <c r="F28" s="4" t="s">
        <v>138</v>
      </c>
      <c r="G28" s="4" t="s">
        <v>216</v>
      </c>
      <c r="H28" s="4" t="s">
        <v>217</v>
      </c>
      <c r="I28" s="5" t="s">
        <v>141</v>
      </c>
      <c r="J28" s="4"/>
      <c r="K28" s="5" t="s">
        <v>142</v>
      </c>
      <c r="L28" s="4"/>
      <c r="M28" s="5" t="s">
        <v>142</v>
      </c>
      <c r="N28" s="4"/>
      <c r="O28" s="5" t="s">
        <v>142</v>
      </c>
      <c r="P28" s="4"/>
      <c r="Q28" s="5" t="s">
        <v>142</v>
      </c>
      <c r="R28" s="5" t="n">
        <v>0</v>
      </c>
      <c r="S28" s="5" t="s">
        <v>142</v>
      </c>
      <c r="T28" s="4"/>
      <c r="U28" s="5" t="s">
        <v>142</v>
      </c>
      <c r="V28" s="5" t="n">
        <v>0</v>
      </c>
      <c r="W28" s="5" t="s">
        <v>142</v>
      </c>
      <c r="X28" s="5" t="n">
        <v>7</v>
      </c>
      <c r="Y28" s="4" t="s">
        <v>143</v>
      </c>
    </row>
    <row r="29" customFormat="false" ht="23.85" hidden="false" customHeight="false" outlineLevel="0" collapsed="false">
      <c r="A29" s="5" t="n">
        <v>41609</v>
      </c>
      <c r="B29" s="5" t="s">
        <v>58</v>
      </c>
      <c r="C29" s="5" t="s">
        <v>218</v>
      </c>
      <c r="D29" s="4" t="s">
        <v>32</v>
      </c>
      <c r="E29" s="4" t="s">
        <v>137</v>
      </c>
      <c r="F29" s="4" t="s">
        <v>138</v>
      </c>
      <c r="G29" s="4" t="s">
        <v>219</v>
      </c>
      <c r="H29" s="4" t="s">
        <v>220</v>
      </c>
      <c r="I29" s="5" t="s">
        <v>141</v>
      </c>
      <c r="J29" s="4"/>
      <c r="K29" s="5" t="s">
        <v>142</v>
      </c>
      <c r="L29" s="4"/>
      <c r="M29" s="5" t="s">
        <v>142</v>
      </c>
      <c r="N29" s="4"/>
      <c r="O29" s="5" t="s">
        <v>142</v>
      </c>
      <c r="P29" s="4"/>
      <c r="Q29" s="5" t="s">
        <v>142</v>
      </c>
      <c r="R29" s="5" t="n">
        <v>0</v>
      </c>
      <c r="S29" s="5" t="s">
        <v>142</v>
      </c>
      <c r="T29" s="4"/>
      <c r="U29" s="5" t="s">
        <v>142</v>
      </c>
      <c r="V29" s="5" t="n">
        <v>0</v>
      </c>
      <c r="W29" s="5" t="s">
        <v>142</v>
      </c>
      <c r="X29" s="5" t="n">
        <v>7</v>
      </c>
      <c r="Y29" s="4" t="s">
        <v>143</v>
      </c>
    </row>
    <row r="30" customFormat="false" ht="23.85" hidden="false" customHeight="false" outlineLevel="0" collapsed="false">
      <c r="A30" s="5" t="n">
        <v>41610</v>
      </c>
      <c r="B30" s="5" t="s">
        <v>58</v>
      </c>
      <c r="C30" s="5" t="s">
        <v>221</v>
      </c>
      <c r="D30" s="4" t="s">
        <v>32</v>
      </c>
      <c r="E30" s="4" t="s">
        <v>137</v>
      </c>
      <c r="F30" s="4" t="s">
        <v>138</v>
      </c>
      <c r="G30" s="4" t="s">
        <v>222</v>
      </c>
      <c r="H30" s="4" t="s">
        <v>223</v>
      </c>
      <c r="I30" s="5" t="s">
        <v>141</v>
      </c>
      <c r="J30" s="4"/>
      <c r="K30" s="5" t="s">
        <v>142</v>
      </c>
      <c r="L30" s="4"/>
      <c r="M30" s="5" t="s">
        <v>142</v>
      </c>
      <c r="N30" s="4"/>
      <c r="O30" s="5" t="s">
        <v>142</v>
      </c>
      <c r="P30" s="4"/>
      <c r="Q30" s="5" t="s">
        <v>142</v>
      </c>
      <c r="R30" s="5" t="n">
        <v>0</v>
      </c>
      <c r="S30" s="5" t="s">
        <v>142</v>
      </c>
      <c r="T30" s="4"/>
      <c r="U30" s="5" t="s">
        <v>142</v>
      </c>
      <c r="V30" s="5" t="n">
        <v>0</v>
      </c>
      <c r="W30" s="5" t="s">
        <v>142</v>
      </c>
      <c r="X30" s="5" t="n">
        <v>7</v>
      </c>
      <c r="Y30" s="4" t="s">
        <v>143</v>
      </c>
    </row>
    <row r="31" customFormat="false" ht="23.85" hidden="false" customHeight="false" outlineLevel="0" collapsed="false">
      <c r="A31" s="5" t="n">
        <v>41611</v>
      </c>
      <c r="B31" s="5" t="s">
        <v>58</v>
      </c>
      <c r="C31" s="5" t="s">
        <v>224</v>
      </c>
      <c r="D31" s="4" t="s">
        <v>32</v>
      </c>
      <c r="E31" s="4" t="s">
        <v>137</v>
      </c>
      <c r="F31" s="4" t="s">
        <v>138</v>
      </c>
      <c r="G31" s="4" t="s">
        <v>225</v>
      </c>
      <c r="H31" s="4" t="s">
        <v>226</v>
      </c>
      <c r="I31" s="5" t="s">
        <v>141</v>
      </c>
      <c r="J31" s="4"/>
      <c r="K31" s="5" t="s">
        <v>142</v>
      </c>
      <c r="L31" s="4"/>
      <c r="M31" s="5" t="s">
        <v>142</v>
      </c>
      <c r="N31" s="4"/>
      <c r="O31" s="5" t="s">
        <v>142</v>
      </c>
      <c r="P31" s="4"/>
      <c r="Q31" s="5" t="s">
        <v>142</v>
      </c>
      <c r="R31" s="5" t="n">
        <v>0</v>
      </c>
      <c r="S31" s="5" t="s">
        <v>142</v>
      </c>
      <c r="T31" s="4"/>
      <c r="U31" s="5" t="s">
        <v>142</v>
      </c>
      <c r="V31" s="5" t="n">
        <v>0</v>
      </c>
      <c r="W31" s="5" t="s">
        <v>142</v>
      </c>
      <c r="X31" s="5" t="n">
        <v>7</v>
      </c>
      <c r="Y31" s="4" t="s">
        <v>143</v>
      </c>
    </row>
    <row r="32" customFormat="false" ht="23.85" hidden="false" customHeight="false" outlineLevel="0" collapsed="false">
      <c r="A32" s="5" t="n">
        <v>41612</v>
      </c>
      <c r="B32" s="5" t="s">
        <v>58</v>
      </c>
      <c r="C32" s="5" t="s">
        <v>227</v>
      </c>
      <c r="D32" s="4" t="s">
        <v>22</v>
      </c>
      <c r="E32" s="4" t="s">
        <v>160</v>
      </c>
      <c r="F32" s="4" t="s">
        <v>228</v>
      </c>
      <c r="G32" s="4" t="s">
        <v>229</v>
      </c>
      <c r="H32" s="4" t="s">
        <v>230</v>
      </c>
      <c r="I32" s="5" t="s">
        <v>141</v>
      </c>
      <c r="J32" s="4"/>
      <c r="K32" s="5" t="s">
        <v>142</v>
      </c>
      <c r="L32" s="4" t="s">
        <v>231</v>
      </c>
      <c r="M32" s="5" t="s">
        <v>141</v>
      </c>
      <c r="N32" s="4"/>
      <c r="O32" s="5" t="s">
        <v>142</v>
      </c>
      <c r="P32" s="4"/>
      <c r="Q32" s="5" t="s">
        <v>142</v>
      </c>
      <c r="R32" s="5" t="n">
        <v>0</v>
      </c>
      <c r="S32" s="5" t="s">
        <v>142</v>
      </c>
      <c r="T32" s="4"/>
      <c r="U32" s="5" t="s">
        <v>142</v>
      </c>
      <c r="V32" s="5" t="n">
        <v>0</v>
      </c>
      <c r="W32" s="5" t="s">
        <v>142</v>
      </c>
      <c r="X32" s="5" t="n">
        <v>6</v>
      </c>
      <c r="Y32" s="4" t="s">
        <v>171</v>
      </c>
    </row>
    <row r="33" customFormat="false" ht="35.05" hidden="false" customHeight="false" outlineLevel="0" collapsed="false">
      <c r="A33" s="5" t="n">
        <v>41613</v>
      </c>
      <c r="B33" s="5" t="s">
        <v>58</v>
      </c>
      <c r="C33" s="5" t="s">
        <v>232</v>
      </c>
      <c r="D33" s="4" t="s">
        <v>30</v>
      </c>
      <c r="E33" s="4" t="s">
        <v>137</v>
      </c>
      <c r="F33" s="4" t="s">
        <v>138</v>
      </c>
      <c r="G33" s="4" t="s">
        <v>181</v>
      </c>
      <c r="H33" s="4"/>
      <c r="I33" s="5" t="s">
        <v>142</v>
      </c>
      <c r="J33" s="4"/>
      <c r="K33" s="5" t="s">
        <v>142</v>
      </c>
      <c r="L33" s="4"/>
      <c r="M33" s="5" t="s">
        <v>142</v>
      </c>
      <c r="N33" s="4"/>
      <c r="O33" s="5" t="s">
        <v>142</v>
      </c>
      <c r="P33" s="4"/>
      <c r="Q33" s="5" t="s">
        <v>142</v>
      </c>
      <c r="R33" s="5" t="n">
        <v>0</v>
      </c>
      <c r="S33" s="5" t="s">
        <v>142</v>
      </c>
      <c r="T33" s="4"/>
      <c r="U33" s="5" t="s">
        <v>142</v>
      </c>
      <c r="V33" s="5" t="n">
        <v>0</v>
      </c>
      <c r="W33" s="5" t="s">
        <v>142</v>
      </c>
      <c r="X33" s="5" t="n">
        <v>8</v>
      </c>
      <c r="Y33" s="4" t="s">
        <v>173</v>
      </c>
    </row>
    <row r="34" customFormat="false" ht="35.05" hidden="false" customHeight="false" outlineLevel="0" collapsed="false">
      <c r="A34" s="5" t="n">
        <v>41614</v>
      </c>
      <c r="B34" s="5" t="s">
        <v>58</v>
      </c>
      <c r="C34" s="5" t="s">
        <v>233</v>
      </c>
      <c r="D34" s="4" t="s">
        <v>30</v>
      </c>
      <c r="E34" s="4" t="s">
        <v>137</v>
      </c>
      <c r="F34" s="4" t="s">
        <v>138</v>
      </c>
      <c r="G34" s="4" t="s">
        <v>234</v>
      </c>
      <c r="H34" s="4"/>
      <c r="I34" s="5" t="s">
        <v>142</v>
      </c>
      <c r="J34" s="4"/>
      <c r="K34" s="5" t="s">
        <v>142</v>
      </c>
      <c r="L34" s="4"/>
      <c r="M34" s="5" t="s">
        <v>142</v>
      </c>
      <c r="N34" s="4"/>
      <c r="O34" s="5" t="s">
        <v>142</v>
      </c>
      <c r="P34" s="4"/>
      <c r="Q34" s="5" t="s">
        <v>142</v>
      </c>
      <c r="R34" s="5" t="n">
        <v>0</v>
      </c>
      <c r="S34" s="5" t="s">
        <v>142</v>
      </c>
      <c r="T34" s="4"/>
      <c r="U34" s="5" t="s">
        <v>142</v>
      </c>
      <c r="V34" s="5" t="n">
        <v>0</v>
      </c>
      <c r="W34" s="5" t="s">
        <v>142</v>
      </c>
      <c r="X34" s="5" t="n">
        <v>8</v>
      </c>
      <c r="Y34" s="4" t="s">
        <v>173</v>
      </c>
    </row>
    <row r="35" customFormat="false" ht="35.05" hidden="false" customHeight="false" outlineLevel="0" collapsed="false">
      <c r="A35" s="5" t="n">
        <v>41615</v>
      </c>
      <c r="B35" s="5" t="s">
        <v>58</v>
      </c>
      <c r="C35" s="5" t="s">
        <v>235</v>
      </c>
      <c r="D35" s="4" t="s">
        <v>30</v>
      </c>
      <c r="E35" s="4" t="s">
        <v>137</v>
      </c>
      <c r="F35" s="4" t="s">
        <v>138</v>
      </c>
      <c r="G35" s="4" t="s">
        <v>236</v>
      </c>
      <c r="H35" s="4"/>
      <c r="I35" s="5" t="s">
        <v>142</v>
      </c>
      <c r="J35" s="4"/>
      <c r="K35" s="5" t="s">
        <v>142</v>
      </c>
      <c r="L35" s="4"/>
      <c r="M35" s="5" t="s">
        <v>142</v>
      </c>
      <c r="N35" s="4"/>
      <c r="O35" s="5" t="s">
        <v>142</v>
      </c>
      <c r="P35" s="4"/>
      <c r="Q35" s="5" t="s">
        <v>142</v>
      </c>
      <c r="R35" s="5" t="n">
        <v>0</v>
      </c>
      <c r="S35" s="5" t="s">
        <v>142</v>
      </c>
      <c r="T35" s="4"/>
      <c r="U35" s="5" t="s">
        <v>142</v>
      </c>
      <c r="V35" s="5" t="n">
        <v>0</v>
      </c>
      <c r="W35" s="5" t="s">
        <v>142</v>
      </c>
      <c r="X35" s="5" t="n">
        <v>8</v>
      </c>
      <c r="Y35" s="4" t="s">
        <v>173</v>
      </c>
    </row>
    <row r="36" customFormat="false" ht="35.05" hidden="false" customHeight="false" outlineLevel="0" collapsed="false">
      <c r="A36" s="5" t="n">
        <v>41616</v>
      </c>
      <c r="B36" s="5" t="s">
        <v>58</v>
      </c>
      <c r="C36" s="5" t="s">
        <v>237</v>
      </c>
      <c r="D36" s="4" t="s">
        <v>30</v>
      </c>
      <c r="E36" s="4" t="s">
        <v>137</v>
      </c>
      <c r="F36" s="4" t="s">
        <v>138</v>
      </c>
      <c r="G36" s="4" t="s">
        <v>238</v>
      </c>
      <c r="H36" s="4"/>
      <c r="I36" s="5" t="s">
        <v>142</v>
      </c>
      <c r="J36" s="4"/>
      <c r="K36" s="5" t="s">
        <v>142</v>
      </c>
      <c r="L36" s="4"/>
      <c r="M36" s="5" t="s">
        <v>142</v>
      </c>
      <c r="N36" s="4"/>
      <c r="O36" s="5" t="s">
        <v>142</v>
      </c>
      <c r="P36" s="4"/>
      <c r="Q36" s="5" t="s">
        <v>142</v>
      </c>
      <c r="R36" s="5" t="n">
        <v>0</v>
      </c>
      <c r="S36" s="5" t="s">
        <v>142</v>
      </c>
      <c r="T36" s="4"/>
      <c r="U36" s="5" t="s">
        <v>142</v>
      </c>
      <c r="V36" s="5" t="n">
        <v>0</v>
      </c>
      <c r="W36" s="5" t="s">
        <v>142</v>
      </c>
      <c r="X36" s="5" t="n">
        <v>8</v>
      </c>
      <c r="Y36" s="4" t="s">
        <v>173</v>
      </c>
    </row>
    <row r="37" customFormat="false" ht="35.05" hidden="false" customHeight="false" outlineLevel="0" collapsed="false">
      <c r="A37" s="5" t="n">
        <v>41617</v>
      </c>
      <c r="B37" s="5" t="s">
        <v>58</v>
      </c>
      <c r="C37" s="5" t="s">
        <v>239</v>
      </c>
      <c r="D37" s="4" t="s">
        <v>30</v>
      </c>
      <c r="E37" s="4" t="s">
        <v>137</v>
      </c>
      <c r="F37" s="4" t="s">
        <v>138</v>
      </c>
      <c r="G37" s="4" t="s">
        <v>240</v>
      </c>
      <c r="H37" s="4"/>
      <c r="I37" s="5" t="s">
        <v>142</v>
      </c>
      <c r="J37" s="4"/>
      <c r="K37" s="5" t="s">
        <v>142</v>
      </c>
      <c r="L37" s="4"/>
      <c r="M37" s="5" t="s">
        <v>142</v>
      </c>
      <c r="N37" s="4"/>
      <c r="O37" s="5" t="s">
        <v>142</v>
      </c>
      <c r="P37" s="4"/>
      <c r="Q37" s="5" t="s">
        <v>142</v>
      </c>
      <c r="R37" s="5" t="n">
        <v>0</v>
      </c>
      <c r="S37" s="5" t="s">
        <v>142</v>
      </c>
      <c r="T37" s="4"/>
      <c r="U37" s="5" t="s">
        <v>142</v>
      </c>
      <c r="V37" s="5" t="n">
        <v>0</v>
      </c>
      <c r="W37" s="5" t="s">
        <v>142</v>
      </c>
      <c r="X37" s="5" t="n">
        <v>8</v>
      </c>
      <c r="Y37" s="4" t="s">
        <v>173</v>
      </c>
    </row>
    <row r="38" customFormat="false" ht="35.05" hidden="false" customHeight="false" outlineLevel="0" collapsed="false">
      <c r="A38" s="5" t="n">
        <v>41618</v>
      </c>
      <c r="B38" s="5" t="s">
        <v>58</v>
      </c>
      <c r="C38" s="5" t="s">
        <v>239</v>
      </c>
      <c r="D38" s="4" t="s">
        <v>30</v>
      </c>
      <c r="E38" s="4" t="s">
        <v>137</v>
      </c>
      <c r="F38" s="4" t="s">
        <v>138</v>
      </c>
      <c r="G38" s="4" t="s">
        <v>177</v>
      </c>
      <c r="H38" s="4"/>
      <c r="I38" s="5" t="s">
        <v>142</v>
      </c>
      <c r="J38" s="4"/>
      <c r="K38" s="5" t="s">
        <v>142</v>
      </c>
      <c r="L38" s="4"/>
      <c r="M38" s="5" t="s">
        <v>142</v>
      </c>
      <c r="N38" s="4"/>
      <c r="O38" s="5" t="s">
        <v>142</v>
      </c>
      <c r="P38" s="4"/>
      <c r="Q38" s="5" t="s">
        <v>142</v>
      </c>
      <c r="R38" s="5" t="n">
        <v>0</v>
      </c>
      <c r="S38" s="5" t="s">
        <v>142</v>
      </c>
      <c r="T38" s="4"/>
      <c r="U38" s="5" t="s">
        <v>142</v>
      </c>
      <c r="V38" s="5" t="n">
        <v>0</v>
      </c>
      <c r="W38" s="5" t="s">
        <v>142</v>
      </c>
      <c r="X38" s="5" t="n">
        <v>8</v>
      </c>
      <c r="Y38" s="4" t="s">
        <v>173</v>
      </c>
    </row>
    <row r="39" customFormat="false" ht="35.05" hidden="false" customHeight="false" outlineLevel="0" collapsed="false">
      <c r="A39" s="5" t="n">
        <v>41619</v>
      </c>
      <c r="B39" s="5" t="s">
        <v>58</v>
      </c>
      <c r="C39" s="5" t="s">
        <v>241</v>
      </c>
      <c r="D39" s="4" t="s">
        <v>30</v>
      </c>
      <c r="E39" s="4" t="s">
        <v>137</v>
      </c>
      <c r="F39" s="4" t="s">
        <v>138</v>
      </c>
      <c r="G39" s="4" t="s">
        <v>242</v>
      </c>
      <c r="H39" s="4"/>
      <c r="I39" s="5" t="s">
        <v>142</v>
      </c>
      <c r="J39" s="4"/>
      <c r="K39" s="5" t="s">
        <v>142</v>
      </c>
      <c r="L39" s="4"/>
      <c r="M39" s="5" t="s">
        <v>142</v>
      </c>
      <c r="N39" s="4"/>
      <c r="O39" s="5" t="s">
        <v>142</v>
      </c>
      <c r="P39" s="4"/>
      <c r="Q39" s="5" t="s">
        <v>142</v>
      </c>
      <c r="R39" s="5" t="n">
        <v>0</v>
      </c>
      <c r="S39" s="5" t="s">
        <v>142</v>
      </c>
      <c r="T39" s="4"/>
      <c r="U39" s="5" t="s">
        <v>142</v>
      </c>
      <c r="V39" s="5" t="n">
        <v>0</v>
      </c>
      <c r="W39" s="5" t="s">
        <v>142</v>
      </c>
      <c r="X39" s="5" t="n">
        <v>8</v>
      </c>
      <c r="Y39" s="4" t="s">
        <v>173</v>
      </c>
    </row>
    <row r="40" customFormat="false" ht="35.05" hidden="false" customHeight="false" outlineLevel="0" collapsed="false">
      <c r="A40" s="5" t="n">
        <v>41620</v>
      </c>
      <c r="B40" s="5" t="s">
        <v>58</v>
      </c>
      <c r="C40" s="5" t="s">
        <v>243</v>
      </c>
      <c r="D40" s="4" t="s">
        <v>30</v>
      </c>
      <c r="E40" s="4" t="s">
        <v>137</v>
      </c>
      <c r="F40" s="4" t="s">
        <v>138</v>
      </c>
      <c r="G40" s="4" t="s">
        <v>244</v>
      </c>
      <c r="H40" s="4"/>
      <c r="I40" s="5" t="s">
        <v>142</v>
      </c>
      <c r="J40" s="4"/>
      <c r="K40" s="5" t="s">
        <v>142</v>
      </c>
      <c r="L40" s="4"/>
      <c r="M40" s="5" t="s">
        <v>142</v>
      </c>
      <c r="N40" s="4"/>
      <c r="O40" s="5" t="s">
        <v>142</v>
      </c>
      <c r="P40" s="4"/>
      <c r="Q40" s="5" t="s">
        <v>142</v>
      </c>
      <c r="R40" s="5" t="n">
        <v>0</v>
      </c>
      <c r="S40" s="5" t="s">
        <v>142</v>
      </c>
      <c r="T40" s="4"/>
      <c r="U40" s="5" t="s">
        <v>142</v>
      </c>
      <c r="V40" s="5" t="n">
        <v>0</v>
      </c>
      <c r="W40" s="5" t="s">
        <v>142</v>
      </c>
      <c r="X40" s="5" t="n">
        <v>8</v>
      </c>
      <c r="Y40" s="4" t="s">
        <v>173</v>
      </c>
    </row>
    <row r="41" customFormat="false" ht="35.05" hidden="false" customHeight="false" outlineLevel="0" collapsed="false">
      <c r="A41" s="5" t="n">
        <v>41621</v>
      </c>
      <c r="B41" s="5" t="s">
        <v>58</v>
      </c>
      <c r="C41" s="5" t="s">
        <v>245</v>
      </c>
      <c r="D41" s="4" t="s">
        <v>20</v>
      </c>
      <c r="E41" s="4" t="s">
        <v>167</v>
      </c>
      <c r="F41" s="4" t="s">
        <v>246</v>
      </c>
      <c r="G41" s="4" t="s">
        <v>247</v>
      </c>
      <c r="H41" s="4"/>
      <c r="I41" s="5" t="s">
        <v>142</v>
      </c>
      <c r="J41" s="4"/>
      <c r="K41" s="5" t="s">
        <v>142</v>
      </c>
      <c r="L41" s="4"/>
      <c r="M41" s="5" t="s">
        <v>142</v>
      </c>
      <c r="N41" s="4"/>
      <c r="O41" s="5" t="s">
        <v>142</v>
      </c>
      <c r="P41" s="4"/>
      <c r="Q41" s="5" t="s">
        <v>142</v>
      </c>
      <c r="R41" s="5" t="n">
        <v>0</v>
      </c>
      <c r="S41" s="5" t="s">
        <v>142</v>
      </c>
      <c r="T41" s="4"/>
      <c r="U41" s="5" t="s">
        <v>142</v>
      </c>
      <c r="V41" s="5" t="n">
        <v>0</v>
      </c>
      <c r="W41" s="5" t="s">
        <v>142</v>
      </c>
      <c r="X41" s="5" t="n">
        <v>8</v>
      </c>
      <c r="Y41" s="4" t="s">
        <v>173</v>
      </c>
    </row>
    <row r="42" customFormat="false" ht="35.05" hidden="false" customHeight="false" outlineLevel="0" collapsed="false">
      <c r="A42" s="5" t="n">
        <v>41622</v>
      </c>
      <c r="B42" s="5" t="s">
        <v>58</v>
      </c>
      <c r="C42" s="5" t="s">
        <v>248</v>
      </c>
      <c r="D42" s="4" t="s">
        <v>20</v>
      </c>
      <c r="E42" s="4" t="s">
        <v>167</v>
      </c>
      <c r="F42" s="4" t="s">
        <v>161</v>
      </c>
      <c r="G42" s="4" t="s">
        <v>249</v>
      </c>
      <c r="H42" s="4"/>
      <c r="I42" s="5" t="s">
        <v>142</v>
      </c>
      <c r="J42" s="4"/>
      <c r="K42" s="5" t="s">
        <v>142</v>
      </c>
      <c r="L42" s="4"/>
      <c r="M42" s="5" t="s">
        <v>142</v>
      </c>
      <c r="N42" s="4"/>
      <c r="O42" s="5" t="s">
        <v>142</v>
      </c>
      <c r="P42" s="4"/>
      <c r="Q42" s="5" t="s">
        <v>142</v>
      </c>
      <c r="R42" s="5" t="n">
        <v>0</v>
      </c>
      <c r="S42" s="5" t="s">
        <v>142</v>
      </c>
      <c r="T42" s="4"/>
      <c r="U42" s="5" t="s">
        <v>142</v>
      </c>
      <c r="V42" s="5" t="n">
        <v>0</v>
      </c>
      <c r="W42" s="5" t="s">
        <v>142</v>
      </c>
      <c r="X42" s="5" t="n">
        <v>8</v>
      </c>
      <c r="Y42" s="4" t="s">
        <v>173</v>
      </c>
    </row>
    <row r="43" customFormat="false" ht="35.05" hidden="false" customHeight="false" outlineLevel="0" collapsed="false">
      <c r="A43" s="5" t="n">
        <v>41623</v>
      </c>
      <c r="B43" s="5" t="s">
        <v>58</v>
      </c>
      <c r="C43" s="5" t="s">
        <v>250</v>
      </c>
      <c r="D43" s="4" t="s">
        <v>20</v>
      </c>
      <c r="E43" s="4" t="s">
        <v>167</v>
      </c>
      <c r="F43" s="4" t="s">
        <v>246</v>
      </c>
      <c r="G43" s="4" t="s">
        <v>251</v>
      </c>
      <c r="H43" s="4"/>
      <c r="I43" s="5" t="s">
        <v>142</v>
      </c>
      <c r="J43" s="4"/>
      <c r="K43" s="5" t="s">
        <v>142</v>
      </c>
      <c r="L43" s="4"/>
      <c r="M43" s="5" t="s">
        <v>142</v>
      </c>
      <c r="N43" s="4"/>
      <c r="O43" s="5" t="s">
        <v>142</v>
      </c>
      <c r="P43" s="4"/>
      <c r="Q43" s="5" t="s">
        <v>142</v>
      </c>
      <c r="R43" s="5" t="n">
        <v>0</v>
      </c>
      <c r="S43" s="5" t="s">
        <v>142</v>
      </c>
      <c r="T43" s="4"/>
      <c r="U43" s="5" t="s">
        <v>142</v>
      </c>
      <c r="V43" s="5" t="n">
        <v>0</v>
      </c>
      <c r="W43" s="5" t="s">
        <v>142</v>
      </c>
      <c r="X43" s="5" t="n">
        <v>8</v>
      </c>
      <c r="Y43" s="4" t="s">
        <v>173</v>
      </c>
    </row>
    <row r="44" customFormat="false" ht="35.05" hidden="false" customHeight="false" outlineLevel="0" collapsed="false">
      <c r="A44" s="5" t="n">
        <v>41624</v>
      </c>
      <c r="B44" s="5" t="s">
        <v>58</v>
      </c>
      <c r="C44" s="5" t="s">
        <v>252</v>
      </c>
      <c r="D44" s="4" t="s">
        <v>20</v>
      </c>
      <c r="E44" s="4" t="s">
        <v>167</v>
      </c>
      <c r="F44" s="4" t="s">
        <v>246</v>
      </c>
      <c r="G44" s="4" t="s">
        <v>253</v>
      </c>
      <c r="H44" s="4"/>
      <c r="I44" s="5" t="s">
        <v>142</v>
      </c>
      <c r="J44" s="4"/>
      <c r="K44" s="5" t="s">
        <v>142</v>
      </c>
      <c r="L44" s="4"/>
      <c r="M44" s="5" t="s">
        <v>142</v>
      </c>
      <c r="N44" s="4"/>
      <c r="O44" s="5" t="s">
        <v>142</v>
      </c>
      <c r="P44" s="4"/>
      <c r="Q44" s="5" t="s">
        <v>142</v>
      </c>
      <c r="R44" s="5" t="n">
        <v>0</v>
      </c>
      <c r="S44" s="5" t="s">
        <v>142</v>
      </c>
      <c r="T44" s="4"/>
      <c r="U44" s="5" t="s">
        <v>142</v>
      </c>
      <c r="V44" s="5" t="n">
        <v>0</v>
      </c>
      <c r="W44" s="5" t="s">
        <v>142</v>
      </c>
      <c r="X44" s="5" t="n">
        <v>8</v>
      </c>
      <c r="Y44" s="4" t="s">
        <v>173</v>
      </c>
    </row>
    <row r="45" customFormat="false" ht="35.05" hidden="false" customHeight="false" outlineLevel="0" collapsed="false">
      <c r="A45" s="5" t="n">
        <v>41625</v>
      </c>
      <c r="B45" s="5" t="s">
        <v>58</v>
      </c>
      <c r="C45" s="5" t="s">
        <v>254</v>
      </c>
      <c r="D45" s="4" t="s">
        <v>20</v>
      </c>
      <c r="E45" s="4" t="s">
        <v>167</v>
      </c>
      <c r="F45" s="4" t="s">
        <v>246</v>
      </c>
      <c r="G45" s="4" t="s">
        <v>255</v>
      </c>
      <c r="H45" s="4"/>
      <c r="I45" s="5" t="s">
        <v>142</v>
      </c>
      <c r="J45" s="4"/>
      <c r="K45" s="5" t="s">
        <v>142</v>
      </c>
      <c r="L45" s="4"/>
      <c r="M45" s="5" t="s">
        <v>142</v>
      </c>
      <c r="N45" s="4"/>
      <c r="O45" s="5" t="s">
        <v>142</v>
      </c>
      <c r="P45" s="4"/>
      <c r="Q45" s="5" t="s">
        <v>142</v>
      </c>
      <c r="R45" s="5" t="n">
        <v>0</v>
      </c>
      <c r="S45" s="5" t="s">
        <v>142</v>
      </c>
      <c r="T45" s="4"/>
      <c r="U45" s="5" t="s">
        <v>142</v>
      </c>
      <c r="V45" s="5" t="n">
        <v>0</v>
      </c>
      <c r="W45" s="5" t="s">
        <v>142</v>
      </c>
      <c r="X45" s="5" t="n">
        <v>8</v>
      </c>
      <c r="Y45" s="4" t="s">
        <v>173</v>
      </c>
    </row>
    <row r="46" customFormat="false" ht="35.05" hidden="false" customHeight="false" outlineLevel="0" collapsed="false">
      <c r="A46" s="5" t="n">
        <v>41626</v>
      </c>
      <c r="B46" s="5" t="s">
        <v>58</v>
      </c>
      <c r="C46" s="5" t="s">
        <v>256</v>
      </c>
      <c r="D46" s="4" t="s">
        <v>20</v>
      </c>
      <c r="E46" s="4" t="s">
        <v>167</v>
      </c>
      <c r="F46" s="4" t="s">
        <v>246</v>
      </c>
      <c r="G46" s="4" t="s">
        <v>257</v>
      </c>
      <c r="H46" s="4"/>
      <c r="I46" s="5" t="s">
        <v>142</v>
      </c>
      <c r="J46" s="4"/>
      <c r="K46" s="5" t="s">
        <v>142</v>
      </c>
      <c r="L46" s="4"/>
      <c r="M46" s="5" t="s">
        <v>142</v>
      </c>
      <c r="N46" s="4"/>
      <c r="O46" s="5" t="s">
        <v>142</v>
      </c>
      <c r="P46" s="4"/>
      <c r="Q46" s="5" t="s">
        <v>142</v>
      </c>
      <c r="R46" s="5" t="n">
        <v>0</v>
      </c>
      <c r="S46" s="5" t="s">
        <v>142</v>
      </c>
      <c r="T46" s="4"/>
      <c r="U46" s="5" t="s">
        <v>142</v>
      </c>
      <c r="V46" s="5" t="n">
        <v>0</v>
      </c>
      <c r="W46" s="5" t="s">
        <v>142</v>
      </c>
      <c r="X46" s="5" t="n">
        <v>8</v>
      </c>
      <c r="Y46" s="4" t="s">
        <v>173</v>
      </c>
    </row>
    <row r="47" customFormat="false" ht="23.85" hidden="false" customHeight="false" outlineLevel="0" collapsed="false">
      <c r="A47" s="5" t="n">
        <v>41627</v>
      </c>
      <c r="B47" s="5" t="s">
        <v>58</v>
      </c>
      <c r="C47" s="5" t="s">
        <v>258</v>
      </c>
      <c r="D47" s="4" t="s">
        <v>18</v>
      </c>
      <c r="E47" s="4" t="s">
        <v>167</v>
      </c>
      <c r="F47" s="4" t="s">
        <v>138</v>
      </c>
      <c r="G47" s="4" t="s">
        <v>259</v>
      </c>
      <c r="H47" s="4" t="s">
        <v>259</v>
      </c>
      <c r="I47" s="5" t="s">
        <v>141</v>
      </c>
      <c r="J47" s="4"/>
      <c r="K47" s="5" t="s">
        <v>142</v>
      </c>
      <c r="L47" s="4" t="s">
        <v>260</v>
      </c>
      <c r="M47" s="5" t="s">
        <v>141</v>
      </c>
      <c r="N47" s="4" t="s">
        <v>261</v>
      </c>
      <c r="O47" s="5" t="s">
        <v>141</v>
      </c>
      <c r="P47" s="4" t="s">
        <v>262</v>
      </c>
      <c r="Q47" s="5" t="s">
        <v>141</v>
      </c>
      <c r="R47" s="5" t="n">
        <v>0</v>
      </c>
      <c r="S47" s="5" t="s">
        <v>142</v>
      </c>
      <c r="T47" s="4"/>
      <c r="U47" s="5" t="s">
        <v>142</v>
      </c>
      <c r="V47" s="5" t="n">
        <v>4</v>
      </c>
      <c r="W47" s="5" t="s">
        <v>141</v>
      </c>
      <c r="X47" s="5" t="n">
        <v>3</v>
      </c>
      <c r="Y47" s="4" t="s">
        <v>263</v>
      </c>
    </row>
    <row r="48" customFormat="false" ht="23.85" hidden="false" customHeight="false" outlineLevel="0" collapsed="false">
      <c r="A48" s="5" t="n">
        <v>41628</v>
      </c>
      <c r="B48" s="5" t="s">
        <v>58</v>
      </c>
      <c r="C48" s="5" t="s">
        <v>264</v>
      </c>
      <c r="D48" s="4" t="s">
        <v>18</v>
      </c>
      <c r="E48" s="4" t="s">
        <v>167</v>
      </c>
      <c r="F48" s="4" t="s">
        <v>138</v>
      </c>
      <c r="G48" s="4" t="s">
        <v>265</v>
      </c>
      <c r="H48" s="4" t="s">
        <v>266</v>
      </c>
      <c r="I48" s="5" t="s">
        <v>141</v>
      </c>
      <c r="J48" s="4"/>
      <c r="K48" s="5" t="s">
        <v>142</v>
      </c>
      <c r="L48" s="4"/>
      <c r="M48" s="5" t="s">
        <v>142</v>
      </c>
      <c r="N48" s="4"/>
      <c r="O48" s="5" t="s">
        <v>142</v>
      </c>
      <c r="P48" s="4" t="s">
        <v>267</v>
      </c>
      <c r="Q48" s="5" t="s">
        <v>141</v>
      </c>
      <c r="R48" s="5" t="n">
        <v>0</v>
      </c>
      <c r="S48" s="5" t="s">
        <v>142</v>
      </c>
      <c r="T48" s="4"/>
      <c r="U48" s="5" t="s">
        <v>142</v>
      </c>
      <c r="V48" s="5" t="n">
        <v>0</v>
      </c>
      <c r="W48" s="5" t="s">
        <v>142</v>
      </c>
      <c r="X48" s="5" t="n">
        <v>6</v>
      </c>
      <c r="Y48" s="4" t="s">
        <v>268</v>
      </c>
    </row>
    <row r="49" customFormat="false" ht="23.85" hidden="false" customHeight="false" outlineLevel="0" collapsed="false">
      <c r="A49" s="5" t="n">
        <v>41629</v>
      </c>
      <c r="B49" s="5" t="s">
        <v>58</v>
      </c>
      <c r="C49" s="5" t="s">
        <v>269</v>
      </c>
      <c r="D49" s="4" t="s">
        <v>18</v>
      </c>
      <c r="E49" s="4" t="s">
        <v>167</v>
      </c>
      <c r="F49" s="4" t="s">
        <v>138</v>
      </c>
      <c r="G49" s="4" t="s">
        <v>270</v>
      </c>
      <c r="H49" s="4" t="s">
        <v>271</v>
      </c>
      <c r="I49" s="5" t="s">
        <v>141</v>
      </c>
      <c r="J49" s="4"/>
      <c r="K49" s="5" t="s">
        <v>142</v>
      </c>
      <c r="L49" s="4"/>
      <c r="M49" s="5" t="s">
        <v>142</v>
      </c>
      <c r="N49" s="4"/>
      <c r="O49" s="5" t="s">
        <v>142</v>
      </c>
      <c r="P49" s="4" t="s">
        <v>272</v>
      </c>
      <c r="Q49" s="5" t="s">
        <v>141</v>
      </c>
      <c r="R49" s="5" t="n">
        <v>0</v>
      </c>
      <c r="S49" s="5" t="s">
        <v>142</v>
      </c>
      <c r="T49" s="4"/>
      <c r="U49" s="5" t="s">
        <v>142</v>
      </c>
      <c r="V49" s="5" t="n">
        <v>0</v>
      </c>
      <c r="W49" s="5" t="s">
        <v>142</v>
      </c>
      <c r="X49" s="5" t="n">
        <v>6</v>
      </c>
      <c r="Y49" s="4" t="s">
        <v>268</v>
      </c>
    </row>
    <row r="50" customFormat="false" ht="23.85" hidden="false" customHeight="false" outlineLevel="0" collapsed="false">
      <c r="A50" s="5" t="n">
        <v>41630</v>
      </c>
      <c r="B50" s="5" t="s">
        <v>60</v>
      </c>
      <c r="C50" s="5" t="s">
        <v>273</v>
      </c>
      <c r="D50" s="4" t="s">
        <v>22</v>
      </c>
      <c r="E50" s="4" t="s">
        <v>160</v>
      </c>
      <c r="F50" s="4" t="s">
        <v>138</v>
      </c>
      <c r="G50" s="4" t="s">
        <v>274</v>
      </c>
      <c r="H50" s="4" t="s">
        <v>275</v>
      </c>
      <c r="I50" s="5" t="s">
        <v>141</v>
      </c>
      <c r="J50" s="4"/>
      <c r="K50" s="5" t="s">
        <v>142</v>
      </c>
      <c r="L50" s="4"/>
      <c r="M50" s="5" t="s">
        <v>142</v>
      </c>
      <c r="N50" s="4" t="s">
        <v>276</v>
      </c>
      <c r="O50" s="5" t="s">
        <v>141</v>
      </c>
      <c r="P50" s="4"/>
      <c r="Q50" s="5" t="s">
        <v>142</v>
      </c>
      <c r="R50" s="5" t="n">
        <v>1</v>
      </c>
      <c r="S50" s="5" t="s">
        <v>141</v>
      </c>
      <c r="T50" s="4"/>
      <c r="U50" s="5" t="s">
        <v>142</v>
      </c>
      <c r="V50" s="5" t="n">
        <v>0</v>
      </c>
      <c r="W50" s="5" t="s">
        <v>142</v>
      </c>
      <c r="X50" s="5" t="n">
        <v>5</v>
      </c>
      <c r="Y50" s="4" t="s">
        <v>277</v>
      </c>
    </row>
    <row r="51" customFormat="false" ht="23.85" hidden="false" customHeight="false" outlineLevel="0" collapsed="false">
      <c r="A51" s="5" t="n">
        <v>41634</v>
      </c>
      <c r="B51" s="5" t="s">
        <v>60</v>
      </c>
      <c r="C51" s="5" t="s">
        <v>278</v>
      </c>
      <c r="D51" s="4" t="s">
        <v>26</v>
      </c>
      <c r="E51" s="4" t="s">
        <v>167</v>
      </c>
      <c r="F51" s="4" t="s">
        <v>138</v>
      </c>
      <c r="G51" s="4" t="s">
        <v>279</v>
      </c>
      <c r="H51" s="4" t="s">
        <v>280</v>
      </c>
      <c r="I51" s="5" t="s">
        <v>141</v>
      </c>
      <c r="J51" s="4"/>
      <c r="K51" s="5" t="s">
        <v>142</v>
      </c>
      <c r="L51" s="4"/>
      <c r="M51" s="5" t="s">
        <v>142</v>
      </c>
      <c r="N51" s="4"/>
      <c r="O51" s="5" t="s">
        <v>142</v>
      </c>
      <c r="P51" s="4" t="s">
        <v>281</v>
      </c>
      <c r="Q51" s="5" t="s">
        <v>141</v>
      </c>
      <c r="R51" s="5" t="n">
        <v>1</v>
      </c>
      <c r="S51" s="5" t="s">
        <v>141</v>
      </c>
      <c r="T51" s="4" t="s">
        <v>282</v>
      </c>
      <c r="U51" s="5" t="s">
        <v>141</v>
      </c>
      <c r="V51" s="5" t="n">
        <v>9</v>
      </c>
      <c r="W51" s="5" t="s">
        <v>141</v>
      </c>
      <c r="X51" s="5" t="n">
        <v>3</v>
      </c>
      <c r="Y51" s="4" t="s">
        <v>283</v>
      </c>
    </row>
    <row r="52" customFormat="false" ht="23.85" hidden="false" customHeight="false" outlineLevel="0" collapsed="false">
      <c r="A52" s="5" t="n">
        <v>41636</v>
      </c>
      <c r="B52" s="5" t="s">
        <v>60</v>
      </c>
      <c r="C52" s="5" t="s">
        <v>284</v>
      </c>
      <c r="D52" s="4" t="s">
        <v>26</v>
      </c>
      <c r="E52" s="4" t="s">
        <v>167</v>
      </c>
      <c r="F52" s="4" t="s">
        <v>138</v>
      </c>
      <c r="G52" s="4" t="s">
        <v>285</v>
      </c>
      <c r="H52" s="4" t="s">
        <v>286</v>
      </c>
      <c r="I52" s="5" t="s">
        <v>141</v>
      </c>
      <c r="J52" s="4" t="s">
        <v>287</v>
      </c>
      <c r="K52" s="5" t="s">
        <v>141</v>
      </c>
      <c r="L52" s="4" t="s">
        <v>288</v>
      </c>
      <c r="M52" s="5" t="s">
        <v>141</v>
      </c>
      <c r="N52" s="4"/>
      <c r="O52" s="5" t="s">
        <v>142</v>
      </c>
      <c r="P52" s="4" t="s">
        <v>289</v>
      </c>
      <c r="Q52" s="5" t="s">
        <v>141</v>
      </c>
      <c r="R52" s="5" t="n">
        <v>0</v>
      </c>
      <c r="S52" s="5" t="s">
        <v>142</v>
      </c>
      <c r="T52" s="4"/>
      <c r="U52" s="5" t="s">
        <v>142</v>
      </c>
      <c r="V52" s="5" t="n">
        <v>0</v>
      </c>
      <c r="W52" s="5" t="s">
        <v>142</v>
      </c>
      <c r="X52" s="5" t="n">
        <v>4</v>
      </c>
      <c r="Y52" s="4" t="s">
        <v>290</v>
      </c>
    </row>
    <row r="53" customFormat="false" ht="35.05" hidden="false" customHeight="false" outlineLevel="0" collapsed="false">
      <c r="A53" s="5" t="n">
        <v>41637</v>
      </c>
      <c r="B53" s="5" t="s">
        <v>60</v>
      </c>
      <c r="C53" s="5" t="s">
        <v>291</v>
      </c>
      <c r="D53" s="4" t="s">
        <v>24</v>
      </c>
      <c r="E53" s="4" t="s">
        <v>167</v>
      </c>
      <c r="F53" s="4" t="s">
        <v>138</v>
      </c>
      <c r="G53" s="4" t="s">
        <v>292</v>
      </c>
      <c r="H53" s="4"/>
      <c r="I53" s="5" t="s">
        <v>142</v>
      </c>
      <c r="J53" s="4"/>
      <c r="K53" s="5" t="s">
        <v>142</v>
      </c>
      <c r="L53" s="4"/>
      <c r="M53" s="5" t="s">
        <v>142</v>
      </c>
      <c r="N53" s="4"/>
      <c r="O53" s="5" t="s">
        <v>142</v>
      </c>
      <c r="P53" s="4"/>
      <c r="Q53" s="5" t="s">
        <v>142</v>
      </c>
      <c r="R53" s="5" t="n">
        <v>0</v>
      </c>
      <c r="S53" s="5" t="s">
        <v>142</v>
      </c>
      <c r="T53" s="4"/>
      <c r="U53" s="5" t="s">
        <v>142</v>
      </c>
      <c r="V53" s="5" t="n">
        <v>0</v>
      </c>
      <c r="W53" s="5" t="s">
        <v>142</v>
      </c>
      <c r="X53" s="5" t="n">
        <v>8</v>
      </c>
      <c r="Y53" s="4" t="s">
        <v>173</v>
      </c>
    </row>
    <row r="54" customFormat="false" ht="35.05" hidden="false" customHeight="false" outlineLevel="0" collapsed="false">
      <c r="A54" s="5" t="n">
        <v>41645</v>
      </c>
      <c r="B54" s="5" t="s">
        <v>60</v>
      </c>
      <c r="C54" s="5" t="s">
        <v>293</v>
      </c>
      <c r="D54" s="4" t="s">
        <v>30</v>
      </c>
      <c r="E54" s="4" t="s">
        <v>137</v>
      </c>
      <c r="F54" s="4" t="s">
        <v>138</v>
      </c>
      <c r="G54" s="4" t="s">
        <v>294</v>
      </c>
      <c r="H54" s="4"/>
      <c r="I54" s="5" t="s">
        <v>142</v>
      </c>
      <c r="J54" s="4"/>
      <c r="K54" s="5" t="s">
        <v>142</v>
      </c>
      <c r="L54" s="4"/>
      <c r="M54" s="5" t="s">
        <v>142</v>
      </c>
      <c r="N54" s="4"/>
      <c r="O54" s="5" t="s">
        <v>142</v>
      </c>
      <c r="P54" s="4"/>
      <c r="Q54" s="5" t="s">
        <v>142</v>
      </c>
      <c r="R54" s="5" t="n">
        <v>0</v>
      </c>
      <c r="S54" s="5" t="s">
        <v>142</v>
      </c>
      <c r="T54" s="4"/>
      <c r="U54" s="5" t="s">
        <v>142</v>
      </c>
      <c r="V54" s="5" t="n">
        <v>0</v>
      </c>
      <c r="W54" s="5" t="s">
        <v>142</v>
      </c>
      <c r="X54" s="5" t="n">
        <v>8</v>
      </c>
      <c r="Y54" s="4" t="s">
        <v>173</v>
      </c>
    </row>
    <row r="55" customFormat="false" ht="35.05" hidden="false" customHeight="false" outlineLevel="0" collapsed="false">
      <c r="A55" s="5" t="n">
        <v>41646</v>
      </c>
      <c r="B55" s="5" t="s">
        <v>60</v>
      </c>
      <c r="C55" s="5" t="s">
        <v>293</v>
      </c>
      <c r="D55" s="4" t="s">
        <v>24</v>
      </c>
      <c r="E55" s="4" t="s">
        <v>167</v>
      </c>
      <c r="F55" s="4" t="s">
        <v>138</v>
      </c>
      <c r="G55" s="4" t="s">
        <v>295</v>
      </c>
      <c r="H55" s="4"/>
      <c r="I55" s="5" t="s">
        <v>142</v>
      </c>
      <c r="J55" s="4"/>
      <c r="K55" s="5" t="s">
        <v>142</v>
      </c>
      <c r="L55" s="4"/>
      <c r="M55" s="5" t="s">
        <v>142</v>
      </c>
      <c r="N55" s="4"/>
      <c r="O55" s="5" t="s">
        <v>142</v>
      </c>
      <c r="P55" s="4"/>
      <c r="Q55" s="5" t="s">
        <v>142</v>
      </c>
      <c r="R55" s="5" t="n">
        <v>0</v>
      </c>
      <c r="S55" s="5" t="s">
        <v>142</v>
      </c>
      <c r="T55" s="4"/>
      <c r="U55" s="5" t="s">
        <v>142</v>
      </c>
      <c r="V55" s="5" t="n">
        <v>0</v>
      </c>
      <c r="W55" s="5" t="s">
        <v>142</v>
      </c>
      <c r="X55" s="5" t="n">
        <v>8</v>
      </c>
      <c r="Y55" s="4" t="s">
        <v>173</v>
      </c>
    </row>
    <row r="56" customFormat="false" ht="35.05" hidden="false" customHeight="false" outlineLevel="0" collapsed="false">
      <c r="A56" s="5" t="n">
        <v>41647</v>
      </c>
      <c r="B56" s="5" t="s">
        <v>60</v>
      </c>
      <c r="C56" s="5" t="s">
        <v>296</v>
      </c>
      <c r="D56" s="4" t="s">
        <v>30</v>
      </c>
      <c r="E56" s="4" t="s">
        <v>137</v>
      </c>
      <c r="F56" s="4" t="s">
        <v>138</v>
      </c>
      <c r="G56" s="4" t="s">
        <v>297</v>
      </c>
      <c r="H56" s="4"/>
      <c r="I56" s="5" t="s">
        <v>142</v>
      </c>
      <c r="J56" s="4"/>
      <c r="K56" s="5" t="s">
        <v>142</v>
      </c>
      <c r="L56" s="4"/>
      <c r="M56" s="5" t="s">
        <v>142</v>
      </c>
      <c r="N56" s="4"/>
      <c r="O56" s="5" t="s">
        <v>142</v>
      </c>
      <c r="P56" s="4"/>
      <c r="Q56" s="5" t="s">
        <v>142</v>
      </c>
      <c r="R56" s="5" t="n">
        <v>0</v>
      </c>
      <c r="S56" s="5" t="s">
        <v>142</v>
      </c>
      <c r="T56" s="4"/>
      <c r="U56" s="5" t="s">
        <v>142</v>
      </c>
      <c r="V56" s="5" t="n">
        <v>0</v>
      </c>
      <c r="W56" s="5" t="s">
        <v>142</v>
      </c>
      <c r="X56" s="5" t="n">
        <v>8</v>
      </c>
      <c r="Y56" s="4" t="s">
        <v>173</v>
      </c>
    </row>
    <row r="57" customFormat="false" ht="35.05" hidden="false" customHeight="false" outlineLevel="0" collapsed="false">
      <c r="A57" s="5" t="n">
        <v>41648</v>
      </c>
      <c r="B57" s="5" t="s">
        <v>60</v>
      </c>
      <c r="C57" s="5" t="s">
        <v>296</v>
      </c>
      <c r="D57" s="4" t="s">
        <v>30</v>
      </c>
      <c r="E57" s="4" t="s">
        <v>137</v>
      </c>
      <c r="F57" s="4" t="s">
        <v>138</v>
      </c>
      <c r="G57" s="4" t="s">
        <v>298</v>
      </c>
      <c r="H57" s="4"/>
      <c r="I57" s="5" t="s">
        <v>142</v>
      </c>
      <c r="J57" s="4"/>
      <c r="K57" s="5" t="s">
        <v>142</v>
      </c>
      <c r="L57" s="4"/>
      <c r="M57" s="5" t="s">
        <v>142</v>
      </c>
      <c r="N57" s="4"/>
      <c r="O57" s="5" t="s">
        <v>142</v>
      </c>
      <c r="P57" s="4"/>
      <c r="Q57" s="5" t="s">
        <v>142</v>
      </c>
      <c r="R57" s="5" t="n">
        <v>0</v>
      </c>
      <c r="S57" s="5" t="s">
        <v>142</v>
      </c>
      <c r="T57" s="4"/>
      <c r="U57" s="5" t="s">
        <v>142</v>
      </c>
      <c r="V57" s="5" t="n">
        <v>0</v>
      </c>
      <c r="W57" s="5" t="s">
        <v>142</v>
      </c>
      <c r="X57" s="5" t="n">
        <v>8</v>
      </c>
      <c r="Y57" s="4" t="s">
        <v>173</v>
      </c>
    </row>
    <row r="58" customFormat="false" ht="35.05" hidden="false" customHeight="false" outlineLevel="0" collapsed="false">
      <c r="A58" s="5" t="n">
        <v>41649</v>
      </c>
      <c r="B58" s="5" t="s">
        <v>60</v>
      </c>
      <c r="C58" s="5" t="s">
        <v>299</v>
      </c>
      <c r="D58" s="4" t="s">
        <v>30</v>
      </c>
      <c r="E58" s="4" t="s">
        <v>137</v>
      </c>
      <c r="F58" s="4" t="s">
        <v>138</v>
      </c>
      <c r="G58" s="4" t="s">
        <v>300</v>
      </c>
      <c r="H58" s="4"/>
      <c r="I58" s="5" t="s">
        <v>142</v>
      </c>
      <c r="J58" s="4"/>
      <c r="K58" s="5" t="s">
        <v>142</v>
      </c>
      <c r="L58" s="4"/>
      <c r="M58" s="5" t="s">
        <v>142</v>
      </c>
      <c r="N58" s="4"/>
      <c r="O58" s="5" t="s">
        <v>142</v>
      </c>
      <c r="P58" s="4"/>
      <c r="Q58" s="5" t="s">
        <v>142</v>
      </c>
      <c r="R58" s="5" t="n">
        <v>0</v>
      </c>
      <c r="S58" s="5" t="s">
        <v>142</v>
      </c>
      <c r="T58" s="4"/>
      <c r="U58" s="5" t="s">
        <v>142</v>
      </c>
      <c r="V58" s="5" t="n">
        <v>0</v>
      </c>
      <c r="W58" s="5" t="s">
        <v>142</v>
      </c>
      <c r="X58" s="5" t="n">
        <v>8</v>
      </c>
      <c r="Y58" s="4" t="s">
        <v>173</v>
      </c>
    </row>
    <row r="59" customFormat="false" ht="23.85" hidden="false" customHeight="false" outlineLevel="0" collapsed="false">
      <c r="A59" s="5" t="n">
        <v>41650</v>
      </c>
      <c r="B59" s="5" t="s">
        <v>60</v>
      </c>
      <c r="C59" s="5" t="s">
        <v>301</v>
      </c>
      <c r="D59" s="4" t="s">
        <v>22</v>
      </c>
      <c r="E59" s="4" t="s">
        <v>160</v>
      </c>
      <c r="F59" s="4" t="s">
        <v>246</v>
      </c>
      <c r="G59" s="4" t="s">
        <v>302</v>
      </c>
      <c r="H59" s="4" t="s">
        <v>303</v>
      </c>
      <c r="I59" s="5" t="s">
        <v>141</v>
      </c>
      <c r="J59" s="4"/>
      <c r="K59" s="5" t="s">
        <v>142</v>
      </c>
      <c r="L59" s="4"/>
      <c r="M59" s="5" t="s">
        <v>142</v>
      </c>
      <c r="N59" s="4"/>
      <c r="O59" s="5" t="s">
        <v>142</v>
      </c>
      <c r="P59" s="4"/>
      <c r="Q59" s="5" t="s">
        <v>142</v>
      </c>
      <c r="R59" s="5" t="n">
        <v>0</v>
      </c>
      <c r="S59" s="5" t="s">
        <v>142</v>
      </c>
      <c r="T59" s="4"/>
      <c r="U59" s="5" t="s">
        <v>142</v>
      </c>
      <c r="V59" s="5" t="n">
        <v>0</v>
      </c>
      <c r="W59" s="5" t="s">
        <v>142</v>
      </c>
      <c r="X59" s="5" t="n">
        <v>7</v>
      </c>
      <c r="Y59" s="4" t="s">
        <v>143</v>
      </c>
    </row>
    <row r="60" customFormat="false" ht="35.05" hidden="false" customHeight="false" outlineLevel="0" collapsed="false">
      <c r="A60" s="5" t="n">
        <v>41651</v>
      </c>
      <c r="B60" s="5" t="s">
        <v>60</v>
      </c>
      <c r="C60" s="5" t="s">
        <v>301</v>
      </c>
      <c r="D60" s="4" t="s">
        <v>30</v>
      </c>
      <c r="E60" s="4" t="s">
        <v>137</v>
      </c>
      <c r="F60" s="4" t="s">
        <v>138</v>
      </c>
      <c r="G60" s="4" t="s">
        <v>304</v>
      </c>
      <c r="H60" s="4"/>
      <c r="I60" s="5" t="s">
        <v>142</v>
      </c>
      <c r="J60" s="4"/>
      <c r="K60" s="5" t="s">
        <v>142</v>
      </c>
      <c r="L60" s="4"/>
      <c r="M60" s="5" t="s">
        <v>142</v>
      </c>
      <c r="N60" s="4"/>
      <c r="O60" s="5" t="s">
        <v>142</v>
      </c>
      <c r="P60" s="4"/>
      <c r="Q60" s="5" t="s">
        <v>142</v>
      </c>
      <c r="R60" s="5" t="n">
        <v>0</v>
      </c>
      <c r="S60" s="5" t="s">
        <v>142</v>
      </c>
      <c r="T60" s="4"/>
      <c r="U60" s="5" t="s">
        <v>142</v>
      </c>
      <c r="V60" s="5" t="n">
        <v>0</v>
      </c>
      <c r="W60" s="5" t="s">
        <v>142</v>
      </c>
      <c r="X60" s="5" t="n">
        <v>8</v>
      </c>
      <c r="Y60" s="4" t="s">
        <v>173</v>
      </c>
    </row>
    <row r="61" customFormat="false" ht="35.05" hidden="false" customHeight="false" outlineLevel="0" collapsed="false">
      <c r="A61" s="5" t="n">
        <v>41652</v>
      </c>
      <c r="B61" s="5" t="s">
        <v>60</v>
      </c>
      <c r="C61" s="5" t="s">
        <v>305</v>
      </c>
      <c r="D61" s="4" t="s">
        <v>30</v>
      </c>
      <c r="E61" s="4" t="s">
        <v>137</v>
      </c>
      <c r="F61" s="4" t="s">
        <v>138</v>
      </c>
      <c r="G61" s="4" t="s">
        <v>306</v>
      </c>
      <c r="H61" s="4"/>
      <c r="I61" s="5" t="s">
        <v>142</v>
      </c>
      <c r="J61" s="4"/>
      <c r="K61" s="5" t="s">
        <v>142</v>
      </c>
      <c r="L61" s="4"/>
      <c r="M61" s="5" t="s">
        <v>142</v>
      </c>
      <c r="N61" s="4"/>
      <c r="O61" s="5" t="s">
        <v>142</v>
      </c>
      <c r="P61" s="4"/>
      <c r="Q61" s="5" t="s">
        <v>142</v>
      </c>
      <c r="R61" s="5" t="n">
        <v>0</v>
      </c>
      <c r="S61" s="5" t="s">
        <v>142</v>
      </c>
      <c r="T61" s="4"/>
      <c r="U61" s="5" t="s">
        <v>142</v>
      </c>
      <c r="V61" s="5" t="n">
        <v>0</v>
      </c>
      <c r="W61" s="5" t="s">
        <v>142</v>
      </c>
      <c r="X61" s="5" t="n">
        <v>8</v>
      </c>
      <c r="Y61" s="4" t="s">
        <v>173</v>
      </c>
    </row>
    <row r="62" customFormat="false" ht="35.05" hidden="false" customHeight="false" outlineLevel="0" collapsed="false">
      <c r="A62" s="5" t="n">
        <v>41653</v>
      </c>
      <c r="B62" s="5" t="s">
        <v>60</v>
      </c>
      <c r="C62" s="5" t="s">
        <v>307</v>
      </c>
      <c r="D62" s="4" t="s">
        <v>30</v>
      </c>
      <c r="E62" s="4" t="s">
        <v>137</v>
      </c>
      <c r="F62" s="4" t="s">
        <v>138</v>
      </c>
      <c r="G62" s="4" t="s">
        <v>308</v>
      </c>
      <c r="H62" s="4"/>
      <c r="I62" s="5" t="s">
        <v>142</v>
      </c>
      <c r="J62" s="4"/>
      <c r="K62" s="5" t="s">
        <v>142</v>
      </c>
      <c r="L62" s="4"/>
      <c r="M62" s="5" t="s">
        <v>142</v>
      </c>
      <c r="N62" s="4"/>
      <c r="O62" s="5" t="s">
        <v>142</v>
      </c>
      <c r="P62" s="4"/>
      <c r="Q62" s="5" t="s">
        <v>142</v>
      </c>
      <c r="R62" s="5" t="n">
        <v>0</v>
      </c>
      <c r="S62" s="5" t="s">
        <v>142</v>
      </c>
      <c r="T62" s="4"/>
      <c r="U62" s="5" t="s">
        <v>142</v>
      </c>
      <c r="V62" s="5" t="n">
        <v>0</v>
      </c>
      <c r="W62" s="5" t="s">
        <v>142</v>
      </c>
      <c r="X62" s="5" t="n">
        <v>8</v>
      </c>
      <c r="Y62" s="4" t="s">
        <v>173</v>
      </c>
    </row>
    <row r="63" customFormat="false" ht="35.05" hidden="false" customHeight="false" outlineLevel="0" collapsed="false">
      <c r="A63" s="5" t="n">
        <v>41654</v>
      </c>
      <c r="B63" s="5" t="s">
        <v>60</v>
      </c>
      <c r="C63" s="5" t="s">
        <v>309</v>
      </c>
      <c r="D63" s="4" t="s">
        <v>30</v>
      </c>
      <c r="E63" s="4" t="s">
        <v>137</v>
      </c>
      <c r="F63" s="4" t="s">
        <v>138</v>
      </c>
      <c r="G63" s="4" t="s">
        <v>310</v>
      </c>
      <c r="H63" s="4"/>
      <c r="I63" s="5" t="s">
        <v>142</v>
      </c>
      <c r="J63" s="4"/>
      <c r="K63" s="5" t="s">
        <v>142</v>
      </c>
      <c r="L63" s="4"/>
      <c r="M63" s="5" t="s">
        <v>142</v>
      </c>
      <c r="N63" s="4"/>
      <c r="O63" s="5" t="s">
        <v>142</v>
      </c>
      <c r="P63" s="4"/>
      <c r="Q63" s="5" t="s">
        <v>142</v>
      </c>
      <c r="R63" s="5" t="n">
        <v>0</v>
      </c>
      <c r="S63" s="5" t="s">
        <v>142</v>
      </c>
      <c r="T63" s="4"/>
      <c r="U63" s="5" t="s">
        <v>142</v>
      </c>
      <c r="V63" s="5" t="n">
        <v>0</v>
      </c>
      <c r="W63" s="5" t="s">
        <v>142</v>
      </c>
      <c r="X63" s="5" t="n">
        <v>8</v>
      </c>
      <c r="Y63" s="4" t="s">
        <v>173</v>
      </c>
    </row>
    <row r="64" customFormat="false" ht="35.05" hidden="false" customHeight="false" outlineLevel="0" collapsed="false">
      <c r="A64" s="5" t="n">
        <v>41655</v>
      </c>
      <c r="B64" s="5" t="s">
        <v>60</v>
      </c>
      <c r="C64" s="5" t="s">
        <v>311</v>
      </c>
      <c r="D64" s="4" t="s">
        <v>20</v>
      </c>
      <c r="E64" s="4" t="s">
        <v>167</v>
      </c>
      <c r="F64" s="4" t="s">
        <v>138</v>
      </c>
      <c r="G64" s="4" t="s">
        <v>312</v>
      </c>
      <c r="H64" s="4"/>
      <c r="I64" s="5" t="s">
        <v>142</v>
      </c>
      <c r="J64" s="4"/>
      <c r="K64" s="5" t="s">
        <v>142</v>
      </c>
      <c r="L64" s="4"/>
      <c r="M64" s="5" t="s">
        <v>142</v>
      </c>
      <c r="N64" s="4"/>
      <c r="O64" s="5" t="s">
        <v>142</v>
      </c>
      <c r="P64" s="4"/>
      <c r="Q64" s="5" t="s">
        <v>142</v>
      </c>
      <c r="R64" s="5" t="n">
        <v>0</v>
      </c>
      <c r="S64" s="5" t="s">
        <v>142</v>
      </c>
      <c r="T64" s="4"/>
      <c r="U64" s="5" t="s">
        <v>142</v>
      </c>
      <c r="V64" s="5" t="n">
        <v>0</v>
      </c>
      <c r="W64" s="5" t="s">
        <v>142</v>
      </c>
      <c r="X64" s="5" t="n">
        <v>8</v>
      </c>
      <c r="Y64" s="4" t="s">
        <v>173</v>
      </c>
    </row>
    <row r="65" customFormat="false" ht="35.05" hidden="false" customHeight="false" outlineLevel="0" collapsed="false">
      <c r="A65" s="5" t="n">
        <v>41656</v>
      </c>
      <c r="B65" s="5" t="s">
        <v>60</v>
      </c>
      <c r="C65" s="5" t="s">
        <v>313</v>
      </c>
      <c r="D65" s="4" t="s">
        <v>20</v>
      </c>
      <c r="E65" s="4" t="s">
        <v>167</v>
      </c>
      <c r="F65" s="4" t="s">
        <v>246</v>
      </c>
      <c r="G65" s="4" t="s">
        <v>314</v>
      </c>
      <c r="H65" s="4"/>
      <c r="I65" s="5" t="s">
        <v>142</v>
      </c>
      <c r="J65" s="4"/>
      <c r="K65" s="5" t="s">
        <v>142</v>
      </c>
      <c r="L65" s="4"/>
      <c r="M65" s="5" t="s">
        <v>142</v>
      </c>
      <c r="N65" s="4"/>
      <c r="O65" s="5" t="s">
        <v>142</v>
      </c>
      <c r="P65" s="4"/>
      <c r="Q65" s="5" t="s">
        <v>142</v>
      </c>
      <c r="R65" s="5" t="n">
        <v>0</v>
      </c>
      <c r="S65" s="5" t="s">
        <v>142</v>
      </c>
      <c r="T65" s="4"/>
      <c r="U65" s="5" t="s">
        <v>142</v>
      </c>
      <c r="V65" s="5" t="n">
        <v>0</v>
      </c>
      <c r="W65" s="5" t="s">
        <v>142</v>
      </c>
      <c r="X65" s="5" t="n">
        <v>8</v>
      </c>
      <c r="Y65" s="4" t="s">
        <v>173</v>
      </c>
    </row>
    <row r="66" customFormat="false" ht="35.05" hidden="false" customHeight="false" outlineLevel="0" collapsed="false">
      <c r="A66" s="5" t="n">
        <v>41657</v>
      </c>
      <c r="B66" s="5" t="s">
        <v>60</v>
      </c>
      <c r="C66" s="5" t="s">
        <v>315</v>
      </c>
      <c r="D66" s="4" t="s">
        <v>20</v>
      </c>
      <c r="E66" s="4" t="s">
        <v>167</v>
      </c>
      <c r="F66" s="4" t="s">
        <v>161</v>
      </c>
      <c r="G66" s="4" t="s">
        <v>316</v>
      </c>
      <c r="H66" s="4"/>
      <c r="I66" s="5" t="s">
        <v>142</v>
      </c>
      <c r="J66" s="4"/>
      <c r="K66" s="5" t="s">
        <v>142</v>
      </c>
      <c r="L66" s="4"/>
      <c r="M66" s="5" t="s">
        <v>142</v>
      </c>
      <c r="N66" s="4"/>
      <c r="O66" s="5" t="s">
        <v>142</v>
      </c>
      <c r="P66" s="4"/>
      <c r="Q66" s="5" t="s">
        <v>142</v>
      </c>
      <c r="R66" s="5" t="n">
        <v>0</v>
      </c>
      <c r="S66" s="5" t="s">
        <v>142</v>
      </c>
      <c r="T66" s="4"/>
      <c r="U66" s="5" t="s">
        <v>142</v>
      </c>
      <c r="V66" s="5" t="n">
        <v>0</v>
      </c>
      <c r="W66" s="5" t="s">
        <v>142</v>
      </c>
      <c r="X66" s="5" t="n">
        <v>8</v>
      </c>
      <c r="Y66" s="4" t="s">
        <v>173</v>
      </c>
    </row>
    <row r="67" customFormat="false" ht="35.05" hidden="false" customHeight="false" outlineLevel="0" collapsed="false">
      <c r="A67" s="5" t="n">
        <v>41658</v>
      </c>
      <c r="B67" s="5" t="s">
        <v>60</v>
      </c>
      <c r="C67" s="5" t="s">
        <v>317</v>
      </c>
      <c r="D67" s="4" t="s">
        <v>20</v>
      </c>
      <c r="E67" s="4" t="s">
        <v>167</v>
      </c>
      <c r="F67" s="4" t="s">
        <v>246</v>
      </c>
      <c r="G67" s="4" t="s">
        <v>318</v>
      </c>
      <c r="H67" s="4"/>
      <c r="I67" s="5" t="s">
        <v>142</v>
      </c>
      <c r="J67" s="4"/>
      <c r="K67" s="5" t="s">
        <v>142</v>
      </c>
      <c r="L67" s="4"/>
      <c r="M67" s="5" t="s">
        <v>142</v>
      </c>
      <c r="N67" s="4"/>
      <c r="O67" s="5" t="s">
        <v>142</v>
      </c>
      <c r="P67" s="4"/>
      <c r="Q67" s="5" t="s">
        <v>142</v>
      </c>
      <c r="R67" s="5" t="n">
        <v>0</v>
      </c>
      <c r="S67" s="5" t="s">
        <v>142</v>
      </c>
      <c r="T67" s="4"/>
      <c r="U67" s="5" t="s">
        <v>142</v>
      </c>
      <c r="V67" s="5" t="n">
        <v>0</v>
      </c>
      <c r="W67" s="5" t="s">
        <v>142</v>
      </c>
      <c r="X67" s="5" t="n">
        <v>8</v>
      </c>
      <c r="Y67" s="4" t="s">
        <v>173</v>
      </c>
    </row>
    <row r="68" customFormat="false" ht="35.05" hidden="false" customHeight="false" outlineLevel="0" collapsed="false">
      <c r="A68" s="5" t="n">
        <v>41659</v>
      </c>
      <c r="B68" s="5" t="s">
        <v>60</v>
      </c>
      <c r="C68" s="5" t="s">
        <v>319</v>
      </c>
      <c r="D68" s="4" t="s">
        <v>20</v>
      </c>
      <c r="E68" s="4" t="s">
        <v>167</v>
      </c>
      <c r="F68" s="4" t="s">
        <v>246</v>
      </c>
      <c r="G68" s="4" t="s">
        <v>320</v>
      </c>
      <c r="H68" s="4"/>
      <c r="I68" s="5" t="s">
        <v>142</v>
      </c>
      <c r="J68" s="4"/>
      <c r="K68" s="5" t="s">
        <v>142</v>
      </c>
      <c r="L68" s="4"/>
      <c r="M68" s="5" t="s">
        <v>142</v>
      </c>
      <c r="N68" s="4"/>
      <c r="O68" s="5" t="s">
        <v>142</v>
      </c>
      <c r="P68" s="4"/>
      <c r="Q68" s="5" t="s">
        <v>142</v>
      </c>
      <c r="R68" s="5" t="n">
        <v>0</v>
      </c>
      <c r="S68" s="5" t="s">
        <v>142</v>
      </c>
      <c r="T68" s="4"/>
      <c r="U68" s="5" t="s">
        <v>142</v>
      </c>
      <c r="V68" s="5" t="n">
        <v>0</v>
      </c>
      <c r="W68" s="5" t="s">
        <v>142</v>
      </c>
      <c r="X68" s="5" t="n">
        <v>8</v>
      </c>
      <c r="Y68" s="4" t="s">
        <v>173</v>
      </c>
    </row>
    <row r="69" customFormat="false" ht="35.05" hidden="false" customHeight="false" outlineLevel="0" collapsed="false">
      <c r="A69" s="5" t="n">
        <v>41660</v>
      </c>
      <c r="B69" s="5" t="s">
        <v>60</v>
      </c>
      <c r="C69" s="5" t="s">
        <v>321</v>
      </c>
      <c r="D69" s="4" t="s">
        <v>20</v>
      </c>
      <c r="E69" s="4" t="s">
        <v>167</v>
      </c>
      <c r="F69" s="4" t="s">
        <v>246</v>
      </c>
      <c r="G69" s="4" t="s">
        <v>322</v>
      </c>
      <c r="H69" s="4"/>
      <c r="I69" s="5" t="s">
        <v>142</v>
      </c>
      <c r="J69" s="4"/>
      <c r="K69" s="5" t="s">
        <v>142</v>
      </c>
      <c r="L69" s="4"/>
      <c r="M69" s="5" t="s">
        <v>142</v>
      </c>
      <c r="N69" s="4"/>
      <c r="O69" s="5" t="s">
        <v>142</v>
      </c>
      <c r="P69" s="4"/>
      <c r="Q69" s="5" t="s">
        <v>142</v>
      </c>
      <c r="R69" s="5" t="n">
        <v>0</v>
      </c>
      <c r="S69" s="5" t="s">
        <v>142</v>
      </c>
      <c r="T69" s="4"/>
      <c r="U69" s="5" t="s">
        <v>142</v>
      </c>
      <c r="V69" s="5" t="n">
        <v>0</v>
      </c>
      <c r="W69" s="5" t="s">
        <v>142</v>
      </c>
      <c r="X69" s="5" t="n">
        <v>8</v>
      </c>
      <c r="Y69" s="4" t="s">
        <v>173</v>
      </c>
    </row>
    <row r="70" customFormat="false" ht="23.85" hidden="false" customHeight="false" outlineLevel="0" collapsed="false">
      <c r="A70" s="5" t="n">
        <v>41661</v>
      </c>
      <c r="B70" s="5" t="s">
        <v>60</v>
      </c>
      <c r="C70" s="5" t="s">
        <v>323</v>
      </c>
      <c r="D70" s="4" t="s">
        <v>18</v>
      </c>
      <c r="E70" s="4" t="s">
        <v>167</v>
      </c>
      <c r="F70" s="4" t="s">
        <v>138</v>
      </c>
      <c r="G70" s="4" t="s">
        <v>324</v>
      </c>
      <c r="H70" s="4" t="s">
        <v>325</v>
      </c>
      <c r="I70" s="5" t="s">
        <v>141</v>
      </c>
      <c r="J70" s="4" t="s">
        <v>326</v>
      </c>
      <c r="K70" s="5" t="s">
        <v>141</v>
      </c>
      <c r="L70" s="4" t="s">
        <v>327</v>
      </c>
      <c r="M70" s="5" t="s">
        <v>141</v>
      </c>
      <c r="N70" s="4" t="s">
        <v>328</v>
      </c>
      <c r="O70" s="5" t="s">
        <v>141</v>
      </c>
      <c r="P70" s="4" t="s">
        <v>329</v>
      </c>
      <c r="Q70" s="5" t="s">
        <v>141</v>
      </c>
      <c r="R70" s="5" t="n">
        <v>0</v>
      </c>
      <c r="S70" s="5" t="s">
        <v>142</v>
      </c>
      <c r="T70" s="4"/>
      <c r="U70" s="5" t="s">
        <v>142</v>
      </c>
      <c r="V70" s="5" t="n">
        <v>0</v>
      </c>
      <c r="W70" s="5" t="s">
        <v>142</v>
      </c>
      <c r="X70" s="5" t="n">
        <v>3</v>
      </c>
      <c r="Y70" s="4" t="s">
        <v>330</v>
      </c>
    </row>
    <row r="71" customFormat="false" ht="23.85" hidden="false" customHeight="false" outlineLevel="0" collapsed="false">
      <c r="A71" s="5" t="n">
        <v>41662</v>
      </c>
      <c r="B71" s="5" t="s">
        <v>60</v>
      </c>
      <c r="C71" s="5" t="s">
        <v>331</v>
      </c>
      <c r="D71" s="4" t="s">
        <v>18</v>
      </c>
      <c r="E71" s="4" t="s">
        <v>167</v>
      </c>
      <c r="F71" s="4" t="s">
        <v>138</v>
      </c>
      <c r="G71" s="4" t="s">
        <v>332</v>
      </c>
      <c r="H71" s="4" t="s">
        <v>332</v>
      </c>
      <c r="I71" s="5" t="s">
        <v>141</v>
      </c>
      <c r="J71" s="4"/>
      <c r="K71" s="5" t="s">
        <v>142</v>
      </c>
      <c r="L71" s="4"/>
      <c r="M71" s="5" t="s">
        <v>142</v>
      </c>
      <c r="N71" s="4" t="s">
        <v>333</v>
      </c>
      <c r="O71" s="5" t="s">
        <v>141</v>
      </c>
      <c r="P71" s="4" t="s">
        <v>334</v>
      </c>
      <c r="Q71" s="5" t="s">
        <v>141</v>
      </c>
      <c r="R71" s="5" t="n">
        <v>0</v>
      </c>
      <c r="S71" s="5" t="s">
        <v>142</v>
      </c>
      <c r="T71" s="4"/>
      <c r="U71" s="5" t="s">
        <v>142</v>
      </c>
      <c r="V71" s="5" t="n">
        <v>0</v>
      </c>
      <c r="W71" s="5" t="s">
        <v>142</v>
      </c>
      <c r="X71" s="5" t="n">
        <v>5</v>
      </c>
      <c r="Y71" s="4" t="s">
        <v>335</v>
      </c>
    </row>
    <row r="72" customFormat="false" ht="23.85" hidden="false" customHeight="false" outlineLevel="0" collapsed="false">
      <c r="A72" s="5" t="n">
        <v>41663</v>
      </c>
      <c r="B72" s="5" t="s">
        <v>60</v>
      </c>
      <c r="C72" s="5" t="s">
        <v>207</v>
      </c>
      <c r="D72" s="4" t="s">
        <v>18</v>
      </c>
      <c r="E72" s="4" t="s">
        <v>167</v>
      </c>
      <c r="F72" s="4" t="s">
        <v>138</v>
      </c>
      <c r="G72" s="4" t="s">
        <v>336</v>
      </c>
      <c r="H72" s="4" t="s">
        <v>336</v>
      </c>
      <c r="I72" s="5" t="s">
        <v>141</v>
      </c>
      <c r="J72" s="4"/>
      <c r="K72" s="5" t="s">
        <v>142</v>
      </c>
      <c r="L72" s="4"/>
      <c r="M72" s="5" t="s">
        <v>142</v>
      </c>
      <c r="N72" s="4"/>
      <c r="O72" s="5" t="s">
        <v>142</v>
      </c>
      <c r="P72" s="4" t="s">
        <v>272</v>
      </c>
      <c r="Q72" s="5" t="s">
        <v>141</v>
      </c>
      <c r="R72" s="5" t="n">
        <v>0</v>
      </c>
      <c r="S72" s="5" t="s">
        <v>142</v>
      </c>
      <c r="T72" s="4"/>
      <c r="U72" s="5" t="s">
        <v>142</v>
      </c>
      <c r="V72" s="5" t="n">
        <v>0</v>
      </c>
      <c r="W72" s="5" t="s">
        <v>142</v>
      </c>
      <c r="X72" s="5" t="n">
        <v>6</v>
      </c>
      <c r="Y72" s="4" t="s">
        <v>268</v>
      </c>
    </row>
    <row r="73" customFormat="false" ht="23.85" hidden="false" customHeight="false" outlineLevel="0" collapsed="false">
      <c r="A73" s="5" t="n">
        <v>41664</v>
      </c>
      <c r="B73" s="5" t="s">
        <v>60</v>
      </c>
      <c r="C73" s="5" t="s">
        <v>337</v>
      </c>
      <c r="D73" s="4" t="s">
        <v>18</v>
      </c>
      <c r="E73" s="4" t="s">
        <v>167</v>
      </c>
      <c r="F73" s="4" t="s">
        <v>138</v>
      </c>
      <c r="G73" s="4" t="s">
        <v>338</v>
      </c>
      <c r="H73" s="4" t="s">
        <v>338</v>
      </c>
      <c r="I73" s="5" t="s">
        <v>141</v>
      </c>
      <c r="J73" s="4"/>
      <c r="K73" s="5" t="s">
        <v>142</v>
      </c>
      <c r="L73" s="4"/>
      <c r="M73" s="5" t="s">
        <v>142</v>
      </c>
      <c r="N73" s="4"/>
      <c r="O73" s="5" t="s">
        <v>142</v>
      </c>
      <c r="P73" s="4" t="s">
        <v>272</v>
      </c>
      <c r="Q73" s="5" t="s">
        <v>141</v>
      </c>
      <c r="R73" s="5" t="n">
        <v>0</v>
      </c>
      <c r="S73" s="5" t="s">
        <v>142</v>
      </c>
      <c r="T73" s="4"/>
      <c r="U73" s="5" t="s">
        <v>142</v>
      </c>
      <c r="V73" s="5" t="n">
        <v>0</v>
      </c>
      <c r="W73" s="5" t="s">
        <v>142</v>
      </c>
      <c r="X73" s="5" t="n">
        <v>6</v>
      </c>
      <c r="Y73" s="4" t="s">
        <v>268</v>
      </c>
    </row>
    <row r="74" customFormat="false" ht="23.85" hidden="false" customHeight="false" outlineLevel="0" collapsed="false">
      <c r="A74" s="5" t="n">
        <v>41667</v>
      </c>
      <c r="B74" s="5" t="s">
        <v>62</v>
      </c>
      <c r="C74" s="5" t="s">
        <v>144</v>
      </c>
      <c r="D74" s="4" t="s">
        <v>32</v>
      </c>
      <c r="E74" s="4" t="s">
        <v>137</v>
      </c>
      <c r="F74" s="4" t="s">
        <v>138</v>
      </c>
      <c r="G74" s="4" t="s">
        <v>339</v>
      </c>
      <c r="H74" s="4" t="s">
        <v>340</v>
      </c>
      <c r="I74" s="5" t="s">
        <v>141</v>
      </c>
      <c r="J74" s="4"/>
      <c r="K74" s="5" t="s">
        <v>142</v>
      </c>
      <c r="L74" s="4"/>
      <c r="M74" s="5" t="s">
        <v>142</v>
      </c>
      <c r="N74" s="4"/>
      <c r="O74" s="5" t="s">
        <v>142</v>
      </c>
      <c r="P74" s="4"/>
      <c r="Q74" s="5" t="s">
        <v>142</v>
      </c>
      <c r="R74" s="5" t="n">
        <v>0</v>
      </c>
      <c r="S74" s="5" t="s">
        <v>142</v>
      </c>
      <c r="T74" s="4"/>
      <c r="U74" s="5" t="s">
        <v>142</v>
      </c>
      <c r="V74" s="5" t="n">
        <v>0</v>
      </c>
      <c r="W74" s="5" t="s">
        <v>142</v>
      </c>
      <c r="X74" s="5" t="n">
        <v>7</v>
      </c>
      <c r="Y74" s="4" t="s">
        <v>143</v>
      </c>
    </row>
    <row r="75" customFormat="false" ht="23.85" hidden="false" customHeight="false" outlineLevel="0" collapsed="false">
      <c r="A75" s="5" t="n">
        <v>41668</v>
      </c>
      <c r="B75" s="5" t="s">
        <v>62</v>
      </c>
      <c r="C75" s="5" t="s">
        <v>341</v>
      </c>
      <c r="D75" s="4" t="s">
        <v>32</v>
      </c>
      <c r="E75" s="4" t="s">
        <v>137</v>
      </c>
      <c r="F75" s="4" t="s">
        <v>138</v>
      </c>
      <c r="G75" s="4" t="s">
        <v>342</v>
      </c>
      <c r="H75" s="4" t="s">
        <v>343</v>
      </c>
      <c r="I75" s="5" t="s">
        <v>141</v>
      </c>
      <c r="J75" s="4"/>
      <c r="K75" s="5" t="s">
        <v>142</v>
      </c>
      <c r="L75" s="4"/>
      <c r="M75" s="5" t="s">
        <v>142</v>
      </c>
      <c r="N75" s="4"/>
      <c r="O75" s="5" t="s">
        <v>142</v>
      </c>
      <c r="P75" s="4"/>
      <c r="Q75" s="5" t="s">
        <v>142</v>
      </c>
      <c r="R75" s="5" t="n">
        <v>0</v>
      </c>
      <c r="S75" s="5" t="s">
        <v>142</v>
      </c>
      <c r="T75" s="4"/>
      <c r="U75" s="5" t="s">
        <v>142</v>
      </c>
      <c r="V75" s="5" t="n">
        <v>0</v>
      </c>
      <c r="W75" s="5" t="s">
        <v>142</v>
      </c>
      <c r="X75" s="5" t="n">
        <v>7</v>
      </c>
      <c r="Y75" s="4" t="s">
        <v>143</v>
      </c>
    </row>
    <row r="76" customFormat="false" ht="35.05" hidden="false" customHeight="false" outlineLevel="0" collapsed="false">
      <c r="A76" s="5" t="n">
        <v>41677</v>
      </c>
      <c r="B76" s="5" t="s">
        <v>62</v>
      </c>
      <c r="C76" s="5" t="s">
        <v>212</v>
      </c>
      <c r="D76" s="4" t="s">
        <v>20</v>
      </c>
      <c r="E76" s="4" t="s">
        <v>167</v>
      </c>
      <c r="F76" s="4" t="s">
        <v>138</v>
      </c>
      <c r="G76" s="4" t="s">
        <v>344</v>
      </c>
      <c r="H76" s="4"/>
      <c r="I76" s="5" t="s">
        <v>142</v>
      </c>
      <c r="J76" s="4"/>
      <c r="K76" s="5" t="s">
        <v>142</v>
      </c>
      <c r="L76" s="4"/>
      <c r="M76" s="5" t="s">
        <v>142</v>
      </c>
      <c r="N76" s="4"/>
      <c r="O76" s="5" t="s">
        <v>142</v>
      </c>
      <c r="P76" s="4"/>
      <c r="Q76" s="5" t="s">
        <v>142</v>
      </c>
      <c r="R76" s="5" t="n">
        <v>0</v>
      </c>
      <c r="S76" s="5" t="s">
        <v>142</v>
      </c>
      <c r="T76" s="4"/>
      <c r="U76" s="5" t="s">
        <v>142</v>
      </c>
      <c r="V76" s="5" t="n">
        <v>0</v>
      </c>
      <c r="W76" s="5" t="s">
        <v>142</v>
      </c>
      <c r="X76" s="5" t="n">
        <v>8</v>
      </c>
      <c r="Y76" s="4" t="s">
        <v>173</v>
      </c>
    </row>
    <row r="77" customFormat="false" ht="23.85" hidden="false" customHeight="false" outlineLevel="0" collapsed="false">
      <c r="A77" s="5" t="n">
        <v>41680</v>
      </c>
      <c r="B77" s="5" t="s">
        <v>62</v>
      </c>
      <c r="C77" s="5" t="s">
        <v>345</v>
      </c>
      <c r="D77" s="4" t="s">
        <v>18</v>
      </c>
      <c r="E77" s="4" t="s">
        <v>167</v>
      </c>
      <c r="F77" s="4" t="s">
        <v>138</v>
      </c>
      <c r="G77" s="4" t="s">
        <v>346</v>
      </c>
      <c r="H77" s="4" t="s">
        <v>347</v>
      </c>
      <c r="I77" s="5" t="s">
        <v>141</v>
      </c>
      <c r="J77" s="4"/>
      <c r="K77" s="5" t="s">
        <v>142</v>
      </c>
      <c r="L77" s="4"/>
      <c r="M77" s="5" t="s">
        <v>142</v>
      </c>
      <c r="N77" s="4" t="s">
        <v>348</v>
      </c>
      <c r="O77" s="5" t="s">
        <v>141</v>
      </c>
      <c r="P77" s="4" t="s">
        <v>349</v>
      </c>
      <c r="Q77" s="5" t="s">
        <v>141</v>
      </c>
      <c r="R77" s="5" t="n">
        <v>0</v>
      </c>
      <c r="S77" s="5" t="s">
        <v>142</v>
      </c>
      <c r="T77" s="4"/>
      <c r="U77" s="5" t="s">
        <v>142</v>
      </c>
      <c r="V77" s="5" t="n">
        <v>0</v>
      </c>
      <c r="W77" s="5" t="s">
        <v>142</v>
      </c>
      <c r="X77" s="5" t="n">
        <v>5</v>
      </c>
      <c r="Y77" s="4" t="s">
        <v>335</v>
      </c>
    </row>
    <row r="78" customFormat="false" ht="23.85" hidden="false" customHeight="false" outlineLevel="0" collapsed="false">
      <c r="A78" s="5" t="n">
        <v>41681</v>
      </c>
      <c r="B78" s="5" t="s">
        <v>62</v>
      </c>
      <c r="C78" s="5" t="s">
        <v>350</v>
      </c>
      <c r="D78" s="4" t="s">
        <v>18</v>
      </c>
      <c r="E78" s="4" t="s">
        <v>167</v>
      </c>
      <c r="F78" s="4" t="s">
        <v>138</v>
      </c>
      <c r="G78" s="4" t="s">
        <v>351</v>
      </c>
      <c r="H78" s="4" t="s">
        <v>351</v>
      </c>
      <c r="I78" s="5" t="s">
        <v>141</v>
      </c>
      <c r="J78" s="4"/>
      <c r="K78" s="5" t="s">
        <v>142</v>
      </c>
      <c r="L78" s="4" t="s">
        <v>352</v>
      </c>
      <c r="M78" s="5" t="s">
        <v>141</v>
      </c>
      <c r="N78" s="4"/>
      <c r="O78" s="5" t="s">
        <v>142</v>
      </c>
      <c r="P78" s="4" t="s">
        <v>353</v>
      </c>
      <c r="Q78" s="5" t="s">
        <v>141</v>
      </c>
      <c r="R78" s="5" t="n">
        <v>0</v>
      </c>
      <c r="S78" s="5" t="s">
        <v>142</v>
      </c>
      <c r="T78" s="4"/>
      <c r="U78" s="5" t="s">
        <v>142</v>
      </c>
      <c r="V78" s="5" t="n">
        <v>0</v>
      </c>
      <c r="W78" s="5" t="s">
        <v>142</v>
      </c>
      <c r="X78" s="5" t="n">
        <v>5</v>
      </c>
      <c r="Y78" s="4" t="s">
        <v>354</v>
      </c>
    </row>
    <row r="79" customFormat="false" ht="23.85" hidden="false" customHeight="false" outlineLevel="0" collapsed="false">
      <c r="A79" s="5" t="n">
        <v>41682</v>
      </c>
      <c r="B79" s="5" t="s">
        <v>62</v>
      </c>
      <c r="C79" s="5" t="s">
        <v>355</v>
      </c>
      <c r="D79" s="4" t="s">
        <v>22</v>
      </c>
      <c r="E79" s="4" t="s">
        <v>160</v>
      </c>
      <c r="F79" s="4" t="s">
        <v>161</v>
      </c>
      <c r="G79" s="4" t="s">
        <v>356</v>
      </c>
      <c r="H79" s="4" t="s">
        <v>357</v>
      </c>
      <c r="I79" s="5" t="s">
        <v>141</v>
      </c>
      <c r="J79" s="4"/>
      <c r="K79" s="5" t="s">
        <v>142</v>
      </c>
      <c r="L79" s="4"/>
      <c r="M79" s="5" t="s">
        <v>142</v>
      </c>
      <c r="N79" s="4" t="s">
        <v>358</v>
      </c>
      <c r="O79" s="5" t="s">
        <v>141</v>
      </c>
      <c r="P79" s="4"/>
      <c r="Q79" s="5" t="s">
        <v>142</v>
      </c>
      <c r="R79" s="5" t="n">
        <v>0</v>
      </c>
      <c r="S79" s="5" t="s">
        <v>142</v>
      </c>
      <c r="T79" s="4"/>
      <c r="U79" s="5" t="s">
        <v>142</v>
      </c>
      <c r="V79" s="5" t="n">
        <v>0</v>
      </c>
      <c r="W79" s="5" t="s">
        <v>142</v>
      </c>
      <c r="X79" s="5" t="n">
        <v>6</v>
      </c>
      <c r="Y79" s="4" t="s">
        <v>165</v>
      </c>
    </row>
    <row r="80" customFormat="false" ht="23.85" hidden="false" customHeight="false" outlineLevel="0" collapsed="false">
      <c r="A80" s="5" t="n">
        <v>41683</v>
      </c>
      <c r="B80" s="5" t="s">
        <v>62</v>
      </c>
      <c r="C80" s="5" t="s">
        <v>359</v>
      </c>
      <c r="D80" s="4" t="s">
        <v>22</v>
      </c>
      <c r="E80" s="4" t="s">
        <v>160</v>
      </c>
      <c r="F80" s="4" t="s">
        <v>161</v>
      </c>
      <c r="G80" s="4" t="s">
        <v>360</v>
      </c>
      <c r="H80" s="4" t="s">
        <v>361</v>
      </c>
      <c r="I80" s="5" t="s">
        <v>141</v>
      </c>
      <c r="J80" s="4"/>
      <c r="K80" s="5" t="s">
        <v>142</v>
      </c>
      <c r="L80" s="4"/>
      <c r="M80" s="5" t="s">
        <v>142</v>
      </c>
      <c r="N80" s="4" t="s">
        <v>362</v>
      </c>
      <c r="O80" s="5" t="s">
        <v>141</v>
      </c>
      <c r="P80" s="4"/>
      <c r="Q80" s="5" t="s">
        <v>142</v>
      </c>
      <c r="R80" s="5" t="n">
        <v>0</v>
      </c>
      <c r="S80" s="5" t="s">
        <v>142</v>
      </c>
      <c r="T80" s="4"/>
      <c r="U80" s="5" t="s">
        <v>142</v>
      </c>
      <c r="V80" s="5" t="n">
        <v>63</v>
      </c>
      <c r="W80" s="5" t="s">
        <v>141</v>
      </c>
      <c r="X80" s="5" t="n">
        <v>5</v>
      </c>
      <c r="Y80" s="4" t="s">
        <v>363</v>
      </c>
    </row>
    <row r="81" customFormat="false" ht="23.85" hidden="false" customHeight="false" outlineLevel="0" collapsed="false">
      <c r="A81" s="5" t="n">
        <v>41684</v>
      </c>
      <c r="B81" s="5" t="s">
        <v>62</v>
      </c>
      <c r="C81" s="5" t="s">
        <v>364</v>
      </c>
      <c r="D81" s="4" t="s">
        <v>26</v>
      </c>
      <c r="E81" s="4" t="s">
        <v>167</v>
      </c>
      <c r="F81" s="4" t="s">
        <v>365</v>
      </c>
      <c r="G81" s="4" t="s">
        <v>366</v>
      </c>
      <c r="H81" s="4" t="s">
        <v>367</v>
      </c>
      <c r="I81" s="5" t="s">
        <v>141</v>
      </c>
      <c r="J81" s="4" t="s">
        <v>368</v>
      </c>
      <c r="K81" s="5" t="s">
        <v>141</v>
      </c>
      <c r="L81" s="4" t="s">
        <v>369</v>
      </c>
      <c r="M81" s="5" t="s">
        <v>141</v>
      </c>
      <c r="N81" s="4"/>
      <c r="O81" s="5" t="s">
        <v>142</v>
      </c>
      <c r="P81" s="4" t="s">
        <v>370</v>
      </c>
      <c r="Q81" s="5" t="s">
        <v>141</v>
      </c>
      <c r="R81" s="5" t="n">
        <v>3</v>
      </c>
      <c r="S81" s="5" t="s">
        <v>141</v>
      </c>
      <c r="T81" s="4"/>
      <c r="U81" s="5" t="s">
        <v>142</v>
      </c>
      <c r="V81" s="5" t="n">
        <v>59</v>
      </c>
      <c r="W81" s="5" t="s">
        <v>141</v>
      </c>
      <c r="X81" s="5" t="n">
        <v>2</v>
      </c>
      <c r="Y81" s="4" t="s">
        <v>371</v>
      </c>
    </row>
    <row r="82" customFormat="false" ht="23.85" hidden="false" customHeight="false" outlineLevel="0" collapsed="false">
      <c r="A82" s="5" t="n">
        <v>41686</v>
      </c>
      <c r="B82" s="5" t="s">
        <v>62</v>
      </c>
      <c r="C82" s="5" t="s">
        <v>372</v>
      </c>
      <c r="D82" s="4" t="s">
        <v>30</v>
      </c>
      <c r="E82" s="4" t="s">
        <v>137</v>
      </c>
      <c r="F82" s="4" t="s">
        <v>138</v>
      </c>
      <c r="G82" s="4" t="s">
        <v>373</v>
      </c>
      <c r="H82" s="4"/>
      <c r="I82" s="5" t="s">
        <v>142</v>
      </c>
      <c r="J82" s="4" t="s">
        <v>374</v>
      </c>
      <c r="K82" s="5" t="s">
        <v>141</v>
      </c>
      <c r="L82" s="4"/>
      <c r="M82" s="5" t="s">
        <v>142</v>
      </c>
      <c r="N82" s="4"/>
      <c r="O82" s="5" t="s">
        <v>142</v>
      </c>
      <c r="P82" s="4"/>
      <c r="Q82" s="5" t="s">
        <v>142</v>
      </c>
      <c r="R82" s="5" t="n">
        <v>0</v>
      </c>
      <c r="S82" s="5" t="s">
        <v>142</v>
      </c>
      <c r="T82" s="4"/>
      <c r="U82" s="5" t="s">
        <v>142</v>
      </c>
      <c r="V82" s="5" t="n">
        <v>0</v>
      </c>
      <c r="W82" s="5" t="s">
        <v>142</v>
      </c>
      <c r="X82" s="5" t="n">
        <v>7</v>
      </c>
      <c r="Y82" s="4" t="s">
        <v>375</v>
      </c>
    </row>
    <row r="83" customFormat="false" ht="35.05" hidden="false" customHeight="false" outlineLevel="0" collapsed="false">
      <c r="A83" s="5" t="n">
        <v>41687</v>
      </c>
      <c r="B83" s="5" t="s">
        <v>62</v>
      </c>
      <c r="C83" s="5" t="s">
        <v>296</v>
      </c>
      <c r="D83" s="4" t="s">
        <v>30</v>
      </c>
      <c r="E83" s="4" t="s">
        <v>137</v>
      </c>
      <c r="F83" s="4" t="s">
        <v>138</v>
      </c>
      <c r="G83" s="4" t="s">
        <v>376</v>
      </c>
      <c r="H83" s="4"/>
      <c r="I83" s="5" t="s">
        <v>142</v>
      </c>
      <c r="J83" s="4"/>
      <c r="K83" s="5" t="s">
        <v>142</v>
      </c>
      <c r="L83" s="4"/>
      <c r="M83" s="5" t="s">
        <v>142</v>
      </c>
      <c r="N83" s="4"/>
      <c r="O83" s="5" t="s">
        <v>142</v>
      </c>
      <c r="P83" s="4"/>
      <c r="Q83" s="5" t="s">
        <v>142</v>
      </c>
      <c r="R83" s="5" t="n">
        <v>0</v>
      </c>
      <c r="S83" s="5" t="s">
        <v>142</v>
      </c>
      <c r="T83" s="4"/>
      <c r="U83" s="5" t="s">
        <v>142</v>
      </c>
      <c r="V83" s="5" t="n">
        <v>0</v>
      </c>
      <c r="W83" s="5" t="s">
        <v>142</v>
      </c>
      <c r="X83" s="5" t="n">
        <v>8</v>
      </c>
      <c r="Y83" s="4" t="s">
        <v>173</v>
      </c>
    </row>
    <row r="84" customFormat="false" ht="35.05" hidden="false" customHeight="false" outlineLevel="0" collapsed="false">
      <c r="A84" s="5" t="n">
        <v>41688</v>
      </c>
      <c r="B84" s="5" t="s">
        <v>62</v>
      </c>
      <c r="C84" s="5" t="s">
        <v>301</v>
      </c>
      <c r="D84" s="4" t="s">
        <v>30</v>
      </c>
      <c r="E84" s="4" t="s">
        <v>137</v>
      </c>
      <c r="F84" s="4" t="s">
        <v>138</v>
      </c>
      <c r="G84" s="4" t="s">
        <v>377</v>
      </c>
      <c r="H84" s="4"/>
      <c r="I84" s="5" t="s">
        <v>142</v>
      </c>
      <c r="J84" s="4"/>
      <c r="K84" s="5" t="s">
        <v>142</v>
      </c>
      <c r="L84" s="4"/>
      <c r="M84" s="5" t="s">
        <v>142</v>
      </c>
      <c r="N84" s="4"/>
      <c r="O84" s="5" t="s">
        <v>142</v>
      </c>
      <c r="P84" s="4"/>
      <c r="Q84" s="5" t="s">
        <v>142</v>
      </c>
      <c r="R84" s="5" t="n">
        <v>0</v>
      </c>
      <c r="S84" s="5" t="s">
        <v>142</v>
      </c>
      <c r="T84" s="4"/>
      <c r="U84" s="5" t="s">
        <v>142</v>
      </c>
      <c r="V84" s="5" t="n">
        <v>0</v>
      </c>
      <c r="W84" s="5" t="s">
        <v>142</v>
      </c>
      <c r="X84" s="5" t="n">
        <v>8</v>
      </c>
      <c r="Y84" s="4" t="s">
        <v>173</v>
      </c>
    </row>
    <row r="85" customFormat="false" ht="35.05" hidden="false" customHeight="false" outlineLevel="0" collapsed="false">
      <c r="A85" s="5" t="n">
        <v>41689</v>
      </c>
      <c r="B85" s="5" t="s">
        <v>62</v>
      </c>
      <c r="C85" s="5" t="s">
        <v>301</v>
      </c>
      <c r="D85" s="4" t="s">
        <v>30</v>
      </c>
      <c r="E85" s="4" t="s">
        <v>137</v>
      </c>
      <c r="F85" s="4" t="s">
        <v>138</v>
      </c>
      <c r="G85" s="4" t="s">
        <v>378</v>
      </c>
      <c r="H85" s="4"/>
      <c r="I85" s="5" t="s">
        <v>142</v>
      </c>
      <c r="J85" s="4"/>
      <c r="K85" s="5" t="s">
        <v>142</v>
      </c>
      <c r="L85" s="4"/>
      <c r="M85" s="5" t="s">
        <v>142</v>
      </c>
      <c r="N85" s="4"/>
      <c r="O85" s="5" t="s">
        <v>142</v>
      </c>
      <c r="P85" s="4"/>
      <c r="Q85" s="5" t="s">
        <v>142</v>
      </c>
      <c r="R85" s="5" t="n">
        <v>0</v>
      </c>
      <c r="S85" s="5" t="s">
        <v>142</v>
      </c>
      <c r="T85" s="4"/>
      <c r="U85" s="5" t="s">
        <v>142</v>
      </c>
      <c r="V85" s="5" t="n">
        <v>0</v>
      </c>
      <c r="W85" s="5" t="s">
        <v>142</v>
      </c>
      <c r="X85" s="5" t="n">
        <v>8</v>
      </c>
      <c r="Y85" s="4" t="s">
        <v>173</v>
      </c>
    </row>
    <row r="86" customFormat="false" ht="35.05" hidden="false" customHeight="false" outlineLevel="0" collapsed="false">
      <c r="A86" s="5" t="n">
        <v>41690</v>
      </c>
      <c r="B86" s="5" t="s">
        <v>62</v>
      </c>
      <c r="C86" s="5" t="s">
        <v>379</v>
      </c>
      <c r="D86" s="4" t="s">
        <v>30</v>
      </c>
      <c r="E86" s="4" t="s">
        <v>137</v>
      </c>
      <c r="F86" s="4" t="s">
        <v>138</v>
      </c>
      <c r="G86" s="4" t="s">
        <v>380</v>
      </c>
      <c r="H86" s="4"/>
      <c r="I86" s="5" t="s">
        <v>142</v>
      </c>
      <c r="J86" s="4"/>
      <c r="K86" s="5" t="s">
        <v>142</v>
      </c>
      <c r="L86" s="4"/>
      <c r="M86" s="5" t="s">
        <v>142</v>
      </c>
      <c r="N86" s="4"/>
      <c r="O86" s="5" t="s">
        <v>142</v>
      </c>
      <c r="P86" s="4"/>
      <c r="Q86" s="5" t="s">
        <v>142</v>
      </c>
      <c r="R86" s="5" t="n">
        <v>0</v>
      </c>
      <c r="S86" s="5" t="s">
        <v>142</v>
      </c>
      <c r="T86" s="4"/>
      <c r="U86" s="5" t="s">
        <v>142</v>
      </c>
      <c r="V86" s="5" t="n">
        <v>0</v>
      </c>
      <c r="W86" s="5" t="s">
        <v>142</v>
      </c>
      <c r="X86" s="5" t="n">
        <v>8</v>
      </c>
      <c r="Y86" s="4" t="s">
        <v>173</v>
      </c>
    </row>
    <row r="87" customFormat="false" ht="35.05" hidden="false" customHeight="false" outlineLevel="0" collapsed="false">
      <c r="A87" s="5" t="n">
        <v>41691</v>
      </c>
      <c r="B87" s="5" t="s">
        <v>62</v>
      </c>
      <c r="C87" s="5" t="s">
        <v>305</v>
      </c>
      <c r="D87" s="4" t="s">
        <v>30</v>
      </c>
      <c r="E87" s="4" t="s">
        <v>137</v>
      </c>
      <c r="F87" s="4" t="s">
        <v>138</v>
      </c>
      <c r="G87" s="4" t="s">
        <v>381</v>
      </c>
      <c r="H87" s="4"/>
      <c r="I87" s="5" t="s">
        <v>142</v>
      </c>
      <c r="J87" s="4"/>
      <c r="K87" s="5" t="s">
        <v>142</v>
      </c>
      <c r="L87" s="4"/>
      <c r="M87" s="5" t="s">
        <v>142</v>
      </c>
      <c r="N87" s="4"/>
      <c r="O87" s="5" t="s">
        <v>142</v>
      </c>
      <c r="P87" s="4"/>
      <c r="Q87" s="5" t="s">
        <v>142</v>
      </c>
      <c r="R87" s="5" t="n">
        <v>0</v>
      </c>
      <c r="S87" s="5" t="s">
        <v>142</v>
      </c>
      <c r="T87" s="4"/>
      <c r="U87" s="5" t="s">
        <v>142</v>
      </c>
      <c r="V87" s="5" t="n">
        <v>0</v>
      </c>
      <c r="W87" s="5" t="s">
        <v>142</v>
      </c>
      <c r="X87" s="5" t="n">
        <v>8</v>
      </c>
      <c r="Y87" s="4" t="s">
        <v>173</v>
      </c>
    </row>
    <row r="88" customFormat="false" ht="35.05" hidden="false" customHeight="false" outlineLevel="0" collapsed="false">
      <c r="A88" s="5" t="n">
        <v>41692</v>
      </c>
      <c r="B88" s="5" t="s">
        <v>62</v>
      </c>
      <c r="C88" s="5" t="s">
        <v>382</v>
      </c>
      <c r="D88" s="4" t="s">
        <v>30</v>
      </c>
      <c r="E88" s="4" t="s">
        <v>137</v>
      </c>
      <c r="F88" s="4" t="s">
        <v>138</v>
      </c>
      <c r="G88" s="4" t="s">
        <v>383</v>
      </c>
      <c r="H88" s="4"/>
      <c r="I88" s="5" t="s">
        <v>142</v>
      </c>
      <c r="J88" s="4"/>
      <c r="K88" s="5" t="s">
        <v>142</v>
      </c>
      <c r="L88" s="4"/>
      <c r="M88" s="5" t="s">
        <v>142</v>
      </c>
      <c r="N88" s="4"/>
      <c r="O88" s="5" t="s">
        <v>142</v>
      </c>
      <c r="P88" s="4"/>
      <c r="Q88" s="5" t="s">
        <v>142</v>
      </c>
      <c r="R88" s="5" t="n">
        <v>0</v>
      </c>
      <c r="S88" s="5" t="s">
        <v>142</v>
      </c>
      <c r="T88" s="4"/>
      <c r="U88" s="5" t="s">
        <v>142</v>
      </c>
      <c r="V88" s="5" t="n">
        <v>0</v>
      </c>
      <c r="W88" s="5" t="s">
        <v>142</v>
      </c>
      <c r="X88" s="5" t="n">
        <v>8</v>
      </c>
      <c r="Y88" s="4" t="s">
        <v>173</v>
      </c>
    </row>
    <row r="89" customFormat="false" ht="35.05" hidden="false" customHeight="false" outlineLevel="0" collapsed="false">
      <c r="A89" s="5" t="n">
        <v>41693</v>
      </c>
      <c r="B89" s="5" t="s">
        <v>62</v>
      </c>
      <c r="C89" s="5" t="s">
        <v>384</v>
      </c>
      <c r="D89" s="4" t="s">
        <v>20</v>
      </c>
      <c r="E89" s="4" t="s">
        <v>167</v>
      </c>
      <c r="F89" s="4" t="s">
        <v>246</v>
      </c>
      <c r="G89" s="4" t="s">
        <v>385</v>
      </c>
      <c r="H89" s="4"/>
      <c r="I89" s="5" t="s">
        <v>142</v>
      </c>
      <c r="J89" s="4"/>
      <c r="K89" s="5" t="s">
        <v>142</v>
      </c>
      <c r="L89" s="4"/>
      <c r="M89" s="5" t="s">
        <v>142</v>
      </c>
      <c r="N89" s="4"/>
      <c r="O89" s="5" t="s">
        <v>142</v>
      </c>
      <c r="P89" s="4"/>
      <c r="Q89" s="5" t="s">
        <v>142</v>
      </c>
      <c r="R89" s="5" t="n">
        <v>0</v>
      </c>
      <c r="S89" s="5" t="s">
        <v>142</v>
      </c>
      <c r="T89" s="4"/>
      <c r="U89" s="5" t="s">
        <v>142</v>
      </c>
      <c r="V89" s="5" t="n">
        <v>0</v>
      </c>
      <c r="W89" s="5" t="s">
        <v>142</v>
      </c>
      <c r="X89" s="5" t="n">
        <v>8</v>
      </c>
      <c r="Y89" s="4" t="s">
        <v>173</v>
      </c>
    </row>
    <row r="90" customFormat="false" ht="23.85" hidden="false" customHeight="false" outlineLevel="0" collapsed="false">
      <c r="A90" s="5" t="n">
        <v>41695</v>
      </c>
      <c r="B90" s="5" t="s">
        <v>62</v>
      </c>
      <c r="C90" s="5" t="s">
        <v>386</v>
      </c>
      <c r="D90" s="4" t="s">
        <v>26</v>
      </c>
      <c r="E90" s="4" t="s">
        <v>167</v>
      </c>
      <c r="F90" s="4" t="s">
        <v>365</v>
      </c>
      <c r="G90" s="4" t="s">
        <v>387</v>
      </c>
      <c r="H90" s="4" t="s">
        <v>388</v>
      </c>
      <c r="I90" s="5" t="s">
        <v>141</v>
      </c>
      <c r="J90" s="4"/>
      <c r="K90" s="5" t="s">
        <v>142</v>
      </c>
      <c r="L90" s="4"/>
      <c r="M90" s="5" t="s">
        <v>142</v>
      </c>
      <c r="N90" s="4"/>
      <c r="O90" s="5" t="s">
        <v>142</v>
      </c>
      <c r="P90" s="4" t="s">
        <v>262</v>
      </c>
      <c r="Q90" s="5" t="s">
        <v>141</v>
      </c>
      <c r="R90" s="5" t="n">
        <v>0</v>
      </c>
      <c r="S90" s="5" t="s">
        <v>142</v>
      </c>
      <c r="T90" s="4" t="s">
        <v>267</v>
      </c>
      <c r="U90" s="5" t="s">
        <v>141</v>
      </c>
      <c r="V90" s="5" t="n">
        <v>12</v>
      </c>
      <c r="W90" s="5" t="s">
        <v>141</v>
      </c>
      <c r="X90" s="5" t="n">
        <v>4</v>
      </c>
      <c r="Y90" s="4" t="s">
        <v>389</v>
      </c>
    </row>
    <row r="91" customFormat="false" ht="35.05" hidden="false" customHeight="false" outlineLevel="0" collapsed="false">
      <c r="A91" s="5" t="n">
        <v>41700</v>
      </c>
      <c r="B91" s="5" t="s">
        <v>62</v>
      </c>
      <c r="C91" s="5" t="s">
        <v>390</v>
      </c>
      <c r="D91" s="4" t="s">
        <v>24</v>
      </c>
      <c r="E91" s="4" t="s">
        <v>167</v>
      </c>
      <c r="F91" s="4" t="s">
        <v>138</v>
      </c>
      <c r="G91" s="4" t="s">
        <v>391</v>
      </c>
      <c r="H91" s="4"/>
      <c r="I91" s="5" t="s">
        <v>142</v>
      </c>
      <c r="J91" s="4"/>
      <c r="K91" s="5" t="s">
        <v>142</v>
      </c>
      <c r="L91" s="4"/>
      <c r="M91" s="5" t="s">
        <v>142</v>
      </c>
      <c r="N91" s="4"/>
      <c r="O91" s="5" t="s">
        <v>142</v>
      </c>
      <c r="P91" s="4"/>
      <c r="Q91" s="5" t="s">
        <v>142</v>
      </c>
      <c r="R91" s="5" t="n">
        <v>0</v>
      </c>
      <c r="S91" s="5" t="s">
        <v>142</v>
      </c>
      <c r="T91" s="4"/>
      <c r="U91" s="5" t="s">
        <v>142</v>
      </c>
      <c r="V91" s="5" t="n">
        <v>0</v>
      </c>
      <c r="W91" s="5" t="s">
        <v>142</v>
      </c>
      <c r="X91" s="5" t="n">
        <v>8</v>
      </c>
      <c r="Y91" s="4" t="s">
        <v>173</v>
      </c>
    </row>
    <row r="92" customFormat="false" ht="35.05" hidden="false" customHeight="false" outlineLevel="0" collapsed="false">
      <c r="A92" s="5" t="n">
        <v>41701</v>
      </c>
      <c r="B92" s="5" t="s">
        <v>62</v>
      </c>
      <c r="C92" s="5" t="s">
        <v>207</v>
      </c>
      <c r="D92" s="4" t="s">
        <v>28</v>
      </c>
      <c r="E92" s="4" t="s">
        <v>137</v>
      </c>
      <c r="F92" s="4" t="s">
        <v>138</v>
      </c>
      <c r="G92" s="4" t="s">
        <v>392</v>
      </c>
      <c r="H92" s="4"/>
      <c r="I92" s="5" t="s">
        <v>142</v>
      </c>
      <c r="J92" s="4"/>
      <c r="K92" s="5" t="s">
        <v>142</v>
      </c>
      <c r="L92" s="4"/>
      <c r="M92" s="5" t="s">
        <v>142</v>
      </c>
      <c r="N92" s="4"/>
      <c r="O92" s="5" t="s">
        <v>142</v>
      </c>
      <c r="P92" s="4"/>
      <c r="Q92" s="5" t="s">
        <v>142</v>
      </c>
      <c r="R92" s="5" t="n">
        <v>0</v>
      </c>
      <c r="S92" s="5" t="s">
        <v>142</v>
      </c>
      <c r="T92" s="4"/>
      <c r="U92" s="5" t="s">
        <v>142</v>
      </c>
      <c r="V92" s="5" t="n">
        <v>0</v>
      </c>
      <c r="W92" s="5" t="s">
        <v>142</v>
      </c>
      <c r="X92" s="5" t="n">
        <v>8</v>
      </c>
      <c r="Y92" s="4" t="s">
        <v>173</v>
      </c>
    </row>
    <row r="93" customFormat="false" ht="35.05" hidden="false" customHeight="false" outlineLevel="0" collapsed="false">
      <c r="A93" s="5" t="n">
        <v>41702</v>
      </c>
      <c r="B93" s="5" t="s">
        <v>62</v>
      </c>
      <c r="C93" s="5" t="s">
        <v>393</v>
      </c>
      <c r="D93" s="4" t="s">
        <v>28</v>
      </c>
      <c r="E93" s="4" t="s">
        <v>137</v>
      </c>
      <c r="F93" s="4" t="s">
        <v>138</v>
      </c>
      <c r="G93" s="4" t="s">
        <v>394</v>
      </c>
      <c r="H93" s="4"/>
      <c r="I93" s="5" t="s">
        <v>142</v>
      </c>
      <c r="J93" s="4"/>
      <c r="K93" s="5" t="s">
        <v>142</v>
      </c>
      <c r="L93" s="4"/>
      <c r="M93" s="5" t="s">
        <v>142</v>
      </c>
      <c r="N93" s="4"/>
      <c r="O93" s="5" t="s">
        <v>142</v>
      </c>
      <c r="P93" s="4"/>
      <c r="Q93" s="5" t="s">
        <v>142</v>
      </c>
      <c r="R93" s="5" t="n">
        <v>0</v>
      </c>
      <c r="S93" s="5" t="s">
        <v>142</v>
      </c>
      <c r="T93" s="4"/>
      <c r="U93" s="5" t="s">
        <v>142</v>
      </c>
      <c r="V93" s="5" t="n">
        <v>0</v>
      </c>
      <c r="W93" s="5" t="s">
        <v>142</v>
      </c>
      <c r="X93" s="5" t="n">
        <v>8</v>
      </c>
      <c r="Y93" s="4" t="s">
        <v>173</v>
      </c>
    </row>
    <row r="94" customFormat="false" ht="35.05" hidden="false" customHeight="false" outlineLevel="0" collapsed="false">
      <c r="A94" s="5" t="n">
        <v>41703</v>
      </c>
      <c r="B94" s="5" t="s">
        <v>62</v>
      </c>
      <c r="C94" s="5" t="s">
        <v>395</v>
      </c>
      <c r="D94" s="4" t="s">
        <v>28</v>
      </c>
      <c r="E94" s="4" t="s">
        <v>137</v>
      </c>
      <c r="F94" s="4" t="s">
        <v>138</v>
      </c>
      <c r="G94" s="4" t="s">
        <v>396</v>
      </c>
      <c r="H94" s="4"/>
      <c r="I94" s="5" t="s">
        <v>142</v>
      </c>
      <c r="J94" s="4"/>
      <c r="K94" s="5" t="s">
        <v>142</v>
      </c>
      <c r="L94" s="4"/>
      <c r="M94" s="5" t="s">
        <v>142</v>
      </c>
      <c r="N94" s="4"/>
      <c r="O94" s="5" t="s">
        <v>142</v>
      </c>
      <c r="P94" s="4"/>
      <c r="Q94" s="5" t="s">
        <v>142</v>
      </c>
      <c r="R94" s="5" t="n">
        <v>0</v>
      </c>
      <c r="S94" s="5" t="s">
        <v>142</v>
      </c>
      <c r="T94" s="4"/>
      <c r="U94" s="5" t="s">
        <v>142</v>
      </c>
      <c r="V94" s="5" t="n">
        <v>0</v>
      </c>
      <c r="W94" s="5" t="s">
        <v>142</v>
      </c>
      <c r="X94" s="5" t="n">
        <v>8</v>
      </c>
      <c r="Y94" s="4" t="s">
        <v>173</v>
      </c>
    </row>
    <row r="95" customFormat="false" ht="23.85" hidden="false" customHeight="false" outlineLevel="0" collapsed="false">
      <c r="A95" s="5" t="n">
        <v>41717</v>
      </c>
      <c r="B95" s="5" t="s">
        <v>64</v>
      </c>
      <c r="C95" s="5" t="s">
        <v>397</v>
      </c>
      <c r="D95" s="4" t="s">
        <v>22</v>
      </c>
      <c r="E95" s="4" t="s">
        <v>160</v>
      </c>
      <c r="F95" s="4" t="s">
        <v>161</v>
      </c>
      <c r="G95" s="4" t="s">
        <v>398</v>
      </c>
      <c r="H95" s="4" t="s">
        <v>399</v>
      </c>
      <c r="I95" s="5" t="s">
        <v>141</v>
      </c>
      <c r="J95" s="4"/>
      <c r="K95" s="5" t="s">
        <v>142</v>
      </c>
      <c r="L95" s="4" t="s">
        <v>399</v>
      </c>
      <c r="M95" s="5" t="s">
        <v>141</v>
      </c>
      <c r="N95" s="4"/>
      <c r="O95" s="5" t="s">
        <v>142</v>
      </c>
      <c r="P95" s="4"/>
      <c r="Q95" s="5" t="s">
        <v>142</v>
      </c>
      <c r="R95" s="5" t="n">
        <v>0</v>
      </c>
      <c r="S95" s="5" t="s">
        <v>142</v>
      </c>
      <c r="T95" s="4"/>
      <c r="U95" s="5" t="s">
        <v>142</v>
      </c>
      <c r="V95" s="5" t="n">
        <v>72</v>
      </c>
      <c r="W95" s="5" t="s">
        <v>141</v>
      </c>
      <c r="X95" s="5" t="n">
        <v>5</v>
      </c>
      <c r="Y95" s="4" t="s">
        <v>400</v>
      </c>
    </row>
    <row r="96" customFormat="false" ht="23.85" hidden="false" customHeight="false" outlineLevel="0" collapsed="false">
      <c r="A96" s="5" t="n">
        <v>41718</v>
      </c>
      <c r="B96" s="5" t="s">
        <v>64</v>
      </c>
      <c r="C96" s="5" t="s">
        <v>401</v>
      </c>
      <c r="D96" s="4" t="s">
        <v>22</v>
      </c>
      <c r="E96" s="4" t="s">
        <v>160</v>
      </c>
      <c r="F96" s="4" t="s">
        <v>161</v>
      </c>
      <c r="G96" s="4" t="s">
        <v>402</v>
      </c>
      <c r="H96" s="4" t="s">
        <v>403</v>
      </c>
      <c r="I96" s="5" t="s">
        <v>141</v>
      </c>
      <c r="J96" s="4"/>
      <c r="K96" s="5" t="s">
        <v>142</v>
      </c>
      <c r="L96" s="4"/>
      <c r="M96" s="5" t="s">
        <v>142</v>
      </c>
      <c r="N96" s="4" t="s">
        <v>404</v>
      </c>
      <c r="O96" s="5" t="s">
        <v>141</v>
      </c>
      <c r="P96" s="4"/>
      <c r="Q96" s="5" t="s">
        <v>142</v>
      </c>
      <c r="R96" s="5" t="n">
        <v>0</v>
      </c>
      <c r="S96" s="5" t="s">
        <v>142</v>
      </c>
      <c r="T96" s="4"/>
      <c r="U96" s="5" t="s">
        <v>142</v>
      </c>
      <c r="V96" s="5" t="n">
        <v>55</v>
      </c>
      <c r="W96" s="5" t="s">
        <v>141</v>
      </c>
      <c r="X96" s="5" t="n">
        <v>5</v>
      </c>
      <c r="Y96" s="4" t="s">
        <v>363</v>
      </c>
    </row>
    <row r="97" customFormat="false" ht="23.85" hidden="false" customHeight="false" outlineLevel="0" collapsed="false">
      <c r="A97" s="5" t="n">
        <v>41720</v>
      </c>
      <c r="B97" s="5" t="s">
        <v>64</v>
      </c>
      <c r="C97" s="5" t="s">
        <v>372</v>
      </c>
      <c r="D97" s="4" t="s">
        <v>22</v>
      </c>
      <c r="E97" s="4" t="s">
        <v>160</v>
      </c>
      <c r="F97" s="4" t="s">
        <v>161</v>
      </c>
      <c r="G97" s="4" t="s">
        <v>405</v>
      </c>
      <c r="H97" s="4" t="s">
        <v>406</v>
      </c>
      <c r="I97" s="5" t="s">
        <v>141</v>
      </c>
      <c r="J97" s="4"/>
      <c r="K97" s="5" t="s">
        <v>142</v>
      </c>
      <c r="L97" s="4" t="s">
        <v>406</v>
      </c>
      <c r="M97" s="5" t="s">
        <v>141</v>
      </c>
      <c r="N97" s="4"/>
      <c r="O97" s="5" t="s">
        <v>142</v>
      </c>
      <c r="P97" s="4"/>
      <c r="Q97" s="5" t="s">
        <v>142</v>
      </c>
      <c r="R97" s="5" t="n">
        <v>0</v>
      </c>
      <c r="S97" s="5" t="s">
        <v>142</v>
      </c>
      <c r="T97" s="4"/>
      <c r="U97" s="5" t="s">
        <v>142</v>
      </c>
      <c r="V97" s="5" t="n">
        <v>66</v>
      </c>
      <c r="W97" s="5" t="s">
        <v>141</v>
      </c>
      <c r="X97" s="5" t="n">
        <v>5</v>
      </c>
      <c r="Y97" s="4" t="s">
        <v>400</v>
      </c>
    </row>
    <row r="98" customFormat="false" ht="23.85" hidden="false" customHeight="false" outlineLevel="0" collapsed="false">
      <c r="A98" s="5" t="n">
        <v>41721</v>
      </c>
      <c r="B98" s="5" t="s">
        <v>64</v>
      </c>
      <c r="C98" s="5" t="s">
        <v>296</v>
      </c>
      <c r="D98" s="4" t="s">
        <v>22</v>
      </c>
      <c r="E98" s="4" t="s">
        <v>160</v>
      </c>
      <c r="F98" s="4" t="s">
        <v>161</v>
      </c>
      <c r="G98" s="4" t="s">
        <v>407</v>
      </c>
      <c r="H98" s="4" t="s">
        <v>408</v>
      </c>
      <c r="I98" s="5" t="s">
        <v>141</v>
      </c>
      <c r="J98" s="4"/>
      <c r="K98" s="5" t="s">
        <v>142</v>
      </c>
      <c r="L98" s="4" t="s">
        <v>409</v>
      </c>
      <c r="M98" s="5" t="s">
        <v>141</v>
      </c>
      <c r="N98" s="4"/>
      <c r="O98" s="5" t="s">
        <v>142</v>
      </c>
      <c r="P98" s="4"/>
      <c r="Q98" s="5" t="s">
        <v>142</v>
      </c>
      <c r="R98" s="5" t="n">
        <v>0</v>
      </c>
      <c r="S98" s="5" t="s">
        <v>142</v>
      </c>
      <c r="T98" s="4"/>
      <c r="U98" s="5" t="s">
        <v>142</v>
      </c>
      <c r="V98" s="5" t="n">
        <v>0</v>
      </c>
      <c r="W98" s="5" t="s">
        <v>142</v>
      </c>
      <c r="X98" s="5" t="n">
        <v>6</v>
      </c>
      <c r="Y98" s="4" t="s">
        <v>171</v>
      </c>
    </row>
    <row r="99" customFormat="false" ht="23.85" hidden="false" customHeight="false" outlineLevel="0" collapsed="false">
      <c r="A99" s="5" t="n">
        <v>41723</v>
      </c>
      <c r="B99" s="5" t="s">
        <v>64</v>
      </c>
      <c r="C99" s="5" t="s">
        <v>301</v>
      </c>
      <c r="D99" s="4" t="s">
        <v>22</v>
      </c>
      <c r="E99" s="4" t="s">
        <v>160</v>
      </c>
      <c r="F99" s="4" t="s">
        <v>138</v>
      </c>
      <c r="G99" s="4" t="s">
        <v>410</v>
      </c>
      <c r="H99" s="4" t="s">
        <v>411</v>
      </c>
      <c r="I99" s="5" t="s">
        <v>141</v>
      </c>
      <c r="J99" s="4"/>
      <c r="K99" s="5" t="s">
        <v>142</v>
      </c>
      <c r="L99" s="4" t="s">
        <v>409</v>
      </c>
      <c r="M99" s="5" t="s">
        <v>141</v>
      </c>
      <c r="N99" s="4"/>
      <c r="O99" s="5" t="s">
        <v>142</v>
      </c>
      <c r="P99" s="4" t="s">
        <v>412</v>
      </c>
      <c r="Q99" s="5" t="s">
        <v>141</v>
      </c>
      <c r="R99" s="5" t="n">
        <v>1</v>
      </c>
      <c r="S99" s="5" t="s">
        <v>141</v>
      </c>
      <c r="T99" s="4" t="s">
        <v>413</v>
      </c>
      <c r="U99" s="5" t="s">
        <v>141</v>
      </c>
      <c r="V99" s="5" t="n">
        <v>0</v>
      </c>
      <c r="W99" s="5" t="s">
        <v>142</v>
      </c>
      <c r="X99" s="5" t="n">
        <v>3</v>
      </c>
      <c r="Y99" s="4" t="s">
        <v>414</v>
      </c>
    </row>
    <row r="100" customFormat="false" ht="23.85" hidden="false" customHeight="false" outlineLevel="0" collapsed="false">
      <c r="A100" s="5" t="n">
        <v>41724</v>
      </c>
      <c r="B100" s="5" t="s">
        <v>64</v>
      </c>
      <c r="C100" s="5" t="s">
        <v>305</v>
      </c>
      <c r="D100" s="4" t="s">
        <v>22</v>
      </c>
      <c r="E100" s="4" t="s">
        <v>160</v>
      </c>
      <c r="F100" s="4" t="s">
        <v>138</v>
      </c>
      <c r="G100" s="4" t="s">
        <v>415</v>
      </c>
      <c r="H100" s="4" t="s">
        <v>416</v>
      </c>
      <c r="I100" s="5" t="s">
        <v>141</v>
      </c>
      <c r="J100" s="4"/>
      <c r="K100" s="5" t="s">
        <v>142</v>
      </c>
      <c r="L100" s="4" t="s">
        <v>417</v>
      </c>
      <c r="M100" s="5" t="s">
        <v>141</v>
      </c>
      <c r="N100" s="4" t="s">
        <v>418</v>
      </c>
      <c r="O100" s="5" t="s">
        <v>141</v>
      </c>
      <c r="P100" s="4" t="s">
        <v>419</v>
      </c>
      <c r="Q100" s="5" t="s">
        <v>141</v>
      </c>
      <c r="R100" s="5" t="n">
        <v>1</v>
      </c>
      <c r="S100" s="5" t="s">
        <v>141</v>
      </c>
      <c r="T100" s="4" t="s">
        <v>420</v>
      </c>
      <c r="U100" s="5" t="s">
        <v>141</v>
      </c>
      <c r="V100" s="5" t="n">
        <v>0</v>
      </c>
      <c r="W100" s="5" t="s">
        <v>142</v>
      </c>
      <c r="X100" s="5" t="n">
        <v>2</v>
      </c>
      <c r="Y100" s="4" t="s">
        <v>421</v>
      </c>
    </row>
    <row r="101" customFormat="false" ht="35.05" hidden="false" customHeight="false" outlineLevel="0" collapsed="false">
      <c r="A101" s="5" t="n">
        <v>41725</v>
      </c>
      <c r="B101" s="5" t="s">
        <v>64</v>
      </c>
      <c r="C101" s="5" t="s">
        <v>422</v>
      </c>
      <c r="D101" s="4" t="s">
        <v>30</v>
      </c>
      <c r="E101" s="4" t="s">
        <v>137</v>
      </c>
      <c r="F101" s="4" t="s">
        <v>138</v>
      </c>
      <c r="G101" s="4" t="s">
        <v>423</v>
      </c>
      <c r="H101" s="4"/>
      <c r="I101" s="5" t="s">
        <v>142</v>
      </c>
      <c r="J101" s="4"/>
      <c r="K101" s="5" t="s">
        <v>142</v>
      </c>
      <c r="L101" s="4"/>
      <c r="M101" s="5" t="s">
        <v>142</v>
      </c>
      <c r="N101" s="4"/>
      <c r="O101" s="5" t="s">
        <v>142</v>
      </c>
      <c r="P101" s="4"/>
      <c r="Q101" s="5" t="s">
        <v>142</v>
      </c>
      <c r="R101" s="5" t="n">
        <v>0</v>
      </c>
      <c r="S101" s="5" t="s">
        <v>142</v>
      </c>
      <c r="T101" s="4"/>
      <c r="U101" s="5" t="s">
        <v>142</v>
      </c>
      <c r="V101" s="5" t="n">
        <v>0</v>
      </c>
      <c r="W101" s="5" t="s">
        <v>142</v>
      </c>
      <c r="X101" s="5" t="n">
        <v>8</v>
      </c>
      <c r="Y101" s="4" t="s">
        <v>173</v>
      </c>
    </row>
    <row r="102" customFormat="false" ht="35.05" hidden="false" customHeight="false" outlineLevel="0" collapsed="false">
      <c r="A102" s="5" t="n">
        <v>41726</v>
      </c>
      <c r="B102" s="5" t="s">
        <v>64</v>
      </c>
      <c r="C102" s="5" t="s">
        <v>382</v>
      </c>
      <c r="D102" s="4" t="s">
        <v>30</v>
      </c>
      <c r="E102" s="4" t="s">
        <v>137</v>
      </c>
      <c r="F102" s="4" t="s">
        <v>138</v>
      </c>
      <c r="G102" s="4" t="s">
        <v>424</v>
      </c>
      <c r="H102" s="4"/>
      <c r="I102" s="5" t="s">
        <v>142</v>
      </c>
      <c r="J102" s="4"/>
      <c r="K102" s="5" t="s">
        <v>142</v>
      </c>
      <c r="L102" s="4"/>
      <c r="M102" s="5" t="s">
        <v>142</v>
      </c>
      <c r="N102" s="4"/>
      <c r="O102" s="5" t="s">
        <v>142</v>
      </c>
      <c r="P102" s="4"/>
      <c r="Q102" s="5" t="s">
        <v>142</v>
      </c>
      <c r="R102" s="5" t="n">
        <v>0</v>
      </c>
      <c r="S102" s="5" t="s">
        <v>142</v>
      </c>
      <c r="T102" s="4"/>
      <c r="U102" s="5" t="s">
        <v>142</v>
      </c>
      <c r="V102" s="5" t="n">
        <v>0</v>
      </c>
      <c r="W102" s="5" t="s">
        <v>142</v>
      </c>
      <c r="X102" s="5" t="n">
        <v>8</v>
      </c>
      <c r="Y102" s="4" t="s">
        <v>173</v>
      </c>
    </row>
    <row r="103" customFormat="false" ht="35.05" hidden="false" customHeight="false" outlineLevel="0" collapsed="false">
      <c r="A103" s="5" t="n">
        <v>41727</v>
      </c>
      <c r="B103" s="5" t="s">
        <v>64</v>
      </c>
      <c r="C103" s="5" t="s">
        <v>425</v>
      </c>
      <c r="D103" s="4" t="s">
        <v>30</v>
      </c>
      <c r="E103" s="4" t="s">
        <v>137</v>
      </c>
      <c r="F103" s="4" t="s">
        <v>138</v>
      </c>
      <c r="G103" s="4" t="s">
        <v>426</v>
      </c>
      <c r="H103" s="4"/>
      <c r="I103" s="5" t="s">
        <v>142</v>
      </c>
      <c r="J103" s="4"/>
      <c r="K103" s="5" t="s">
        <v>142</v>
      </c>
      <c r="L103" s="4"/>
      <c r="M103" s="5" t="s">
        <v>142</v>
      </c>
      <c r="N103" s="4"/>
      <c r="O103" s="5" t="s">
        <v>142</v>
      </c>
      <c r="P103" s="4"/>
      <c r="Q103" s="5" t="s">
        <v>142</v>
      </c>
      <c r="R103" s="5" t="n">
        <v>0</v>
      </c>
      <c r="S103" s="5" t="s">
        <v>142</v>
      </c>
      <c r="T103" s="4"/>
      <c r="U103" s="5" t="s">
        <v>142</v>
      </c>
      <c r="V103" s="5" t="n">
        <v>0</v>
      </c>
      <c r="W103" s="5" t="s">
        <v>142</v>
      </c>
      <c r="X103" s="5" t="n">
        <v>8</v>
      </c>
      <c r="Y103" s="4" t="s">
        <v>173</v>
      </c>
    </row>
    <row r="104" customFormat="false" ht="35.05" hidden="false" customHeight="false" outlineLevel="0" collapsed="false">
      <c r="A104" s="5" t="n">
        <v>41728</v>
      </c>
      <c r="B104" s="5" t="s">
        <v>64</v>
      </c>
      <c r="C104" s="5" t="s">
        <v>427</v>
      </c>
      <c r="D104" s="4" t="s">
        <v>30</v>
      </c>
      <c r="E104" s="4" t="s">
        <v>137</v>
      </c>
      <c r="F104" s="4" t="s">
        <v>138</v>
      </c>
      <c r="G104" s="4" t="s">
        <v>428</v>
      </c>
      <c r="H104" s="4"/>
      <c r="I104" s="5" t="s">
        <v>142</v>
      </c>
      <c r="J104" s="4"/>
      <c r="K104" s="5" t="s">
        <v>142</v>
      </c>
      <c r="L104" s="4"/>
      <c r="M104" s="5" t="s">
        <v>142</v>
      </c>
      <c r="N104" s="4"/>
      <c r="O104" s="5" t="s">
        <v>142</v>
      </c>
      <c r="P104" s="4"/>
      <c r="Q104" s="5" t="s">
        <v>142</v>
      </c>
      <c r="R104" s="5" t="n">
        <v>0</v>
      </c>
      <c r="S104" s="5" t="s">
        <v>142</v>
      </c>
      <c r="T104" s="4"/>
      <c r="U104" s="5" t="s">
        <v>142</v>
      </c>
      <c r="V104" s="5" t="n">
        <v>0</v>
      </c>
      <c r="W104" s="5" t="s">
        <v>142</v>
      </c>
      <c r="X104" s="5" t="n">
        <v>8</v>
      </c>
      <c r="Y104" s="4" t="s">
        <v>173</v>
      </c>
    </row>
    <row r="105" customFormat="false" ht="35.05" hidden="false" customHeight="false" outlineLevel="0" collapsed="false">
      <c r="A105" s="5" t="n">
        <v>41729</v>
      </c>
      <c r="B105" s="5" t="s">
        <v>64</v>
      </c>
      <c r="C105" s="5" t="s">
        <v>429</v>
      </c>
      <c r="D105" s="4" t="s">
        <v>30</v>
      </c>
      <c r="E105" s="4" t="s">
        <v>137</v>
      </c>
      <c r="F105" s="4" t="s">
        <v>138</v>
      </c>
      <c r="G105" s="4" t="s">
        <v>430</v>
      </c>
      <c r="H105" s="4"/>
      <c r="I105" s="5" t="s">
        <v>142</v>
      </c>
      <c r="J105" s="4"/>
      <c r="K105" s="5" t="s">
        <v>142</v>
      </c>
      <c r="L105" s="4"/>
      <c r="M105" s="5" t="s">
        <v>142</v>
      </c>
      <c r="N105" s="4"/>
      <c r="O105" s="5" t="s">
        <v>142</v>
      </c>
      <c r="P105" s="4"/>
      <c r="Q105" s="5" t="s">
        <v>142</v>
      </c>
      <c r="R105" s="5" t="n">
        <v>0</v>
      </c>
      <c r="S105" s="5" t="s">
        <v>142</v>
      </c>
      <c r="T105" s="4"/>
      <c r="U105" s="5" t="s">
        <v>142</v>
      </c>
      <c r="V105" s="5" t="n">
        <v>0</v>
      </c>
      <c r="W105" s="5" t="s">
        <v>142</v>
      </c>
      <c r="X105" s="5" t="n">
        <v>8</v>
      </c>
      <c r="Y105" s="4" t="s">
        <v>173</v>
      </c>
    </row>
    <row r="106" customFormat="false" ht="35.05" hidden="false" customHeight="false" outlineLevel="0" collapsed="false">
      <c r="A106" s="5" t="n">
        <v>41730</v>
      </c>
      <c r="B106" s="5" t="s">
        <v>64</v>
      </c>
      <c r="C106" s="5" t="s">
        <v>429</v>
      </c>
      <c r="D106" s="4" t="s">
        <v>30</v>
      </c>
      <c r="E106" s="4" t="s">
        <v>137</v>
      </c>
      <c r="F106" s="4" t="s">
        <v>138</v>
      </c>
      <c r="G106" s="4" t="s">
        <v>431</v>
      </c>
      <c r="H106" s="4"/>
      <c r="I106" s="5" t="s">
        <v>142</v>
      </c>
      <c r="J106" s="4"/>
      <c r="K106" s="5" t="s">
        <v>142</v>
      </c>
      <c r="L106" s="4"/>
      <c r="M106" s="5" t="s">
        <v>142</v>
      </c>
      <c r="N106" s="4"/>
      <c r="O106" s="5" t="s">
        <v>142</v>
      </c>
      <c r="P106" s="4"/>
      <c r="Q106" s="5" t="s">
        <v>142</v>
      </c>
      <c r="R106" s="5" t="n">
        <v>0</v>
      </c>
      <c r="S106" s="5" t="s">
        <v>142</v>
      </c>
      <c r="T106" s="4"/>
      <c r="U106" s="5" t="s">
        <v>142</v>
      </c>
      <c r="V106" s="5" t="n">
        <v>0</v>
      </c>
      <c r="W106" s="5" t="s">
        <v>142</v>
      </c>
      <c r="X106" s="5" t="n">
        <v>8</v>
      </c>
      <c r="Y106" s="4" t="s">
        <v>173</v>
      </c>
    </row>
    <row r="107" customFormat="false" ht="35.05" hidden="false" customHeight="false" outlineLevel="0" collapsed="false">
      <c r="A107" s="5" t="n">
        <v>41731</v>
      </c>
      <c r="B107" s="5" t="s">
        <v>64</v>
      </c>
      <c r="C107" s="5" t="s">
        <v>174</v>
      </c>
      <c r="D107" s="4" t="s">
        <v>30</v>
      </c>
      <c r="E107" s="4" t="s">
        <v>137</v>
      </c>
      <c r="F107" s="4" t="s">
        <v>138</v>
      </c>
      <c r="G107" s="4" t="s">
        <v>432</v>
      </c>
      <c r="H107" s="4"/>
      <c r="I107" s="5" t="s">
        <v>142</v>
      </c>
      <c r="J107" s="4"/>
      <c r="K107" s="5" t="s">
        <v>142</v>
      </c>
      <c r="L107" s="4"/>
      <c r="M107" s="5" t="s">
        <v>142</v>
      </c>
      <c r="N107" s="4"/>
      <c r="O107" s="5" t="s">
        <v>142</v>
      </c>
      <c r="P107" s="4"/>
      <c r="Q107" s="5" t="s">
        <v>142</v>
      </c>
      <c r="R107" s="5" t="n">
        <v>0</v>
      </c>
      <c r="S107" s="5" t="s">
        <v>142</v>
      </c>
      <c r="T107" s="4"/>
      <c r="U107" s="5" t="s">
        <v>142</v>
      </c>
      <c r="V107" s="5" t="n">
        <v>0</v>
      </c>
      <c r="W107" s="5" t="s">
        <v>142</v>
      </c>
      <c r="X107" s="5" t="n">
        <v>8</v>
      </c>
      <c r="Y107" s="4" t="s">
        <v>173</v>
      </c>
    </row>
    <row r="108" customFormat="false" ht="35.05" hidden="false" customHeight="false" outlineLevel="0" collapsed="false">
      <c r="A108" s="5" t="n">
        <v>41737</v>
      </c>
      <c r="B108" s="5" t="s">
        <v>64</v>
      </c>
      <c r="C108" s="5" t="s">
        <v>433</v>
      </c>
      <c r="D108" s="4" t="s">
        <v>20</v>
      </c>
      <c r="E108" s="4" t="s">
        <v>167</v>
      </c>
      <c r="F108" s="4" t="s">
        <v>161</v>
      </c>
      <c r="G108" s="4" t="s">
        <v>434</v>
      </c>
      <c r="H108" s="4"/>
      <c r="I108" s="5" t="s">
        <v>142</v>
      </c>
      <c r="J108" s="4"/>
      <c r="K108" s="5" t="s">
        <v>142</v>
      </c>
      <c r="L108" s="4"/>
      <c r="M108" s="5" t="s">
        <v>142</v>
      </c>
      <c r="N108" s="4"/>
      <c r="O108" s="5" t="s">
        <v>142</v>
      </c>
      <c r="P108" s="4"/>
      <c r="Q108" s="5" t="s">
        <v>142</v>
      </c>
      <c r="R108" s="5" t="n">
        <v>0</v>
      </c>
      <c r="S108" s="5" t="s">
        <v>142</v>
      </c>
      <c r="T108" s="4"/>
      <c r="U108" s="5" t="s">
        <v>142</v>
      </c>
      <c r="V108" s="5" t="n">
        <v>0</v>
      </c>
      <c r="W108" s="5" t="s">
        <v>142</v>
      </c>
      <c r="X108" s="5" t="n">
        <v>8</v>
      </c>
      <c r="Y108" s="4" t="s">
        <v>173</v>
      </c>
    </row>
    <row r="109" customFormat="false" ht="23.85" hidden="false" customHeight="false" outlineLevel="0" collapsed="false">
      <c r="A109" s="5" t="n">
        <v>41738</v>
      </c>
      <c r="B109" s="5" t="s">
        <v>64</v>
      </c>
      <c r="C109" s="5" t="s">
        <v>435</v>
      </c>
      <c r="D109" s="4" t="s">
        <v>18</v>
      </c>
      <c r="E109" s="4" t="s">
        <v>167</v>
      </c>
      <c r="F109" s="4" t="s">
        <v>138</v>
      </c>
      <c r="G109" s="4" t="s">
        <v>436</v>
      </c>
      <c r="H109" s="4" t="s">
        <v>436</v>
      </c>
      <c r="I109" s="5" t="s">
        <v>141</v>
      </c>
      <c r="J109" s="4"/>
      <c r="K109" s="5" t="s">
        <v>142</v>
      </c>
      <c r="L109" s="4"/>
      <c r="M109" s="5" t="s">
        <v>142</v>
      </c>
      <c r="N109" s="4"/>
      <c r="O109" s="5" t="s">
        <v>142</v>
      </c>
      <c r="P109" s="4" t="s">
        <v>349</v>
      </c>
      <c r="Q109" s="5" t="s">
        <v>141</v>
      </c>
      <c r="R109" s="5" t="n">
        <v>0</v>
      </c>
      <c r="S109" s="5" t="s">
        <v>142</v>
      </c>
      <c r="T109" s="4"/>
      <c r="U109" s="5" t="s">
        <v>142</v>
      </c>
      <c r="V109" s="5" t="n">
        <v>0</v>
      </c>
      <c r="W109" s="5" t="s">
        <v>142</v>
      </c>
      <c r="X109" s="5" t="n">
        <v>6</v>
      </c>
      <c r="Y109" s="4" t="s">
        <v>268</v>
      </c>
    </row>
    <row r="110" customFormat="false" ht="23.85" hidden="false" customHeight="false" outlineLevel="0" collapsed="false">
      <c r="A110" s="5" t="n">
        <v>41739</v>
      </c>
      <c r="B110" s="5" t="s">
        <v>64</v>
      </c>
      <c r="C110" s="5" t="s">
        <v>437</v>
      </c>
      <c r="D110" s="4" t="s">
        <v>18</v>
      </c>
      <c r="E110" s="4" t="s">
        <v>167</v>
      </c>
      <c r="F110" s="4" t="s">
        <v>138</v>
      </c>
      <c r="G110" s="4" t="s">
        <v>438</v>
      </c>
      <c r="H110" s="4" t="s">
        <v>439</v>
      </c>
      <c r="I110" s="5" t="s">
        <v>141</v>
      </c>
      <c r="J110" s="4"/>
      <c r="K110" s="5" t="s">
        <v>142</v>
      </c>
      <c r="L110" s="4"/>
      <c r="M110" s="5" t="s">
        <v>142</v>
      </c>
      <c r="N110" s="4"/>
      <c r="O110" s="5" t="s">
        <v>142</v>
      </c>
      <c r="P110" s="4" t="s">
        <v>329</v>
      </c>
      <c r="Q110" s="5" t="s">
        <v>141</v>
      </c>
      <c r="R110" s="5" t="n">
        <v>0</v>
      </c>
      <c r="S110" s="5" t="s">
        <v>142</v>
      </c>
      <c r="T110" s="4"/>
      <c r="U110" s="5" t="s">
        <v>142</v>
      </c>
      <c r="V110" s="5" t="n">
        <v>0</v>
      </c>
      <c r="W110" s="5" t="s">
        <v>142</v>
      </c>
      <c r="X110" s="5" t="n">
        <v>6</v>
      </c>
      <c r="Y110" s="4" t="s">
        <v>268</v>
      </c>
    </row>
    <row r="111" customFormat="false" ht="35.05" hidden="false" customHeight="false" outlineLevel="0" collapsed="false">
      <c r="A111" s="5" t="n">
        <v>41740</v>
      </c>
      <c r="B111" s="5" t="s">
        <v>64</v>
      </c>
      <c r="C111" s="5" t="s">
        <v>440</v>
      </c>
      <c r="D111" s="4" t="s">
        <v>28</v>
      </c>
      <c r="E111" s="4" t="s">
        <v>137</v>
      </c>
      <c r="F111" s="4" t="s">
        <v>138</v>
      </c>
      <c r="G111" s="4" t="s">
        <v>441</v>
      </c>
      <c r="H111" s="4"/>
      <c r="I111" s="5" t="s">
        <v>142</v>
      </c>
      <c r="J111" s="4"/>
      <c r="K111" s="5" t="s">
        <v>142</v>
      </c>
      <c r="L111" s="4"/>
      <c r="M111" s="5" t="s">
        <v>142</v>
      </c>
      <c r="N111" s="4"/>
      <c r="O111" s="5" t="s">
        <v>142</v>
      </c>
      <c r="P111" s="4"/>
      <c r="Q111" s="5" t="s">
        <v>142</v>
      </c>
      <c r="R111" s="5" t="n">
        <v>0</v>
      </c>
      <c r="S111" s="5" t="s">
        <v>142</v>
      </c>
      <c r="T111" s="4"/>
      <c r="U111" s="5" t="s">
        <v>142</v>
      </c>
      <c r="V111" s="5" t="n">
        <v>0</v>
      </c>
      <c r="W111" s="5" t="s">
        <v>142</v>
      </c>
      <c r="X111" s="5" t="n">
        <v>8</v>
      </c>
      <c r="Y111" s="4" t="s">
        <v>173</v>
      </c>
    </row>
    <row r="112" customFormat="false" ht="35.05" hidden="false" customHeight="false" outlineLevel="0" collapsed="false">
      <c r="A112" s="5" t="n">
        <v>41881</v>
      </c>
      <c r="B112" s="5" t="s">
        <v>65</v>
      </c>
      <c r="C112" s="5" t="s">
        <v>442</v>
      </c>
      <c r="D112" s="4" t="s">
        <v>30</v>
      </c>
      <c r="E112" s="4" t="s">
        <v>137</v>
      </c>
      <c r="F112" s="4" t="s">
        <v>138</v>
      </c>
      <c r="G112" s="4" t="s">
        <v>443</v>
      </c>
      <c r="H112" s="4"/>
      <c r="I112" s="5" t="s">
        <v>142</v>
      </c>
      <c r="J112" s="4"/>
      <c r="K112" s="5" t="s">
        <v>142</v>
      </c>
      <c r="L112" s="4"/>
      <c r="M112" s="5" t="s">
        <v>142</v>
      </c>
      <c r="N112" s="4"/>
      <c r="O112" s="5" t="s">
        <v>142</v>
      </c>
      <c r="P112" s="4"/>
      <c r="Q112" s="5" t="s">
        <v>142</v>
      </c>
      <c r="R112" s="5" t="n">
        <v>0</v>
      </c>
      <c r="S112" s="5" t="s">
        <v>142</v>
      </c>
      <c r="T112" s="4"/>
      <c r="U112" s="5" t="s">
        <v>142</v>
      </c>
      <c r="V112" s="5" t="n">
        <v>0</v>
      </c>
      <c r="W112" s="5" t="s">
        <v>142</v>
      </c>
      <c r="X112" s="5" t="n">
        <v>8</v>
      </c>
      <c r="Y112" s="4" t="s">
        <v>173</v>
      </c>
    </row>
    <row r="113" customFormat="false" ht="35.05" hidden="false" customHeight="false" outlineLevel="0" collapsed="false">
      <c r="A113" s="5" t="n">
        <v>41882</v>
      </c>
      <c r="B113" s="5" t="s">
        <v>65</v>
      </c>
      <c r="C113" s="5" t="s">
        <v>254</v>
      </c>
      <c r="D113" s="4" t="s">
        <v>30</v>
      </c>
      <c r="E113" s="4" t="s">
        <v>137</v>
      </c>
      <c r="F113" s="4" t="s">
        <v>138</v>
      </c>
      <c r="G113" s="4" t="s">
        <v>444</v>
      </c>
      <c r="H113" s="4"/>
      <c r="I113" s="5" t="s">
        <v>142</v>
      </c>
      <c r="J113" s="4"/>
      <c r="K113" s="5" t="s">
        <v>142</v>
      </c>
      <c r="L113" s="4"/>
      <c r="M113" s="5" t="s">
        <v>142</v>
      </c>
      <c r="N113" s="4"/>
      <c r="O113" s="5" t="s">
        <v>142</v>
      </c>
      <c r="P113" s="4"/>
      <c r="Q113" s="5" t="s">
        <v>142</v>
      </c>
      <c r="R113" s="5" t="n">
        <v>0</v>
      </c>
      <c r="S113" s="5" t="s">
        <v>142</v>
      </c>
      <c r="T113" s="4"/>
      <c r="U113" s="5" t="s">
        <v>142</v>
      </c>
      <c r="V113" s="5" t="n">
        <v>0</v>
      </c>
      <c r="W113" s="5" t="s">
        <v>142</v>
      </c>
      <c r="X113" s="5" t="n">
        <v>8</v>
      </c>
      <c r="Y113" s="4" t="s">
        <v>173</v>
      </c>
    </row>
    <row r="114" customFormat="false" ht="35.05" hidden="false" customHeight="false" outlineLevel="0" collapsed="false">
      <c r="A114" s="5" t="n">
        <v>41883</v>
      </c>
      <c r="B114" s="5" t="s">
        <v>65</v>
      </c>
      <c r="C114" s="5" t="s">
        <v>445</v>
      </c>
      <c r="D114" s="4" t="s">
        <v>30</v>
      </c>
      <c r="E114" s="4" t="s">
        <v>137</v>
      </c>
      <c r="F114" s="4" t="s">
        <v>138</v>
      </c>
      <c r="G114" s="4" t="s">
        <v>446</v>
      </c>
      <c r="H114" s="4"/>
      <c r="I114" s="5" t="s">
        <v>142</v>
      </c>
      <c r="J114" s="4"/>
      <c r="K114" s="5" t="s">
        <v>142</v>
      </c>
      <c r="L114" s="4"/>
      <c r="M114" s="5" t="s">
        <v>142</v>
      </c>
      <c r="N114" s="4"/>
      <c r="O114" s="5" t="s">
        <v>142</v>
      </c>
      <c r="P114" s="4"/>
      <c r="Q114" s="5" t="s">
        <v>142</v>
      </c>
      <c r="R114" s="5" t="n">
        <v>0</v>
      </c>
      <c r="S114" s="5" t="s">
        <v>142</v>
      </c>
      <c r="T114" s="4"/>
      <c r="U114" s="5" t="s">
        <v>142</v>
      </c>
      <c r="V114" s="5" t="n">
        <v>0</v>
      </c>
      <c r="W114" s="5" t="s">
        <v>142</v>
      </c>
      <c r="X114" s="5" t="n">
        <v>8</v>
      </c>
      <c r="Y114" s="4" t="s">
        <v>173</v>
      </c>
    </row>
    <row r="115" customFormat="false" ht="35.05" hidden="false" customHeight="false" outlineLevel="0" collapsed="false">
      <c r="A115" s="5" t="n">
        <v>41884</v>
      </c>
      <c r="B115" s="5" t="s">
        <v>65</v>
      </c>
      <c r="C115" s="5" t="s">
        <v>256</v>
      </c>
      <c r="D115" s="4" t="s">
        <v>30</v>
      </c>
      <c r="E115" s="4" t="s">
        <v>137</v>
      </c>
      <c r="F115" s="4" t="s">
        <v>138</v>
      </c>
      <c r="G115" s="4" t="s">
        <v>447</v>
      </c>
      <c r="H115" s="4"/>
      <c r="I115" s="5" t="s">
        <v>142</v>
      </c>
      <c r="J115" s="4"/>
      <c r="K115" s="5" t="s">
        <v>142</v>
      </c>
      <c r="L115" s="4"/>
      <c r="M115" s="5" t="s">
        <v>142</v>
      </c>
      <c r="N115" s="4"/>
      <c r="O115" s="5" t="s">
        <v>142</v>
      </c>
      <c r="P115" s="4"/>
      <c r="Q115" s="5" t="s">
        <v>142</v>
      </c>
      <c r="R115" s="5" t="n">
        <v>0</v>
      </c>
      <c r="S115" s="5" t="s">
        <v>142</v>
      </c>
      <c r="T115" s="4"/>
      <c r="U115" s="5" t="s">
        <v>142</v>
      </c>
      <c r="V115" s="5" t="n">
        <v>0</v>
      </c>
      <c r="W115" s="5" t="s">
        <v>142</v>
      </c>
      <c r="X115" s="5" t="n">
        <v>8</v>
      </c>
      <c r="Y115" s="4" t="s">
        <v>173</v>
      </c>
    </row>
    <row r="116" customFormat="false" ht="35.05" hidden="false" customHeight="false" outlineLevel="0" collapsed="false">
      <c r="A116" s="5" t="n">
        <v>41885</v>
      </c>
      <c r="B116" s="5" t="s">
        <v>65</v>
      </c>
      <c r="C116" s="5" t="s">
        <v>448</v>
      </c>
      <c r="D116" s="4" t="s">
        <v>30</v>
      </c>
      <c r="E116" s="4" t="s">
        <v>137</v>
      </c>
      <c r="F116" s="4" t="s">
        <v>138</v>
      </c>
      <c r="G116" s="4" t="s">
        <v>449</v>
      </c>
      <c r="H116" s="4"/>
      <c r="I116" s="5" t="s">
        <v>142</v>
      </c>
      <c r="J116" s="4"/>
      <c r="K116" s="5" t="s">
        <v>142</v>
      </c>
      <c r="L116" s="4"/>
      <c r="M116" s="5" t="s">
        <v>142</v>
      </c>
      <c r="N116" s="4"/>
      <c r="O116" s="5" t="s">
        <v>142</v>
      </c>
      <c r="P116" s="4"/>
      <c r="Q116" s="5" t="s">
        <v>142</v>
      </c>
      <c r="R116" s="5" t="n">
        <v>0</v>
      </c>
      <c r="S116" s="5" t="s">
        <v>142</v>
      </c>
      <c r="T116" s="4"/>
      <c r="U116" s="5" t="s">
        <v>142</v>
      </c>
      <c r="V116" s="5" t="n">
        <v>0</v>
      </c>
      <c r="W116" s="5" t="s">
        <v>142</v>
      </c>
      <c r="X116" s="5" t="n">
        <v>8</v>
      </c>
      <c r="Y116" s="4" t="s">
        <v>173</v>
      </c>
    </row>
    <row r="117" customFormat="false" ht="35.05" hidden="false" customHeight="false" outlineLevel="0" collapsed="false">
      <c r="A117" s="5" t="n">
        <v>41886</v>
      </c>
      <c r="B117" s="5" t="s">
        <v>65</v>
      </c>
      <c r="C117" s="5" t="s">
        <v>450</v>
      </c>
      <c r="D117" s="4" t="s">
        <v>30</v>
      </c>
      <c r="E117" s="4" t="s">
        <v>137</v>
      </c>
      <c r="F117" s="4" t="s">
        <v>138</v>
      </c>
      <c r="G117" s="4" t="s">
        <v>451</v>
      </c>
      <c r="H117" s="4"/>
      <c r="I117" s="5" t="s">
        <v>142</v>
      </c>
      <c r="J117" s="4"/>
      <c r="K117" s="5" t="s">
        <v>142</v>
      </c>
      <c r="L117" s="4"/>
      <c r="M117" s="5" t="s">
        <v>142</v>
      </c>
      <c r="N117" s="4"/>
      <c r="O117" s="5" t="s">
        <v>142</v>
      </c>
      <c r="P117" s="4"/>
      <c r="Q117" s="5" t="s">
        <v>142</v>
      </c>
      <c r="R117" s="5" t="n">
        <v>0</v>
      </c>
      <c r="S117" s="5" t="s">
        <v>142</v>
      </c>
      <c r="T117" s="4"/>
      <c r="U117" s="5" t="s">
        <v>142</v>
      </c>
      <c r="V117" s="5" t="n">
        <v>0</v>
      </c>
      <c r="W117" s="5" t="s">
        <v>142</v>
      </c>
      <c r="X117" s="5" t="n">
        <v>8</v>
      </c>
      <c r="Y117" s="4" t="s">
        <v>173</v>
      </c>
    </row>
    <row r="118" customFormat="false" ht="35.05" hidden="false" customHeight="false" outlineLevel="0" collapsed="false">
      <c r="A118" s="5" t="n">
        <v>41887</v>
      </c>
      <c r="B118" s="5" t="s">
        <v>65</v>
      </c>
      <c r="C118" s="5" t="s">
        <v>452</v>
      </c>
      <c r="D118" s="4" t="s">
        <v>30</v>
      </c>
      <c r="E118" s="4" t="s">
        <v>137</v>
      </c>
      <c r="F118" s="4" t="s">
        <v>138</v>
      </c>
      <c r="G118" s="4" t="s">
        <v>453</v>
      </c>
      <c r="H118" s="4"/>
      <c r="I118" s="5" t="s">
        <v>142</v>
      </c>
      <c r="J118" s="4"/>
      <c r="K118" s="5" t="s">
        <v>142</v>
      </c>
      <c r="L118" s="4"/>
      <c r="M118" s="5" t="s">
        <v>142</v>
      </c>
      <c r="N118" s="4"/>
      <c r="O118" s="5" t="s">
        <v>142</v>
      </c>
      <c r="P118" s="4"/>
      <c r="Q118" s="5" t="s">
        <v>142</v>
      </c>
      <c r="R118" s="5" t="n">
        <v>0</v>
      </c>
      <c r="S118" s="5" t="s">
        <v>142</v>
      </c>
      <c r="T118" s="4"/>
      <c r="U118" s="5" t="s">
        <v>142</v>
      </c>
      <c r="V118" s="5" t="n">
        <v>0</v>
      </c>
      <c r="W118" s="5" t="s">
        <v>142</v>
      </c>
      <c r="X118" s="5" t="n">
        <v>8</v>
      </c>
      <c r="Y118" s="4" t="s">
        <v>173</v>
      </c>
    </row>
    <row r="119" customFormat="false" ht="35.05" hidden="false" customHeight="false" outlineLevel="0" collapsed="false">
      <c r="A119" s="5" t="n">
        <v>41888</v>
      </c>
      <c r="B119" s="5" t="s">
        <v>65</v>
      </c>
      <c r="C119" s="5" t="s">
        <v>454</v>
      </c>
      <c r="D119" s="4" t="s">
        <v>30</v>
      </c>
      <c r="E119" s="4" t="s">
        <v>137</v>
      </c>
      <c r="F119" s="4" t="s">
        <v>138</v>
      </c>
      <c r="G119" s="4" t="s">
        <v>383</v>
      </c>
      <c r="H119" s="4"/>
      <c r="I119" s="5" t="s">
        <v>142</v>
      </c>
      <c r="J119" s="4"/>
      <c r="K119" s="5" t="s">
        <v>142</v>
      </c>
      <c r="L119" s="4"/>
      <c r="M119" s="5" t="s">
        <v>142</v>
      </c>
      <c r="N119" s="4"/>
      <c r="O119" s="5" t="s">
        <v>142</v>
      </c>
      <c r="P119" s="4"/>
      <c r="Q119" s="5" t="s">
        <v>142</v>
      </c>
      <c r="R119" s="5" t="n">
        <v>0</v>
      </c>
      <c r="S119" s="5" t="s">
        <v>142</v>
      </c>
      <c r="T119" s="4"/>
      <c r="U119" s="5" t="s">
        <v>142</v>
      </c>
      <c r="V119" s="5" t="n">
        <v>0</v>
      </c>
      <c r="W119" s="5" t="s">
        <v>142</v>
      </c>
      <c r="X119" s="5" t="n">
        <v>8</v>
      </c>
      <c r="Y119" s="4" t="s">
        <v>173</v>
      </c>
    </row>
    <row r="120" customFormat="false" ht="35.05" hidden="false" customHeight="false" outlineLevel="0" collapsed="false">
      <c r="A120" s="5" t="n">
        <v>41898</v>
      </c>
      <c r="B120" s="5" t="s">
        <v>65</v>
      </c>
      <c r="C120" s="5" t="s">
        <v>455</v>
      </c>
      <c r="D120" s="4" t="s">
        <v>28</v>
      </c>
      <c r="E120" s="4" t="s">
        <v>137</v>
      </c>
      <c r="F120" s="4" t="s">
        <v>138</v>
      </c>
      <c r="G120" s="4" t="s">
        <v>456</v>
      </c>
      <c r="H120" s="4"/>
      <c r="I120" s="5" t="s">
        <v>142</v>
      </c>
      <c r="J120" s="4"/>
      <c r="K120" s="5" t="s">
        <v>142</v>
      </c>
      <c r="L120" s="4"/>
      <c r="M120" s="5" t="s">
        <v>142</v>
      </c>
      <c r="N120" s="4"/>
      <c r="O120" s="5" t="s">
        <v>142</v>
      </c>
      <c r="P120" s="4"/>
      <c r="Q120" s="5" t="s">
        <v>142</v>
      </c>
      <c r="R120" s="5" t="n">
        <v>0</v>
      </c>
      <c r="S120" s="5" t="s">
        <v>142</v>
      </c>
      <c r="T120" s="4"/>
      <c r="U120" s="5" t="s">
        <v>142</v>
      </c>
      <c r="V120" s="5" t="n">
        <v>0</v>
      </c>
      <c r="W120" s="5" t="s">
        <v>142</v>
      </c>
      <c r="X120" s="5" t="n">
        <v>8</v>
      </c>
      <c r="Y120" s="4" t="s">
        <v>173</v>
      </c>
    </row>
    <row r="121" customFormat="false" ht="23.85" hidden="false" customHeight="false" outlineLevel="0" collapsed="false">
      <c r="A121" s="5" t="n">
        <v>41901</v>
      </c>
      <c r="B121" s="5" t="s">
        <v>65</v>
      </c>
      <c r="C121" s="5" t="s">
        <v>457</v>
      </c>
      <c r="D121" s="4" t="s">
        <v>18</v>
      </c>
      <c r="E121" s="4" t="s">
        <v>167</v>
      </c>
      <c r="F121" s="4" t="s">
        <v>138</v>
      </c>
      <c r="G121" s="4" t="s">
        <v>458</v>
      </c>
      <c r="H121" s="4" t="s">
        <v>459</v>
      </c>
      <c r="I121" s="5" t="s">
        <v>141</v>
      </c>
      <c r="J121" s="4"/>
      <c r="K121" s="5" t="s">
        <v>142</v>
      </c>
      <c r="L121" s="4" t="s">
        <v>460</v>
      </c>
      <c r="M121" s="5" t="s">
        <v>141</v>
      </c>
      <c r="N121" s="4"/>
      <c r="O121" s="5" t="s">
        <v>142</v>
      </c>
      <c r="P121" s="4" t="s">
        <v>353</v>
      </c>
      <c r="Q121" s="5" t="s">
        <v>141</v>
      </c>
      <c r="R121" s="5" t="n">
        <v>0</v>
      </c>
      <c r="S121" s="5" t="s">
        <v>142</v>
      </c>
      <c r="T121" s="4"/>
      <c r="U121" s="5" t="s">
        <v>142</v>
      </c>
      <c r="V121" s="5" t="n">
        <v>0</v>
      </c>
      <c r="W121" s="5" t="s">
        <v>142</v>
      </c>
      <c r="X121" s="5" t="n">
        <v>5</v>
      </c>
      <c r="Y121" s="4" t="s">
        <v>354</v>
      </c>
    </row>
    <row r="122" customFormat="false" ht="23.85" hidden="false" customHeight="false" outlineLevel="0" collapsed="false">
      <c r="A122" s="5" t="n">
        <v>41902</v>
      </c>
      <c r="B122" s="5" t="s">
        <v>65</v>
      </c>
      <c r="C122" s="5" t="s">
        <v>461</v>
      </c>
      <c r="D122" s="4" t="s">
        <v>18</v>
      </c>
      <c r="E122" s="4" t="s">
        <v>167</v>
      </c>
      <c r="F122" s="4" t="s">
        <v>138</v>
      </c>
      <c r="G122" s="4" t="s">
        <v>462</v>
      </c>
      <c r="H122" s="4" t="s">
        <v>462</v>
      </c>
      <c r="I122" s="5" t="s">
        <v>141</v>
      </c>
      <c r="J122" s="4"/>
      <c r="K122" s="5" t="s">
        <v>142</v>
      </c>
      <c r="L122" s="4" t="s">
        <v>463</v>
      </c>
      <c r="M122" s="5" t="s">
        <v>141</v>
      </c>
      <c r="N122" s="4"/>
      <c r="O122" s="5" t="s">
        <v>142</v>
      </c>
      <c r="P122" s="4" t="s">
        <v>353</v>
      </c>
      <c r="Q122" s="5" t="s">
        <v>141</v>
      </c>
      <c r="R122" s="5" t="n">
        <v>0</v>
      </c>
      <c r="S122" s="5" t="s">
        <v>142</v>
      </c>
      <c r="T122" s="4"/>
      <c r="U122" s="5" t="s">
        <v>142</v>
      </c>
      <c r="V122" s="5" t="n">
        <v>0</v>
      </c>
      <c r="W122" s="5" t="s">
        <v>142</v>
      </c>
      <c r="X122" s="5" t="n">
        <v>5</v>
      </c>
      <c r="Y122" s="4" t="s">
        <v>354</v>
      </c>
    </row>
    <row r="123" customFormat="false" ht="23.85" hidden="false" customHeight="false" outlineLevel="0" collapsed="false">
      <c r="A123" s="5" t="n">
        <v>41903</v>
      </c>
      <c r="B123" s="5" t="s">
        <v>65</v>
      </c>
      <c r="C123" s="5" t="s">
        <v>464</v>
      </c>
      <c r="D123" s="4" t="s">
        <v>18</v>
      </c>
      <c r="E123" s="4" t="s">
        <v>167</v>
      </c>
      <c r="F123" s="4" t="s">
        <v>138</v>
      </c>
      <c r="G123" s="4" t="s">
        <v>465</v>
      </c>
      <c r="H123" s="4" t="s">
        <v>465</v>
      </c>
      <c r="I123" s="5" t="s">
        <v>141</v>
      </c>
      <c r="J123" s="4"/>
      <c r="K123" s="5" t="s">
        <v>142</v>
      </c>
      <c r="L123" s="4"/>
      <c r="M123" s="5" t="s">
        <v>142</v>
      </c>
      <c r="N123" s="4"/>
      <c r="O123" s="5" t="s">
        <v>142</v>
      </c>
      <c r="P123" s="4"/>
      <c r="Q123" s="5" t="s">
        <v>142</v>
      </c>
      <c r="R123" s="5" t="n">
        <v>0</v>
      </c>
      <c r="S123" s="5" t="s">
        <v>142</v>
      </c>
      <c r="T123" s="4"/>
      <c r="U123" s="5" t="s">
        <v>142</v>
      </c>
      <c r="V123" s="5" t="n">
        <v>0</v>
      </c>
      <c r="W123" s="5" t="s">
        <v>142</v>
      </c>
      <c r="X123" s="5" t="n">
        <v>7</v>
      </c>
      <c r="Y123" s="4" t="s">
        <v>143</v>
      </c>
    </row>
    <row r="124" customFormat="false" ht="23.85" hidden="false" customHeight="false" outlineLevel="0" collapsed="false">
      <c r="A124" s="5" t="n">
        <v>41904</v>
      </c>
      <c r="B124" s="5" t="s">
        <v>65</v>
      </c>
      <c r="C124" s="5" t="s">
        <v>466</v>
      </c>
      <c r="D124" s="4" t="s">
        <v>18</v>
      </c>
      <c r="E124" s="4" t="s">
        <v>167</v>
      </c>
      <c r="F124" s="4" t="s">
        <v>138</v>
      </c>
      <c r="G124" s="4" t="s">
        <v>467</v>
      </c>
      <c r="H124" s="4" t="s">
        <v>467</v>
      </c>
      <c r="I124" s="5" t="s">
        <v>141</v>
      </c>
      <c r="J124" s="4"/>
      <c r="K124" s="5" t="s">
        <v>142</v>
      </c>
      <c r="L124" s="4" t="s">
        <v>468</v>
      </c>
      <c r="M124" s="5" t="s">
        <v>141</v>
      </c>
      <c r="N124" s="4" t="s">
        <v>469</v>
      </c>
      <c r="O124" s="5" t="s">
        <v>141</v>
      </c>
      <c r="P124" s="4" t="s">
        <v>349</v>
      </c>
      <c r="Q124" s="5" t="s">
        <v>141</v>
      </c>
      <c r="R124" s="5" t="n">
        <v>0</v>
      </c>
      <c r="S124" s="5" t="s">
        <v>142</v>
      </c>
      <c r="T124" s="4"/>
      <c r="U124" s="5" t="s">
        <v>142</v>
      </c>
      <c r="V124" s="5" t="n">
        <v>0</v>
      </c>
      <c r="W124" s="5" t="s">
        <v>142</v>
      </c>
      <c r="X124" s="5" t="n">
        <v>4</v>
      </c>
      <c r="Y124" s="4" t="s">
        <v>470</v>
      </c>
    </row>
    <row r="125" customFormat="false" ht="23.85" hidden="false" customHeight="false" outlineLevel="0" collapsed="false">
      <c r="A125" s="5" t="n">
        <v>41905</v>
      </c>
      <c r="B125" s="5" t="s">
        <v>66</v>
      </c>
      <c r="C125" s="5" t="s">
        <v>471</v>
      </c>
      <c r="D125" s="4" t="s">
        <v>26</v>
      </c>
      <c r="E125" s="4" t="s">
        <v>167</v>
      </c>
      <c r="F125" s="4" t="s">
        <v>138</v>
      </c>
      <c r="G125" s="4" t="s">
        <v>472</v>
      </c>
      <c r="H125" s="4" t="s">
        <v>472</v>
      </c>
      <c r="I125" s="5" t="s">
        <v>141</v>
      </c>
      <c r="J125" s="4"/>
      <c r="K125" s="5" t="s">
        <v>142</v>
      </c>
      <c r="L125" s="4"/>
      <c r="M125" s="5" t="s">
        <v>142</v>
      </c>
      <c r="N125" s="4"/>
      <c r="O125" s="5" t="s">
        <v>142</v>
      </c>
      <c r="P125" s="4"/>
      <c r="Q125" s="5" t="s">
        <v>142</v>
      </c>
      <c r="R125" s="5" t="n">
        <v>0</v>
      </c>
      <c r="S125" s="5" t="s">
        <v>142</v>
      </c>
      <c r="T125" s="4"/>
      <c r="U125" s="5" t="s">
        <v>142</v>
      </c>
      <c r="V125" s="5" t="n">
        <v>0</v>
      </c>
      <c r="W125" s="5" t="s">
        <v>142</v>
      </c>
      <c r="X125" s="5" t="n">
        <v>7</v>
      </c>
      <c r="Y125" s="4" t="s">
        <v>143</v>
      </c>
    </row>
    <row r="126" customFormat="false" ht="23.85" hidden="false" customHeight="false" outlineLevel="0" collapsed="false">
      <c r="A126" s="5" t="n">
        <v>41907</v>
      </c>
      <c r="B126" s="5" t="s">
        <v>66</v>
      </c>
      <c r="C126" s="5" t="s">
        <v>473</v>
      </c>
      <c r="D126" s="4" t="s">
        <v>20</v>
      </c>
      <c r="E126" s="4" t="s">
        <v>167</v>
      </c>
      <c r="F126" s="4" t="s">
        <v>474</v>
      </c>
      <c r="G126" s="4" t="s">
        <v>475</v>
      </c>
      <c r="H126" s="4"/>
      <c r="I126" s="5" t="s">
        <v>142</v>
      </c>
      <c r="J126" s="4" t="s">
        <v>476</v>
      </c>
      <c r="K126" s="5" t="s">
        <v>141</v>
      </c>
      <c r="L126" s="4" t="s">
        <v>477</v>
      </c>
      <c r="M126" s="5" t="s">
        <v>141</v>
      </c>
      <c r="N126" s="4" t="s">
        <v>478</v>
      </c>
      <c r="O126" s="5" t="s">
        <v>141</v>
      </c>
      <c r="P126" s="4"/>
      <c r="Q126" s="5" t="s">
        <v>142</v>
      </c>
      <c r="R126" s="5" t="n">
        <v>0</v>
      </c>
      <c r="S126" s="5" t="s">
        <v>142</v>
      </c>
      <c r="T126" s="4"/>
      <c r="U126" s="5" t="s">
        <v>142</v>
      </c>
      <c r="V126" s="5" t="n">
        <v>0</v>
      </c>
      <c r="W126" s="5" t="s">
        <v>142</v>
      </c>
      <c r="X126" s="5" t="n">
        <v>5</v>
      </c>
      <c r="Y126" s="4" t="s">
        <v>479</v>
      </c>
    </row>
    <row r="127" customFormat="false" ht="23.85" hidden="false" customHeight="false" outlineLevel="0" collapsed="false">
      <c r="A127" s="5" t="n">
        <v>41910</v>
      </c>
      <c r="B127" s="5" t="s">
        <v>66</v>
      </c>
      <c r="C127" s="5" t="s">
        <v>480</v>
      </c>
      <c r="D127" s="4" t="s">
        <v>22</v>
      </c>
      <c r="E127" s="4" t="s">
        <v>160</v>
      </c>
      <c r="F127" s="4" t="s">
        <v>161</v>
      </c>
      <c r="G127" s="4" t="s">
        <v>481</v>
      </c>
      <c r="H127" s="4" t="s">
        <v>482</v>
      </c>
      <c r="I127" s="5" t="s">
        <v>141</v>
      </c>
      <c r="J127" s="4"/>
      <c r="K127" s="5" t="s">
        <v>142</v>
      </c>
      <c r="L127" s="4"/>
      <c r="M127" s="5" t="s">
        <v>142</v>
      </c>
      <c r="N127" s="4" t="s">
        <v>483</v>
      </c>
      <c r="O127" s="5" t="s">
        <v>141</v>
      </c>
      <c r="P127" s="4"/>
      <c r="Q127" s="5" t="s">
        <v>142</v>
      </c>
      <c r="R127" s="5" t="n">
        <v>0</v>
      </c>
      <c r="S127" s="5" t="s">
        <v>142</v>
      </c>
      <c r="T127" s="4"/>
      <c r="U127" s="5" t="s">
        <v>142</v>
      </c>
      <c r="V127" s="5" t="n">
        <v>0</v>
      </c>
      <c r="W127" s="5" t="s">
        <v>142</v>
      </c>
      <c r="X127" s="5" t="n">
        <v>6</v>
      </c>
      <c r="Y127" s="4" t="s">
        <v>165</v>
      </c>
    </row>
    <row r="128" customFormat="false" ht="23.85" hidden="false" customHeight="false" outlineLevel="0" collapsed="false">
      <c r="A128" s="5" t="n">
        <v>41911</v>
      </c>
      <c r="B128" s="5" t="s">
        <v>66</v>
      </c>
      <c r="C128" s="5" t="s">
        <v>484</v>
      </c>
      <c r="D128" s="4" t="s">
        <v>22</v>
      </c>
      <c r="E128" s="4" t="s">
        <v>160</v>
      </c>
      <c r="F128" s="4" t="s">
        <v>161</v>
      </c>
      <c r="G128" s="4" t="s">
        <v>485</v>
      </c>
      <c r="H128" s="4" t="s">
        <v>486</v>
      </c>
      <c r="I128" s="5" t="s">
        <v>141</v>
      </c>
      <c r="J128" s="4"/>
      <c r="K128" s="5" t="s">
        <v>142</v>
      </c>
      <c r="L128" s="4" t="s">
        <v>487</v>
      </c>
      <c r="M128" s="5" t="s">
        <v>141</v>
      </c>
      <c r="N128" s="4"/>
      <c r="O128" s="5" t="s">
        <v>142</v>
      </c>
      <c r="P128" s="4"/>
      <c r="Q128" s="5" t="s">
        <v>142</v>
      </c>
      <c r="R128" s="5" t="n">
        <v>0</v>
      </c>
      <c r="S128" s="5" t="s">
        <v>142</v>
      </c>
      <c r="T128" s="4"/>
      <c r="U128" s="5" t="s">
        <v>142</v>
      </c>
      <c r="V128" s="5" t="n">
        <v>0</v>
      </c>
      <c r="W128" s="5" t="s">
        <v>142</v>
      </c>
      <c r="X128" s="5" t="n">
        <v>6</v>
      </c>
      <c r="Y128" s="4" t="s">
        <v>171</v>
      </c>
    </row>
    <row r="129" customFormat="false" ht="23.85" hidden="false" customHeight="false" outlineLevel="0" collapsed="false">
      <c r="A129" s="5" t="n">
        <v>41912</v>
      </c>
      <c r="B129" s="5" t="s">
        <v>66</v>
      </c>
      <c r="C129" s="5" t="s">
        <v>488</v>
      </c>
      <c r="D129" s="4" t="s">
        <v>22</v>
      </c>
      <c r="E129" s="4" t="s">
        <v>160</v>
      </c>
      <c r="F129" s="4" t="s">
        <v>161</v>
      </c>
      <c r="G129" s="4" t="s">
        <v>489</v>
      </c>
      <c r="H129" s="4" t="s">
        <v>490</v>
      </c>
      <c r="I129" s="5" t="s">
        <v>141</v>
      </c>
      <c r="J129" s="4"/>
      <c r="K129" s="5" t="s">
        <v>142</v>
      </c>
      <c r="L129" s="4"/>
      <c r="M129" s="5" t="s">
        <v>142</v>
      </c>
      <c r="N129" s="4" t="s">
        <v>491</v>
      </c>
      <c r="O129" s="5" t="s">
        <v>141</v>
      </c>
      <c r="P129" s="4"/>
      <c r="Q129" s="5" t="s">
        <v>142</v>
      </c>
      <c r="R129" s="5" t="n">
        <v>0</v>
      </c>
      <c r="S129" s="5" t="s">
        <v>142</v>
      </c>
      <c r="T129" s="4"/>
      <c r="U129" s="5" t="s">
        <v>142</v>
      </c>
      <c r="V129" s="5" t="n">
        <v>0</v>
      </c>
      <c r="W129" s="5" t="s">
        <v>142</v>
      </c>
      <c r="X129" s="5" t="n">
        <v>6</v>
      </c>
      <c r="Y129" s="4" t="s">
        <v>165</v>
      </c>
    </row>
    <row r="130" customFormat="false" ht="23.85" hidden="false" customHeight="false" outlineLevel="0" collapsed="false">
      <c r="A130" s="5" t="n">
        <v>41913</v>
      </c>
      <c r="B130" s="5" t="s">
        <v>66</v>
      </c>
      <c r="C130" s="5" t="s">
        <v>492</v>
      </c>
      <c r="D130" s="4" t="s">
        <v>22</v>
      </c>
      <c r="E130" s="4" t="s">
        <v>160</v>
      </c>
      <c r="F130" s="4" t="s">
        <v>161</v>
      </c>
      <c r="G130" s="4" t="s">
        <v>493</v>
      </c>
      <c r="H130" s="4" t="s">
        <v>494</v>
      </c>
      <c r="I130" s="5" t="s">
        <v>141</v>
      </c>
      <c r="J130" s="4"/>
      <c r="K130" s="5" t="s">
        <v>142</v>
      </c>
      <c r="L130" s="4" t="s">
        <v>495</v>
      </c>
      <c r="M130" s="5" t="s">
        <v>141</v>
      </c>
      <c r="N130" s="4"/>
      <c r="O130" s="5" t="s">
        <v>142</v>
      </c>
      <c r="P130" s="4"/>
      <c r="Q130" s="5" t="s">
        <v>142</v>
      </c>
      <c r="R130" s="5" t="n">
        <v>0</v>
      </c>
      <c r="S130" s="5" t="s">
        <v>142</v>
      </c>
      <c r="T130" s="4"/>
      <c r="U130" s="5" t="s">
        <v>142</v>
      </c>
      <c r="V130" s="5" t="n">
        <v>16</v>
      </c>
      <c r="W130" s="5" t="s">
        <v>141</v>
      </c>
      <c r="X130" s="5" t="n">
        <v>5</v>
      </c>
      <c r="Y130" s="4" t="s">
        <v>400</v>
      </c>
    </row>
    <row r="131" customFormat="false" ht="23.85" hidden="false" customHeight="false" outlineLevel="0" collapsed="false">
      <c r="A131" s="5" t="n">
        <v>41915</v>
      </c>
      <c r="B131" s="5" t="s">
        <v>66</v>
      </c>
      <c r="C131" s="5" t="s">
        <v>496</v>
      </c>
      <c r="D131" s="4" t="s">
        <v>22</v>
      </c>
      <c r="E131" s="4" t="s">
        <v>160</v>
      </c>
      <c r="F131" s="4" t="s">
        <v>161</v>
      </c>
      <c r="G131" s="4" t="s">
        <v>497</v>
      </c>
      <c r="H131" s="4" t="s">
        <v>498</v>
      </c>
      <c r="I131" s="5" t="s">
        <v>141</v>
      </c>
      <c r="J131" s="4"/>
      <c r="K131" s="5" t="s">
        <v>142</v>
      </c>
      <c r="L131" s="4"/>
      <c r="M131" s="5" t="s">
        <v>142</v>
      </c>
      <c r="N131" s="4" t="s">
        <v>499</v>
      </c>
      <c r="O131" s="5" t="s">
        <v>141</v>
      </c>
      <c r="P131" s="4"/>
      <c r="Q131" s="5" t="s">
        <v>142</v>
      </c>
      <c r="R131" s="5" t="n">
        <v>0</v>
      </c>
      <c r="S131" s="5" t="s">
        <v>142</v>
      </c>
      <c r="T131" s="4"/>
      <c r="U131" s="5" t="s">
        <v>142</v>
      </c>
      <c r="V131" s="5" t="n">
        <v>0</v>
      </c>
      <c r="W131" s="5" t="s">
        <v>142</v>
      </c>
      <c r="X131" s="5" t="n">
        <v>6</v>
      </c>
      <c r="Y131" s="4" t="s">
        <v>165</v>
      </c>
    </row>
    <row r="132" customFormat="false" ht="23.85" hidden="false" customHeight="false" outlineLevel="0" collapsed="false">
      <c r="A132" s="5" t="n">
        <v>41916</v>
      </c>
      <c r="B132" s="5" t="s">
        <v>66</v>
      </c>
      <c r="C132" s="5" t="s">
        <v>500</v>
      </c>
      <c r="D132" s="4" t="s">
        <v>22</v>
      </c>
      <c r="E132" s="4" t="s">
        <v>160</v>
      </c>
      <c r="F132" s="4" t="s">
        <v>161</v>
      </c>
      <c r="G132" s="4" t="s">
        <v>501</v>
      </c>
      <c r="H132" s="4" t="s">
        <v>502</v>
      </c>
      <c r="I132" s="5" t="s">
        <v>141</v>
      </c>
      <c r="J132" s="4"/>
      <c r="K132" s="5" t="s">
        <v>142</v>
      </c>
      <c r="L132" s="4"/>
      <c r="M132" s="5" t="s">
        <v>142</v>
      </c>
      <c r="N132" s="4" t="s">
        <v>502</v>
      </c>
      <c r="O132" s="5" t="s">
        <v>141</v>
      </c>
      <c r="P132" s="4"/>
      <c r="Q132" s="5" t="s">
        <v>142</v>
      </c>
      <c r="R132" s="5" t="n">
        <v>0</v>
      </c>
      <c r="S132" s="5" t="s">
        <v>142</v>
      </c>
      <c r="T132" s="4"/>
      <c r="U132" s="5" t="s">
        <v>142</v>
      </c>
      <c r="V132" s="5" t="n">
        <v>0</v>
      </c>
      <c r="W132" s="5" t="s">
        <v>142</v>
      </c>
      <c r="X132" s="5" t="n">
        <v>6</v>
      </c>
      <c r="Y132" s="4" t="s">
        <v>165</v>
      </c>
    </row>
    <row r="133" customFormat="false" ht="23.85" hidden="false" customHeight="false" outlineLevel="0" collapsed="false">
      <c r="A133" s="5" t="n">
        <v>41917</v>
      </c>
      <c r="B133" s="5" t="s">
        <v>66</v>
      </c>
      <c r="C133" s="5" t="s">
        <v>503</v>
      </c>
      <c r="D133" s="4" t="s">
        <v>22</v>
      </c>
      <c r="E133" s="4" t="s">
        <v>160</v>
      </c>
      <c r="F133" s="4" t="s">
        <v>161</v>
      </c>
      <c r="G133" s="4" t="s">
        <v>504</v>
      </c>
      <c r="H133" s="4" t="s">
        <v>505</v>
      </c>
      <c r="I133" s="5" t="s">
        <v>141</v>
      </c>
      <c r="J133" s="4"/>
      <c r="K133" s="5" t="s">
        <v>142</v>
      </c>
      <c r="L133" s="4" t="s">
        <v>506</v>
      </c>
      <c r="M133" s="5" t="s">
        <v>141</v>
      </c>
      <c r="N133" s="4"/>
      <c r="O133" s="5" t="s">
        <v>142</v>
      </c>
      <c r="P133" s="4"/>
      <c r="Q133" s="5" t="s">
        <v>142</v>
      </c>
      <c r="R133" s="5" t="n">
        <v>0</v>
      </c>
      <c r="S133" s="5" t="s">
        <v>142</v>
      </c>
      <c r="T133" s="4"/>
      <c r="U133" s="5" t="s">
        <v>142</v>
      </c>
      <c r="V133" s="5" t="n">
        <v>0</v>
      </c>
      <c r="W133" s="5" t="s">
        <v>142</v>
      </c>
      <c r="X133" s="5" t="n">
        <v>6</v>
      </c>
      <c r="Y133" s="4" t="s">
        <v>171</v>
      </c>
    </row>
    <row r="134" customFormat="false" ht="23.85" hidden="false" customHeight="false" outlineLevel="0" collapsed="false">
      <c r="A134" s="5" t="n">
        <v>41918</v>
      </c>
      <c r="B134" s="5" t="s">
        <v>66</v>
      </c>
      <c r="C134" s="5" t="s">
        <v>507</v>
      </c>
      <c r="D134" s="4" t="s">
        <v>22</v>
      </c>
      <c r="E134" s="4" t="s">
        <v>160</v>
      </c>
      <c r="F134" s="4" t="s">
        <v>161</v>
      </c>
      <c r="G134" s="4" t="s">
        <v>508</v>
      </c>
      <c r="H134" s="4" t="s">
        <v>509</v>
      </c>
      <c r="I134" s="5" t="s">
        <v>141</v>
      </c>
      <c r="J134" s="4"/>
      <c r="K134" s="5" t="s">
        <v>142</v>
      </c>
      <c r="L134" s="4"/>
      <c r="M134" s="5" t="s">
        <v>142</v>
      </c>
      <c r="N134" s="4"/>
      <c r="O134" s="5" t="s">
        <v>142</v>
      </c>
      <c r="P134" s="4"/>
      <c r="Q134" s="5" t="s">
        <v>142</v>
      </c>
      <c r="R134" s="5" t="n">
        <v>0</v>
      </c>
      <c r="S134" s="5" t="s">
        <v>142</v>
      </c>
      <c r="T134" s="4"/>
      <c r="U134" s="5" t="s">
        <v>142</v>
      </c>
      <c r="V134" s="5" t="n">
        <v>19</v>
      </c>
      <c r="W134" s="5" t="s">
        <v>141</v>
      </c>
      <c r="X134" s="5" t="n">
        <v>6</v>
      </c>
      <c r="Y134" s="4" t="s">
        <v>510</v>
      </c>
    </row>
    <row r="135" customFormat="false" ht="23.85" hidden="false" customHeight="false" outlineLevel="0" collapsed="false">
      <c r="A135" s="5" t="n">
        <v>41919</v>
      </c>
      <c r="B135" s="5" t="s">
        <v>66</v>
      </c>
      <c r="C135" s="5" t="s">
        <v>511</v>
      </c>
      <c r="D135" s="4" t="s">
        <v>22</v>
      </c>
      <c r="E135" s="4" t="s">
        <v>160</v>
      </c>
      <c r="F135" s="4" t="s">
        <v>161</v>
      </c>
      <c r="G135" s="4" t="s">
        <v>512</v>
      </c>
      <c r="H135" s="4" t="s">
        <v>513</v>
      </c>
      <c r="I135" s="5" t="s">
        <v>141</v>
      </c>
      <c r="J135" s="4"/>
      <c r="K135" s="5" t="s">
        <v>142</v>
      </c>
      <c r="L135" s="4" t="s">
        <v>514</v>
      </c>
      <c r="M135" s="5" t="s">
        <v>141</v>
      </c>
      <c r="N135" s="4"/>
      <c r="O135" s="5" t="s">
        <v>142</v>
      </c>
      <c r="P135" s="4"/>
      <c r="Q135" s="5" t="s">
        <v>142</v>
      </c>
      <c r="R135" s="5" t="n">
        <v>0</v>
      </c>
      <c r="S135" s="5" t="s">
        <v>142</v>
      </c>
      <c r="T135" s="4"/>
      <c r="U135" s="5" t="s">
        <v>142</v>
      </c>
      <c r="V135" s="5" t="n">
        <v>0</v>
      </c>
      <c r="W135" s="5" t="s">
        <v>142</v>
      </c>
      <c r="X135" s="5" t="n">
        <v>6</v>
      </c>
      <c r="Y135" s="4" t="s">
        <v>171</v>
      </c>
    </row>
    <row r="136" customFormat="false" ht="23.85" hidden="false" customHeight="false" outlineLevel="0" collapsed="false">
      <c r="A136" s="5" t="n">
        <v>41920</v>
      </c>
      <c r="B136" s="5" t="s">
        <v>66</v>
      </c>
      <c r="C136" s="5" t="s">
        <v>515</v>
      </c>
      <c r="D136" s="4" t="s">
        <v>22</v>
      </c>
      <c r="E136" s="4" t="s">
        <v>160</v>
      </c>
      <c r="F136" s="4" t="s">
        <v>161</v>
      </c>
      <c r="G136" s="4" t="s">
        <v>516</v>
      </c>
      <c r="H136" s="4" t="s">
        <v>517</v>
      </c>
      <c r="I136" s="5" t="s">
        <v>141</v>
      </c>
      <c r="J136" s="4"/>
      <c r="K136" s="5" t="s">
        <v>142</v>
      </c>
      <c r="L136" s="4"/>
      <c r="M136" s="5" t="s">
        <v>142</v>
      </c>
      <c r="N136" s="4"/>
      <c r="O136" s="5" t="s">
        <v>142</v>
      </c>
      <c r="P136" s="4"/>
      <c r="Q136" s="5" t="s">
        <v>142</v>
      </c>
      <c r="R136" s="5" t="n">
        <v>0</v>
      </c>
      <c r="S136" s="5" t="s">
        <v>142</v>
      </c>
      <c r="T136" s="4"/>
      <c r="U136" s="5" t="s">
        <v>142</v>
      </c>
      <c r="V136" s="5" t="n">
        <v>0</v>
      </c>
      <c r="W136" s="5" t="s">
        <v>142</v>
      </c>
      <c r="X136" s="5" t="n">
        <v>7</v>
      </c>
      <c r="Y136" s="4" t="s">
        <v>143</v>
      </c>
    </row>
    <row r="137" customFormat="false" ht="23.85" hidden="false" customHeight="false" outlineLevel="0" collapsed="false">
      <c r="A137" s="5" t="n">
        <v>41921</v>
      </c>
      <c r="B137" s="5" t="s">
        <v>66</v>
      </c>
      <c r="C137" s="5" t="s">
        <v>518</v>
      </c>
      <c r="D137" s="4" t="s">
        <v>22</v>
      </c>
      <c r="E137" s="4" t="s">
        <v>160</v>
      </c>
      <c r="F137" s="4" t="s">
        <v>138</v>
      </c>
      <c r="G137" s="4" t="s">
        <v>519</v>
      </c>
      <c r="H137" s="4" t="s">
        <v>520</v>
      </c>
      <c r="I137" s="5" t="s">
        <v>141</v>
      </c>
      <c r="J137" s="4"/>
      <c r="K137" s="5" t="s">
        <v>142</v>
      </c>
      <c r="L137" s="4" t="s">
        <v>521</v>
      </c>
      <c r="M137" s="5" t="s">
        <v>141</v>
      </c>
      <c r="N137" s="4" t="s">
        <v>522</v>
      </c>
      <c r="O137" s="5" t="s">
        <v>141</v>
      </c>
      <c r="P137" s="4"/>
      <c r="Q137" s="5" t="s">
        <v>142</v>
      </c>
      <c r="R137" s="5" t="n">
        <v>1</v>
      </c>
      <c r="S137" s="5" t="s">
        <v>141</v>
      </c>
      <c r="T137" s="4"/>
      <c r="U137" s="5" t="s">
        <v>142</v>
      </c>
      <c r="V137" s="5" t="n">
        <v>0</v>
      </c>
      <c r="W137" s="5" t="s">
        <v>142</v>
      </c>
      <c r="X137" s="5" t="n">
        <v>4</v>
      </c>
      <c r="Y137" s="4" t="s">
        <v>523</v>
      </c>
    </row>
    <row r="138" customFormat="false" ht="23.85" hidden="false" customHeight="false" outlineLevel="0" collapsed="false">
      <c r="A138" s="5" t="n">
        <v>41929</v>
      </c>
      <c r="B138" s="5" t="s">
        <v>66</v>
      </c>
      <c r="C138" s="5" t="s">
        <v>524</v>
      </c>
      <c r="D138" s="4" t="s">
        <v>26</v>
      </c>
      <c r="E138" s="4" t="s">
        <v>167</v>
      </c>
      <c r="F138" s="4" t="s">
        <v>246</v>
      </c>
      <c r="G138" s="4" t="s">
        <v>525</v>
      </c>
      <c r="H138" s="4" t="s">
        <v>526</v>
      </c>
      <c r="I138" s="5" t="s">
        <v>141</v>
      </c>
      <c r="J138" s="4"/>
      <c r="K138" s="5" t="s">
        <v>142</v>
      </c>
      <c r="L138" s="4"/>
      <c r="M138" s="5" t="s">
        <v>142</v>
      </c>
      <c r="N138" s="4" t="s">
        <v>526</v>
      </c>
      <c r="O138" s="5" t="s">
        <v>141</v>
      </c>
      <c r="P138" s="4" t="s">
        <v>349</v>
      </c>
      <c r="Q138" s="5" t="s">
        <v>141</v>
      </c>
      <c r="R138" s="5" t="n">
        <v>0</v>
      </c>
      <c r="S138" s="5" t="s">
        <v>142</v>
      </c>
      <c r="T138" s="4"/>
      <c r="U138" s="5" t="s">
        <v>142</v>
      </c>
      <c r="V138" s="5" t="n">
        <v>8</v>
      </c>
      <c r="W138" s="5" t="s">
        <v>141</v>
      </c>
      <c r="X138" s="5" t="n">
        <v>4</v>
      </c>
      <c r="Y138" s="4" t="s">
        <v>527</v>
      </c>
    </row>
    <row r="139" customFormat="false" ht="23.85" hidden="false" customHeight="false" outlineLevel="0" collapsed="false">
      <c r="A139" s="5" t="n">
        <v>41932</v>
      </c>
      <c r="B139" s="5" t="s">
        <v>66</v>
      </c>
      <c r="C139" s="5" t="s">
        <v>528</v>
      </c>
      <c r="D139" s="4" t="s">
        <v>26</v>
      </c>
      <c r="E139" s="4" t="s">
        <v>167</v>
      </c>
      <c r="F139" s="4" t="s">
        <v>474</v>
      </c>
      <c r="G139" s="4" t="s">
        <v>529</v>
      </c>
      <c r="H139" s="4" t="s">
        <v>530</v>
      </c>
      <c r="I139" s="5" t="s">
        <v>141</v>
      </c>
      <c r="J139" s="4"/>
      <c r="K139" s="5" t="s">
        <v>142</v>
      </c>
      <c r="L139" s="4" t="s">
        <v>531</v>
      </c>
      <c r="M139" s="5" t="s">
        <v>141</v>
      </c>
      <c r="N139" s="4" t="s">
        <v>532</v>
      </c>
      <c r="O139" s="5" t="s">
        <v>141</v>
      </c>
      <c r="P139" s="4"/>
      <c r="Q139" s="5" t="s">
        <v>142</v>
      </c>
      <c r="R139" s="5" t="n">
        <v>0</v>
      </c>
      <c r="S139" s="5" t="s">
        <v>142</v>
      </c>
      <c r="T139" s="4"/>
      <c r="U139" s="5" t="s">
        <v>142</v>
      </c>
      <c r="V139" s="5" t="n">
        <v>0</v>
      </c>
      <c r="W139" s="5" t="s">
        <v>142</v>
      </c>
      <c r="X139" s="5" t="n">
        <v>5</v>
      </c>
      <c r="Y139" s="4" t="s">
        <v>533</v>
      </c>
    </row>
    <row r="140" customFormat="false" ht="23.85" hidden="false" customHeight="false" outlineLevel="0" collapsed="false">
      <c r="A140" s="5" t="n">
        <v>41936</v>
      </c>
      <c r="B140" s="5" t="s">
        <v>66</v>
      </c>
      <c r="C140" s="5" t="s">
        <v>534</v>
      </c>
      <c r="D140" s="4" t="s">
        <v>26</v>
      </c>
      <c r="E140" s="4" t="s">
        <v>167</v>
      </c>
      <c r="F140" s="4" t="s">
        <v>161</v>
      </c>
      <c r="G140" s="4" t="s">
        <v>535</v>
      </c>
      <c r="H140" s="4" t="s">
        <v>536</v>
      </c>
      <c r="I140" s="5" t="s">
        <v>141</v>
      </c>
      <c r="J140" s="4"/>
      <c r="K140" s="5" t="s">
        <v>142</v>
      </c>
      <c r="L140" s="4"/>
      <c r="M140" s="5" t="s">
        <v>142</v>
      </c>
      <c r="N140" s="4" t="s">
        <v>537</v>
      </c>
      <c r="O140" s="5" t="s">
        <v>141</v>
      </c>
      <c r="P140" s="4" t="s">
        <v>349</v>
      </c>
      <c r="Q140" s="5" t="s">
        <v>141</v>
      </c>
      <c r="R140" s="5" t="n">
        <v>0</v>
      </c>
      <c r="S140" s="5" t="s">
        <v>142</v>
      </c>
      <c r="T140" s="4"/>
      <c r="U140" s="5" t="s">
        <v>142</v>
      </c>
      <c r="V140" s="5" t="n">
        <v>0</v>
      </c>
      <c r="W140" s="5" t="s">
        <v>142</v>
      </c>
      <c r="X140" s="5" t="n">
        <v>5</v>
      </c>
      <c r="Y140" s="4" t="s">
        <v>335</v>
      </c>
    </row>
    <row r="141" customFormat="false" ht="35.05" hidden="false" customHeight="false" outlineLevel="0" collapsed="false">
      <c r="A141" s="5" t="n">
        <v>41940</v>
      </c>
      <c r="B141" s="5" t="s">
        <v>66</v>
      </c>
      <c r="C141" s="5" t="s">
        <v>538</v>
      </c>
      <c r="D141" s="4" t="s">
        <v>30</v>
      </c>
      <c r="E141" s="4" t="s">
        <v>137</v>
      </c>
      <c r="F141" s="4" t="s">
        <v>138</v>
      </c>
      <c r="G141" s="4" t="s">
        <v>539</v>
      </c>
      <c r="H141" s="4"/>
      <c r="I141" s="5" t="s">
        <v>142</v>
      </c>
      <c r="J141" s="4"/>
      <c r="K141" s="5" t="s">
        <v>142</v>
      </c>
      <c r="L141" s="4"/>
      <c r="M141" s="5" t="s">
        <v>142</v>
      </c>
      <c r="N141" s="4"/>
      <c r="O141" s="5" t="s">
        <v>142</v>
      </c>
      <c r="P141" s="4"/>
      <c r="Q141" s="5" t="s">
        <v>142</v>
      </c>
      <c r="R141" s="5" t="n">
        <v>0</v>
      </c>
      <c r="S141" s="5" t="s">
        <v>142</v>
      </c>
      <c r="T141" s="4"/>
      <c r="U141" s="5" t="s">
        <v>142</v>
      </c>
      <c r="V141" s="5" t="n">
        <v>0</v>
      </c>
      <c r="W141" s="5" t="s">
        <v>142</v>
      </c>
      <c r="X141" s="5" t="n">
        <v>8</v>
      </c>
      <c r="Y141" s="4" t="s">
        <v>173</v>
      </c>
    </row>
    <row r="142" customFormat="false" ht="35.05" hidden="false" customHeight="false" outlineLevel="0" collapsed="false">
      <c r="A142" s="5" t="n">
        <v>41941</v>
      </c>
      <c r="B142" s="5" t="s">
        <v>66</v>
      </c>
      <c r="C142" s="5" t="s">
        <v>540</v>
      </c>
      <c r="D142" s="4" t="s">
        <v>30</v>
      </c>
      <c r="E142" s="4" t="s">
        <v>137</v>
      </c>
      <c r="F142" s="4" t="s">
        <v>138</v>
      </c>
      <c r="G142" s="4" t="s">
        <v>541</v>
      </c>
      <c r="H142" s="4"/>
      <c r="I142" s="5" t="s">
        <v>142</v>
      </c>
      <c r="J142" s="4"/>
      <c r="K142" s="5" t="s">
        <v>142</v>
      </c>
      <c r="L142" s="4"/>
      <c r="M142" s="5" t="s">
        <v>142</v>
      </c>
      <c r="N142" s="4"/>
      <c r="O142" s="5" t="s">
        <v>142</v>
      </c>
      <c r="P142" s="4"/>
      <c r="Q142" s="5" t="s">
        <v>142</v>
      </c>
      <c r="R142" s="5" t="n">
        <v>0</v>
      </c>
      <c r="S142" s="5" t="s">
        <v>142</v>
      </c>
      <c r="T142" s="4"/>
      <c r="U142" s="5" t="s">
        <v>142</v>
      </c>
      <c r="V142" s="5" t="n">
        <v>0</v>
      </c>
      <c r="W142" s="5" t="s">
        <v>142</v>
      </c>
      <c r="X142" s="5" t="n">
        <v>8</v>
      </c>
      <c r="Y142" s="4" t="s">
        <v>173</v>
      </c>
    </row>
    <row r="143" customFormat="false" ht="35.05" hidden="false" customHeight="false" outlineLevel="0" collapsed="false">
      <c r="A143" s="5" t="n">
        <v>41943</v>
      </c>
      <c r="B143" s="5" t="s">
        <v>66</v>
      </c>
      <c r="C143" s="5" t="s">
        <v>542</v>
      </c>
      <c r="D143" s="4" t="s">
        <v>30</v>
      </c>
      <c r="E143" s="4" t="s">
        <v>137</v>
      </c>
      <c r="F143" s="4" t="s">
        <v>138</v>
      </c>
      <c r="G143" s="4" t="s">
        <v>543</v>
      </c>
      <c r="H143" s="4"/>
      <c r="I143" s="5" t="s">
        <v>142</v>
      </c>
      <c r="J143" s="4"/>
      <c r="K143" s="5" t="s">
        <v>142</v>
      </c>
      <c r="L143" s="4"/>
      <c r="M143" s="5" t="s">
        <v>142</v>
      </c>
      <c r="N143" s="4"/>
      <c r="O143" s="5" t="s">
        <v>142</v>
      </c>
      <c r="P143" s="4"/>
      <c r="Q143" s="5" t="s">
        <v>142</v>
      </c>
      <c r="R143" s="5" t="n">
        <v>0</v>
      </c>
      <c r="S143" s="5" t="s">
        <v>142</v>
      </c>
      <c r="T143" s="4"/>
      <c r="U143" s="5" t="s">
        <v>142</v>
      </c>
      <c r="V143" s="5" t="n">
        <v>0</v>
      </c>
      <c r="W143" s="5" t="s">
        <v>142</v>
      </c>
      <c r="X143" s="5" t="n">
        <v>8</v>
      </c>
      <c r="Y143" s="4" t="s">
        <v>173</v>
      </c>
    </row>
    <row r="144" customFormat="false" ht="23.85" hidden="false" customHeight="false" outlineLevel="0" collapsed="false">
      <c r="A144" s="5" t="n">
        <v>41944</v>
      </c>
      <c r="B144" s="5" t="s">
        <v>66</v>
      </c>
      <c r="C144" s="5" t="s">
        <v>544</v>
      </c>
      <c r="D144" s="4" t="s">
        <v>34</v>
      </c>
      <c r="E144" s="4" t="s">
        <v>167</v>
      </c>
      <c r="F144" s="4" t="s">
        <v>138</v>
      </c>
      <c r="G144" s="4" t="s">
        <v>545</v>
      </c>
      <c r="H144" s="4" t="s">
        <v>546</v>
      </c>
      <c r="I144" s="5" t="s">
        <v>141</v>
      </c>
      <c r="J144" s="4" t="s">
        <v>547</v>
      </c>
      <c r="K144" s="5" t="s">
        <v>141</v>
      </c>
      <c r="L144" s="4" t="s">
        <v>546</v>
      </c>
      <c r="M144" s="5" t="s">
        <v>141</v>
      </c>
      <c r="N144" s="4"/>
      <c r="O144" s="5" t="s">
        <v>142</v>
      </c>
      <c r="P144" s="4" t="s">
        <v>548</v>
      </c>
      <c r="Q144" s="5" t="s">
        <v>141</v>
      </c>
      <c r="R144" s="5" t="n">
        <v>0</v>
      </c>
      <c r="S144" s="5" t="s">
        <v>142</v>
      </c>
      <c r="T144" s="4"/>
      <c r="U144" s="5" t="s">
        <v>142</v>
      </c>
      <c r="V144" s="5" t="n">
        <v>0</v>
      </c>
      <c r="W144" s="5" t="s">
        <v>142</v>
      </c>
      <c r="X144" s="5" t="n">
        <v>4</v>
      </c>
      <c r="Y144" s="4" t="s">
        <v>290</v>
      </c>
    </row>
    <row r="145" customFormat="false" ht="35.05" hidden="false" customHeight="false" outlineLevel="0" collapsed="false">
      <c r="A145" s="5" t="n">
        <v>41945</v>
      </c>
      <c r="B145" s="5" t="s">
        <v>66</v>
      </c>
      <c r="C145" s="5" t="s">
        <v>549</v>
      </c>
      <c r="D145" s="4" t="s">
        <v>30</v>
      </c>
      <c r="E145" s="4" t="s">
        <v>137</v>
      </c>
      <c r="F145" s="4" t="s">
        <v>138</v>
      </c>
      <c r="G145" s="4" t="s">
        <v>550</v>
      </c>
      <c r="H145" s="4"/>
      <c r="I145" s="5" t="s">
        <v>142</v>
      </c>
      <c r="J145" s="4"/>
      <c r="K145" s="5" t="s">
        <v>142</v>
      </c>
      <c r="L145" s="4"/>
      <c r="M145" s="5" t="s">
        <v>142</v>
      </c>
      <c r="N145" s="4"/>
      <c r="O145" s="5" t="s">
        <v>142</v>
      </c>
      <c r="P145" s="4"/>
      <c r="Q145" s="5" t="s">
        <v>142</v>
      </c>
      <c r="R145" s="5" t="n">
        <v>0</v>
      </c>
      <c r="S145" s="5" t="s">
        <v>142</v>
      </c>
      <c r="T145" s="4"/>
      <c r="U145" s="5" t="s">
        <v>142</v>
      </c>
      <c r="V145" s="5" t="n">
        <v>0</v>
      </c>
      <c r="W145" s="5" t="s">
        <v>142</v>
      </c>
      <c r="X145" s="5" t="n">
        <v>8</v>
      </c>
      <c r="Y145" s="4" t="s">
        <v>173</v>
      </c>
    </row>
    <row r="146" customFormat="false" ht="35.05" hidden="false" customHeight="false" outlineLevel="0" collapsed="false">
      <c r="A146" s="5" t="n">
        <v>41946</v>
      </c>
      <c r="B146" s="5" t="s">
        <v>66</v>
      </c>
      <c r="C146" s="5" t="s">
        <v>239</v>
      </c>
      <c r="D146" s="4" t="s">
        <v>30</v>
      </c>
      <c r="E146" s="4" t="s">
        <v>137</v>
      </c>
      <c r="F146" s="4" t="s">
        <v>138</v>
      </c>
      <c r="G146" s="4" t="s">
        <v>551</v>
      </c>
      <c r="H146" s="4"/>
      <c r="I146" s="5" t="s">
        <v>142</v>
      </c>
      <c r="J146" s="4"/>
      <c r="K146" s="5" t="s">
        <v>142</v>
      </c>
      <c r="L146" s="4"/>
      <c r="M146" s="5" t="s">
        <v>142</v>
      </c>
      <c r="N146" s="4"/>
      <c r="O146" s="5" t="s">
        <v>142</v>
      </c>
      <c r="P146" s="4"/>
      <c r="Q146" s="5" t="s">
        <v>142</v>
      </c>
      <c r="R146" s="5" t="n">
        <v>0</v>
      </c>
      <c r="S146" s="5" t="s">
        <v>142</v>
      </c>
      <c r="T146" s="4"/>
      <c r="U146" s="5" t="s">
        <v>142</v>
      </c>
      <c r="V146" s="5" t="n">
        <v>0</v>
      </c>
      <c r="W146" s="5" t="s">
        <v>142</v>
      </c>
      <c r="X146" s="5" t="n">
        <v>8</v>
      </c>
      <c r="Y146" s="4" t="s">
        <v>173</v>
      </c>
    </row>
    <row r="147" customFormat="false" ht="23.85" hidden="false" customHeight="false" outlineLevel="0" collapsed="false">
      <c r="A147" s="5" t="n">
        <v>41947</v>
      </c>
      <c r="B147" s="5" t="s">
        <v>66</v>
      </c>
      <c r="C147" s="5" t="s">
        <v>552</v>
      </c>
      <c r="D147" s="4" t="s">
        <v>30</v>
      </c>
      <c r="E147" s="4" t="s">
        <v>137</v>
      </c>
      <c r="F147" s="4" t="s">
        <v>138</v>
      </c>
      <c r="G147" s="4" t="s">
        <v>553</v>
      </c>
      <c r="H147" s="4" t="s">
        <v>553</v>
      </c>
      <c r="I147" s="5" t="s">
        <v>141</v>
      </c>
      <c r="J147" s="4"/>
      <c r="K147" s="5" t="s">
        <v>142</v>
      </c>
      <c r="L147" s="4"/>
      <c r="M147" s="5" t="s">
        <v>142</v>
      </c>
      <c r="N147" s="4" t="s">
        <v>554</v>
      </c>
      <c r="O147" s="5" t="s">
        <v>141</v>
      </c>
      <c r="P147" s="4" t="s">
        <v>349</v>
      </c>
      <c r="Q147" s="5" t="s">
        <v>141</v>
      </c>
      <c r="R147" s="5" t="n">
        <v>0</v>
      </c>
      <c r="S147" s="5" t="s">
        <v>142</v>
      </c>
      <c r="T147" s="4"/>
      <c r="U147" s="5" t="s">
        <v>142</v>
      </c>
      <c r="V147" s="5" t="n">
        <v>0</v>
      </c>
      <c r="W147" s="5" t="s">
        <v>142</v>
      </c>
      <c r="X147" s="5" t="n">
        <v>5</v>
      </c>
      <c r="Y147" s="4" t="s">
        <v>335</v>
      </c>
    </row>
    <row r="148" customFormat="false" ht="35.05" hidden="false" customHeight="false" outlineLevel="0" collapsed="false">
      <c r="A148" s="5" t="n">
        <v>41948</v>
      </c>
      <c r="B148" s="5" t="s">
        <v>66</v>
      </c>
      <c r="C148" s="5" t="s">
        <v>296</v>
      </c>
      <c r="D148" s="4" t="s">
        <v>20</v>
      </c>
      <c r="E148" s="4" t="s">
        <v>167</v>
      </c>
      <c r="F148" s="4" t="s">
        <v>246</v>
      </c>
      <c r="G148" s="4" t="s">
        <v>555</v>
      </c>
      <c r="H148" s="4"/>
      <c r="I148" s="5" t="s">
        <v>142</v>
      </c>
      <c r="J148" s="4"/>
      <c r="K148" s="5" t="s">
        <v>142</v>
      </c>
      <c r="L148" s="4"/>
      <c r="M148" s="5" t="s">
        <v>142</v>
      </c>
      <c r="N148" s="4"/>
      <c r="O148" s="5" t="s">
        <v>142</v>
      </c>
      <c r="P148" s="4"/>
      <c r="Q148" s="5" t="s">
        <v>142</v>
      </c>
      <c r="R148" s="5" t="n">
        <v>0</v>
      </c>
      <c r="S148" s="5" t="s">
        <v>142</v>
      </c>
      <c r="T148" s="4"/>
      <c r="U148" s="5" t="s">
        <v>142</v>
      </c>
      <c r="V148" s="5" t="n">
        <v>0</v>
      </c>
      <c r="W148" s="5" t="s">
        <v>142</v>
      </c>
      <c r="X148" s="5" t="n">
        <v>8</v>
      </c>
      <c r="Y148" s="4" t="s">
        <v>173</v>
      </c>
    </row>
    <row r="149" customFormat="false" ht="23.85" hidden="false" customHeight="false" outlineLevel="0" collapsed="false">
      <c r="A149" s="5" t="n">
        <v>41949</v>
      </c>
      <c r="B149" s="5" t="s">
        <v>66</v>
      </c>
      <c r="C149" s="5" t="s">
        <v>299</v>
      </c>
      <c r="D149" s="4" t="s">
        <v>20</v>
      </c>
      <c r="E149" s="4" t="s">
        <v>167</v>
      </c>
      <c r="F149" s="4" t="s">
        <v>138</v>
      </c>
      <c r="G149" s="4" t="s">
        <v>556</v>
      </c>
      <c r="H149" s="4" t="s">
        <v>557</v>
      </c>
      <c r="I149" s="5" t="s">
        <v>141</v>
      </c>
      <c r="J149" s="4" t="s">
        <v>558</v>
      </c>
      <c r="K149" s="5" t="s">
        <v>141</v>
      </c>
      <c r="L149" s="4" t="s">
        <v>559</v>
      </c>
      <c r="M149" s="5" t="s">
        <v>141</v>
      </c>
      <c r="N149" s="4" t="s">
        <v>560</v>
      </c>
      <c r="O149" s="5" t="s">
        <v>141</v>
      </c>
      <c r="P149" s="4"/>
      <c r="Q149" s="5" t="s">
        <v>142</v>
      </c>
      <c r="R149" s="5" t="n">
        <v>0</v>
      </c>
      <c r="S149" s="5" t="s">
        <v>142</v>
      </c>
      <c r="T149" s="4"/>
      <c r="U149" s="5" t="s">
        <v>142</v>
      </c>
      <c r="V149" s="5" t="n">
        <v>0</v>
      </c>
      <c r="W149" s="5" t="s">
        <v>142</v>
      </c>
      <c r="X149" s="5" t="n">
        <v>4</v>
      </c>
      <c r="Y149" s="4" t="s">
        <v>561</v>
      </c>
    </row>
    <row r="150" customFormat="false" ht="23.85" hidden="false" customHeight="false" outlineLevel="0" collapsed="false">
      <c r="A150" s="5" t="n">
        <v>41950</v>
      </c>
      <c r="B150" s="5" t="s">
        <v>66</v>
      </c>
      <c r="C150" s="5" t="s">
        <v>382</v>
      </c>
      <c r="D150" s="4" t="s">
        <v>20</v>
      </c>
      <c r="E150" s="4" t="s">
        <v>167</v>
      </c>
      <c r="F150" s="4" t="s">
        <v>138</v>
      </c>
      <c r="G150" s="4" t="s">
        <v>562</v>
      </c>
      <c r="H150" s="4"/>
      <c r="I150" s="5" t="s">
        <v>142</v>
      </c>
      <c r="J150" s="4" t="s">
        <v>563</v>
      </c>
      <c r="K150" s="5" t="s">
        <v>141</v>
      </c>
      <c r="L150" s="4" t="s">
        <v>564</v>
      </c>
      <c r="M150" s="5" t="s">
        <v>141</v>
      </c>
      <c r="N150" s="4" t="s">
        <v>565</v>
      </c>
      <c r="O150" s="5" t="s">
        <v>141</v>
      </c>
      <c r="P150" s="4"/>
      <c r="Q150" s="5" t="s">
        <v>142</v>
      </c>
      <c r="R150" s="5" t="n">
        <v>0</v>
      </c>
      <c r="S150" s="5" t="s">
        <v>142</v>
      </c>
      <c r="T150" s="4"/>
      <c r="U150" s="5" t="s">
        <v>142</v>
      </c>
      <c r="V150" s="5" t="n">
        <v>0</v>
      </c>
      <c r="W150" s="5" t="s">
        <v>142</v>
      </c>
      <c r="X150" s="5" t="n">
        <v>5</v>
      </c>
      <c r="Y150" s="4" t="s">
        <v>479</v>
      </c>
    </row>
    <row r="151" customFormat="false" ht="35.05" hidden="false" customHeight="false" outlineLevel="0" collapsed="false">
      <c r="A151" s="5" t="n">
        <v>41951</v>
      </c>
      <c r="B151" s="5" t="s">
        <v>66</v>
      </c>
      <c r="C151" s="5" t="s">
        <v>566</v>
      </c>
      <c r="D151" s="4" t="s">
        <v>20</v>
      </c>
      <c r="E151" s="4" t="s">
        <v>167</v>
      </c>
      <c r="F151" s="4" t="s">
        <v>138</v>
      </c>
      <c r="G151" s="4" t="s">
        <v>567</v>
      </c>
      <c r="H151" s="4"/>
      <c r="I151" s="5" t="s">
        <v>142</v>
      </c>
      <c r="J151" s="4"/>
      <c r="K151" s="5" t="s">
        <v>142</v>
      </c>
      <c r="L151" s="4"/>
      <c r="M151" s="5" t="s">
        <v>142</v>
      </c>
      <c r="N151" s="4"/>
      <c r="O151" s="5" t="s">
        <v>142</v>
      </c>
      <c r="P151" s="4"/>
      <c r="Q151" s="5" t="s">
        <v>142</v>
      </c>
      <c r="R151" s="5" t="n">
        <v>0</v>
      </c>
      <c r="S151" s="5" t="s">
        <v>142</v>
      </c>
      <c r="T151" s="4"/>
      <c r="U151" s="5" t="s">
        <v>142</v>
      </c>
      <c r="V151" s="5" t="n">
        <v>0</v>
      </c>
      <c r="W151" s="5" t="s">
        <v>142</v>
      </c>
      <c r="X151" s="5" t="n">
        <v>8</v>
      </c>
      <c r="Y151" s="4" t="s">
        <v>173</v>
      </c>
    </row>
    <row r="152" customFormat="false" ht="23.85" hidden="false" customHeight="false" outlineLevel="0" collapsed="false">
      <c r="A152" s="5" t="n">
        <v>41952</v>
      </c>
      <c r="B152" s="5" t="s">
        <v>66</v>
      </c>
      <c r="C152" s="5" t="s">
        <v>568</v>
      </c>
      <c r="D152" s="4" t="s">
        <v>32</v>
      </c>
      <c r="E152" s="4" t="s">
        <v>137</v>
      </c>
      <c r="F152" s="4" t="s">
        <v>138</v>
      </c>
      <c r="G152" s="4" t="s">
        <v>569</v>
      </c>
      <c r="H152" s="4" t="s">
        <v>570</v>
      </c>
      <c r="I152" s="5" t="s">
        <v>141</v>
      </c>
      <c r="J152" s="4"/>
      <c r="K152" s="5" t="s">
        <v>142</v>
      </c>
      <c r="L152" s="4"/>
      <c r="M152" s="5" t="s">
        <v>142</v>
      </c>
      <c r="N152" s="4"/>
      <c r="O152" s="5" t="s">
        <v>142</v>
      </c>
      <c r="P152" s="4"/>
      <c r="Q152" s="5" t="s">
        <v>142</v>
      </c>
      <c r="R152" s="5" t="n">
        <v>0</v>
      </c>
      <c r="S152" s="5" t="s">
        <v>142</v>
      </c>
      <c r="T152" s="4"/>
      <c r="U152" s="5" t="s">
        <v>142</v>
      </c>
      <c r="V152" s="5" t="n">
        <v>0</v>
      </c>
      <c r="W152" s="5" t="s">
        <v>142</v>
      </c>
      <c r="X152" s="5" t="n">
        <v>7</v>
      </c>
      <c r="Y152" s="4" t="s">
        <v>143</v>
      </c>
    </row>
    <row r="153" customFormat="false" ht="23.85" hidden="false" customHeight="false" outlineLevel="0" collapsed="false">
      <c r="A153" s="5" t="n">
        <v>41953</v>
      </c>
      <c r="B153" s="5" t="s">
        <v>66</v>
      </c>
      <c r="C153" s="5" t="s">
        <v>571</v>
      </c>
      <c r="D153" s="4" t="s">
        <v>32</v>
      </c>
      <c r="E153" s="4" t="s">
        <v>137</v>
      </c>
      <c r="F153" s="4" t="s">
        <v>138</v>
      </c>
      <c r="G153" s="4" t="s">
        <v>572</v>
      </c>
      <c r="H153" s="4" t="s">
        <v>555</v>
      </c>
      <c r="I153" s="5" t="s">
        <v>141</v>
      </c>
      <c r="J153" s="4"/>
      <c r="K153" s="5" t="s">
        <v>142</v>
      </c>
      <c r="L153" s="4"/>
      <c r="M153" s="5" t="s">
        <v>142</v>
      </c>
      <c r="N153" s="4"/>
      <c r="O153" s="5" t="s">
        <v>142</v>
      </c>
      <c r="P153" s="4"/>
      <c r="Q153" s="5" t="s">
        <v>142</v>
      </c>
      <c r="R153" s="5" t="n">
        <v>0</v>
      </c>
      <c r="S153" s="5" t="s">
        <v>142</v>
      </c>
      <c r="T153" s="4"/>
      <c r="U153" s="5" t="s">
        <v>142</v>
      </c>
      <c r="V153" s="5" t="n">
        <v>0</v>
      </c>
      <c r="W153" s="5" t="s">
        <v>142</v>
      </c>
      <c r="X153" s="5" t="n">
        <v>7</v>
      </c>
      <c r="Y153" s="4" t="s">
        <v>143</v>
      </c>
    </row>
    <row r="154" customFormat="false" ht="23.85" hidden="false" customHeight="false" outlineLevel="0" collapsed="false">
      <c r="A154" s="5" t="n">
        <v>41954</v>
      </c>
      <c r="B154" s="5" t="s">
        <v>66</v>
      </c>
      <c r="C154" s="5" t="s">
        <v>573</v>
      </c>
      <c r="D154" s="4" t="s">
        <v>32</v>
      </c>
      <c r="E154" s="4" t="s">
        <v>137</v>
      </c>
      <c r="F154" s="4" t="s">
        <v>138</v>
      </c>
      <c r="G154" s="4" t="s">
        <v>574</v>
      </c>
      <c r="H154" s="4" t="s">
        <v>575</v>
      </c>
      <c r="I154" s="5" t="s">
        <v>141</v>
      </c>
      <c r="J154" s="4"/>
      <c r="K154" s="5" t="s">
        <v>142</v>
      </c>
      <c r="L154" s="4"/>
      <c r="M154" s="5" t="s">
        <v>142</v>
      </c>
      <c r="N154" s="4"/>
      <c r="O154" s="5" t="s">
        <v>142</v>
      </c>
      <c r="P154" s="4"/>
      <c r="Q154" s="5" t="s">
        <v>142</v>
      </c>
      <c r="R154" s="5" t="n">
        <v>0</v>
      </c>
      <c r="S154" s="5" t="s">
        <v>142</v>
      </c>
      <c r="T154" s="4"/>
      <c r="U154" s="5" t="s">
        <v>142</v>
      </c>
      <c r="V154" s="5" t="n">
        <v>0</v>
      </c>
      <c r="W154" s="5" t="s">
        <v>142</v>
      </c>
      <c r="X154" s="5" t="n">
        <v>7</v>
      </c>
      <c r="Y154" s="4" t="s">
        <v>143</v>
      </c>
    </row>
    <row r="155" customFormat="false" ht="23.85" hidden="false" customHeight="false" outlineLevel="0" collapsed="false">
      <c r="A155" s="5" t="n">
        <v>41955</v>
      </c>
      <c r="B155" s="5" t="s">
        <v>66</v>
      </c>
      <c r="C155" s="5" t="s">
        <v>576</v>
      </c>
      <c r="D155" s="4" t="s">
        <v>32</v>
      </c>
      <c r="E155" s="4" t="s">
        <v>137</v>
      </c>
      <c r="F155" s="4" t="s">
        <v>138</v>
      </c>
      <c r="G155" s="4" t="s">
        <v>577</v>
      </c>
      <c r="H155" s="4" t="s">
        <v>578</v>
      </c>
      <c r="I155" s="5" t="s">
        <v>141</v>
      </c>
      <c r="J155" s="4"/>
      <c r="K155" s="5" t="s">
        <v>142</v>
      </c>
      <c r="L155" s="4"/>
      <c r="M155" s="5" t="s">
        <v>142</v>
      </c>
      <c r="N155" s="4"/>
      <c r="O155" s="5" t="s">
        <v>142</v>
      </c>
      <c r="P155" s="4"/>
      <c r="Q155" s="5" t="s">
        <v>142</v>
      </c>
      <c r="R155" s="5" t="n">
        <v>0</v>
      </c>
      <c r="S155" s="5" t="s">
        <v>142</v>
      </c>
      <c r="T155" s="4"/>
      <c r="U155" s="5" t="s">
        <v>142</v>
      </c>
      <c r="V155" s="5" t="n">
        <v>0</v>
      </c>
      <c r="W155" s="5" t="s">
        <v>142</v>
      </c>
      <c r="X155" s="5" t="n">
        <v>7</v>
      </c>
      <c r="Y155" s="4" t="s">
        <v>143</v>
      </c>
    </row>
    <row r="156" customFormat="false" ht="23.85" hidden="false" customHeight="false" outlineLevel="0" collapsed="false">
      <c r="A156" s="5" t="n">
        <v>41956</v>
      </c>
      <c r="B156" s="5" t="s">
        <v>67</v>
      </c>
      <c r="C156" s="5" t="s">
        <v>579</v>
      </c>
      <c r="D156" s="4" t="s">
        <v>18</v>
      </c>
      <c r="E156" s="4" t="s">
        <v>167</v>
      </c>
      <c r="F156" s="4" t="s">
        <v>138</v>
      </c>
      <c r="G156" s="4" t="s">
        <v>580</v>
      </c>
      <c r="H156" s="4" t="s">
        <v>581</v>
      </c>
      <c r="I156" s="5" t="s">
        <v>141</v>
      </c>
      <c r="J156" s="4"/>
      <c r="K156" s="5" t="s">
        <v>142</v>
      </c>
      <c r="L156" s="4" t="s">
        <v>582</v>
      </c>
      <c r="M156" s="5" t="s">
        <v>141</v>
      </c>
      <c r="N156" s="4"/>
      <c r="O156" s="5" t="s">
        <v>142</v>
      </c>
      <c r="P156" s="4" t="s">
        <v>353</v>
      </c>
      <c r="Q156" s="5" t="s">
        <v>141</v>
      </c>
      <c r="R156" s="5" t="n">
        <v>0</v>
      </c>
      <c r="S156" s="5" t="s">
        <v>142</v>
      </c>
      <c r="T156" s="4"/>
      <c r="U156" s="5" t="s">
        <v>142</v>
      </c>
      <c r="V156" s="5" t="n">
        <v>0</v>
      </c>
      <c r="W156" s="5" t="s">
        <v>142</v>
      </c>
      <c r="X156" s="5" t="n">
        <v>5</v>
      </c>
      <c r="Y156" s="4" t="s">
        <v>354</v>
      </c>
    </row>
    <row r="157" customFormat="false" ht="23.85" hidden="false" customHeight="false" outlineLevel="0" collapsed="false">
      <c r="A157" s="5" t="n">
        <v>41957</v>
      </c>
      <c r="B157" s="5" t="s">
        <v>67</v>
      </c>
      <c r="C157" s="5" t="s">
        <v>583</v>
      </c>
      <c r="D157" s="4" t="s">
        <v>18</v>
      </c>
      <c r="E157" s="4" t="s">
        <v>167</v>
      </c>
      <c r="F157" s="4" t="s">
        <v>138</v>
      </c>
      <c r="G157" s="4" t="s">
        <v>584</v>
      </c>
      <c r="H157" s="4" t="s">
        <v>584</v>
      </c>
      <c r="I157" s="5" t="s">
        <v>141</v>
      </c>
      <c r="J157" s="4"/>
      <c r="K157" s="5" t="s">
        <v>142</v>
      </c>
      <c r="L157" s="4" t="s">
        <v>585</v>
      </c>
      <c r="M157" s="5" t="s">
        <v>141</v>
      </c>
      <c r="N157" s="4" t="s">
        <v>586</v>
      </c>
      <c r="O157" s="5" t="s">
        <v>141</v>
      </c>
      <c r="P157" s="4" t="s">
        <v>262</v>
      </c>
      <c r="Q157" s="5" t="s">
        <v>141</v>
      </c>
      <c r="R157" s="5" t="n">
        <v>0</v>
      </c>
      <c r="S157" s="5" t="s">
        <v>142</v>
      </c>
      <c r="T157" s="4"/>
      <c r="U157" s="5" t="s">
        <v>142</v>
      </c>
      <c r="V157" s="5" t="n">
        <v>0</v>
      </c>
      <c r="W157" s="5" t="s">
        <v>142</v>
      </c>
      <c r="X157" s="5" t="n">
        <v>4</v>
      </c>
      <c r="Y157" s="4" t="s">
        <v>470</v>
      </c>
    </row>
    <row r="158" customFormat="false" ht="23.85" hidden="false" customHeight="false" outlineLevel="0" collapsed="false">
      <c r="A158" s="5" t="n">
        <v>41958</v>
      </c>
      <c r="B158" s="5" t="s">
        <v>67</v>
      </c>
      <c r="C158" s="5" t="s">
        <v>587</v>
      </c>
      <c r="D158" s="4" t="s">
        <v>18</v>
      </c>
      <c r="E158" s="4" t="s">
        <v>167</v>
      </c>
      <c r="F158" s="4" t="s">
        <v>138</v>
      </c>
      <c r="G158" s="4" t="s">
        <v>588</v>
      </c>
      <c r="H158" s="4" t="s">
        <v>588</v>
      </c>
      <c r="I158" s="5" t="s">
        <v>141</v>
      </c>
      <c r="J158" s="4"/>
      <c r="K158" s="5" t="s">
        <v>142</v>
      </c>
      <c r="L158" s="4" t="s">
        <v>589</v>
      </c>
      <c r="M158" s="5" t="s">
        <v>141</v>
      </c>
      <c r="N158" s="4"/>
      <c r="O158" s="5" t="s">
        <v>142</v>
      </c>
      <c r="P158" s="4" t="s">
        <v>353</v>
      </c>
      <c r="Q158" s="5" t="s">
        <v>141</v>
      </c>
      <c r="R158" s="5" t="n">
        <v>0</v>
      </c>
      <c r="S158" s="5" t="s">
        <v>142</v>
      </c>
      <c r="T158" s="4"/>
      <c r="U158" s="5" t="s">
        <v>142</v>
      </c>
      <c r="V158" s="5" t="n">
        <v>0</v>
      </c>
      <c r="W158" s="5" t="s">
        <v>142</v>
      </c>
      <c r="X158" s="5" t="n">
        <v>5</v>
      </c>
      <c r="Y158" s="4" t="s">
        <v>354</v>
      </c>
    </row>
    <row r="159" customFormat="false" ht="35.05" hidden="false" customHeight="false" outlineLevel="0" collapsed="false">
      <c r="A159" s="5" t="n">
        <v>41959</v>
      </c>
      <c r="B159" s="5" t="s">
        <v>67</v>
      </c>
      <c r="C159" s="5" t="s">
        <v>590</v>
      </c>
      <c r="D159" s="4" t="s">
        <v>28</v>
      </c>
      <c r="E159" s="4" t="s">
        <v>137</v>
      </c>
      <c r="F159" s="4" t="s">
        <v>138</v>
      </c>
      <c r="G159" s="4" t="s">
        <v>591</v>
      </c>
      <c r="H159" s="4"/>
      <c r="I159" s="5" t="s">
        <v>142</v>
      </c>
      <c r="J159" s="4"/>
      <c r="K159" s="5" t="s">
        <v>142</v>
      </c>
      <c r="L159" s="4"/>
      <c r="M159" s="5" t="s">
        <v>142</v>
      </c>
      <c r="N159" s="4"/>
      <c r="O159" s="5" t="s">
        <v>142</v>
      </c>
      <c r="P159" s="4"/>
      <c r="Q159" s="5" t="s">
        <v>142</v>
      </c>
      <c r="R159" s="5" t="n">
        <v>0</v>
      </c>
      <c r="S159" s="5" t="s">
        <v>142</v>
      </c>
      <c r="T159" s="4"/>
      <c r="U159" s="5" t="s">
        <v>142</v>
      </c>
      <c r="V159" s="5" t="n">
        <v>0</v>
      </c>
      <c r="W159" s="5" t="s">
        <v>142</v>
      </c>
      <c r="X159" s="5" t="n">
        <v>8</v>
      </c>
      <c r="Y159" s="4" t="s">
        <v>173</v>
      </c>
    </row>
    <row r="160" customFormat="false" ht="23.85" hidden="false" customHeight="false" outlineLevel="0" collapsed="false">
      <c r="A160" s="5" t="n">
        <v>41967</v>
      </c>
      <c r="B160" s="5" t="s">
        <v>68</v>
      </c>
      <c r="C160" s="5" t="s">
        <v>592</v>
      </c>
      <c r="D160" s="4" t="s">
        <v>32</v>
      </c>
      <c r="E160" s="4" t="s">
        <v>137</v>
      </c>
      <c r="F160" s="4" t="s">
        <v>138</v>
      </c>
      <c r="G160" s="4" t="s">
        <v>593</v>
      </c>
      <c r="H160" s="4" t="s">
        <v>594</v>
      </c>
      <c r="I160" s="5" t="s">
        <v>141</v>
      </c>
      <c r="J160" s="4"/>
      <c r="K160" s="5" t="s">
        <v>142</v>
      </c>
      <c r="L160" s="4"/>
      <c r="M160" s="5" t="s">
        <v>142</v>
      </c>
      <c r="N160" s="4"/>
      <c r="O160" s="5" t="s">
        <v>142</v>
      </c>
      <c r="P160" s="4"/>
      <c r="Q160" s="5" t="s">
        <v>142</v>
      </c>
      <c r="R160" s="5" t="n">
        <v>0</v>
      </c>
      <c r="S160" s="5" t="s">
        <v>142</v>
      </c>
      <c r="T160" s="4"/>
      <c r="U160" s="5" t="s">
        <v>142</v>
      </c>
      <c r="V160" s="5" t="n">
        <v>0</v>
      </c>
      <c r="W160" s="5" t="s">
        <v>142</v>
      </c>
      <c r="X160" s="5" t="n">
        <v>7</v>
      </c>
      <c r="Y160" s="4" t="s">
        <v>143</v>
      </c>
    </row>
    <row r="161" customFormat="false" ht="23.85" hidden="false" customHeight="false" outlineLevel="0" collapsed="false">
      <c r="A161" s="5" t="n">
        <v>41968</v>
      </c>
      <c r="B161" s="5" t="s">
        <v>68</v>
      </c>
      <c r="C161" s="5" t="s">
        <v>595</v>
      </c>
      <c r="D161" s="4" t="s">
        <v>32</v>
      </c>
      <c r="E161" s="4" t="s">
        <v>137</v>
      </c>
      <c r="F161" s="4" t="s">
        <v>138</v>
      </c>
      <c r="G161" s="4" t="s">
        <v>596</v>
      </c>
      <c r="H161" s="4" t="s">
        <v>234</v>
      </c>
      <c r="I161" s="5" t="s">
        <v>141</v>
      </c>
      <c r="J161" s="4"/>
      <c r="K161" s="5" t="s">
        <v>142</v>
      </c>
      <c r="L161" s="4"/>
      <c r="M161" s="5" t="s">
        <v>142</v>
      </c>
      <c r="N161" s="4"/>
      <c r="O161" s="5" t="s">
        <v>142</v>
      </c>
      <c r="P161" s="4"/>
      <c r="Q161" s="5" t="s">
        <v>142</v>
      </c>
      <c r="R161" s="5" t="n">
        <v>0</v>
      </c>
      <c r="S161" s="5" t="s">
        <v>142</v>
      </c>
      <c r="T161" s="4"/>
      <c r="U161" s="5" t="s">
        <v>142</v>
      </c>
      <c r="V161" s="5" t="n">
        <v>0</v>
      </c>
      <c r="W161" s="5" t="s">
        <v>142</v>
      </c>
      <c r="X161" s="5" t="n">
        <v>7</v>
      </c>
      <c r="Y161" s="4" t="s">
        <v>143</v>
      </c>
    </row>
    <row r="162" customFormat="false" ht="23.85" hidden="false" customHeight="false" outlineLevel="0" collapsed="false">
      <c r="A162" s="5" t="n">
        <v>41969</v>
      </c>
      <c r="B162" s="5" t="s">
        <v>68</v>
      </c>
      <c r="C162" s="5" t="s">
        <v>597</v>
      </c>
      <c r="D162" s="4" t="s">
        <v>32</v>
      </c>
      <c r="E162" s="4" t="s">
        <v>137</v>
      </c>
      <c r="F162" s="4" t="s">
        <v>138</v>
      </c>
      <c r="G162" s="4" t="s">
        <v>598</v>
      </c>
      <c r="H162" s="4" t="s">
        <v>599</v>
      </c>
      <c r="I162" s="5" t="s">
        <v>141</v>
      </c>
      <c r="J162" s="4"/>
      <c r="K162" s="5" t="s">
        <v>142</v>
      </c>
      <c r="L162" s="4"/>
      <c r="M162" s="5" t="s">
        <v>142</v>
      </c>
      <c r="N162" s="4"/>
      <c r="O162" s="5" t="s">
        <v>142</v>
      </c>
      <c r="P162" s="4"/>
      <c r="Q162" s="5" t="s">
        <v>142</v>
      </c>
      <c r="R162" s="5" t="n">
        <v>0</v>
      </c>
      <c r="S162" s="5" t="s">
        <v>142</v>
      </c>
      <c r="T162" s="4"/>
      <c r="U162" s="5" t="s">
        <v>142</v>
      </c>
      <c r="V162" s="5" t="n">
        <v>0</v>
      </c>
      <c r="W162" s="5" t="s">
        <v>142</v>
      </c>
      <c r="X162" s="5" t="n">
        <v>7</v>
      </c>
      <c r="Y162" s="4" t="s">
        <v>143</v>
      </c>
    </row>
    <row r="163" customFormat="false" ht="23.85" hidden="false" customHeight="false" outlineLevel="0" collapsed="false">
      <c r="A163" s="5" t="n">
        <v>41970</v>
      </c>
      <c r="B163" s="5" t="s">
        <v>68</v>
      </c>
      <c r="C163" s="5" t="s">
        <v>600</v>
      </c>
      <c r="D163" s="4" t="s">
        <v>32</v>
      </c>
      <c r="E163" s="4" t="s">
        <v>137</v>
      </c>
      <c r="F163" s="4" t="s">
        <v>138</v>
      </c>
      <c r="G163" s="4" t="s">
        <v>601</v>
      </c>
      <c r="H163" s="4" t="s">
        <v>602</v>
      </c>
      <c r="I163" s="5" t="s">
        <v>141</v>
      </c>
      <c r="J163" s="4"/>
      <c r="K163" s="5" t="s">
        <v>142</v>
      </c>
      <c r="L163" s="4"/>
      <c r="M163" s="5" t="s">
        <v>142</v>
      </c>
      <c r="N163" s="4"/>
      <c r="O163" s="5" t="s">
        <v>142</v>
      </c>
      <c r="P163" s="4"/>
      <c r="Q163" s="5" t="s">
        <v>142</v>
      </c>
      <c r="R163" s="5" t="n">
        <v>0</v>
      </c>
      <c r="S163" s="5" t="s">
        <v>142</v>
      </c>
      <c r="T163" s="4"/>
      <c r="U163" s="5" t="s">
        <v>142</v>
      </c>
      <c r="V163" s="5" t="n">
        <v>0</v>
      </c>
      <c r="W163" s="5" t="s">
        <v>142</v>
      </c>
      <c r="X163" s="5" t="n">
        <v>7</v>
      </c>
      <c r="Y163" s="4" t="s">
        <v>143</v>
      </c>
    </row>
    <row r="164" customFormat="false" ht="23.85" hidden="false" customHeight="false" outlineLevel="0" collapsed="false">
      <c r="A164" s="5" t="n">
        <v>41971</v>
      </c>
      <c r="B164" s="5" t="s">
        <v>68</v>
      </c>
      <c r="C164" s="5" t="s">
        <v>603</v>
      </c>
      <c r="D164" s="4" t="s">
        <v>32</v>
      </c>
      <c r="E164" s="4" t="s">
        <v>137</v>
      </c>
      <c r="F164" s="4" t="s">
        <v>138</v>
      </c>
      <c r="G164" s="4" t="s">
        <v>604</v>
      </c>
      <c r="H164" s="4" t="s">
        <v>605</v>
      </c>
      <c r="I164" s="5" t="s">
        <v>141</v>
      </c>
      <c r="J164" s="4"/>
      <c r="K164" s="5" t="s">
        <v>142</v>
      </c>
      <c r="L164" s="4"/>
      <c r="M164" s="5" t="s">
        <v>142</v>
      </c>
      <c r="N164" s="4"/>
      <c r="O164" s="5" t="s">
        <v>142</v>
      </c>
      <c r="P164" s="4"/>
      <c r="Q164" s="5" t="s">
        <v>142</v>
      </c>
      <c r="R164" s="5" t="n">
        <v>0</v>
      </c>
      <c r="S164" s="5" t="s">
        <v>142</v>
      </c>
      <c r="T164" s="4"/>
      <c r="U164" s="5" t="s">
        <v>142</v>
      </c>
      <c r="V164" s="5" t="n">
        <v>0</v>
      </c>
      <c r="W164" s="5" t="s">
        <v>142</v>
      </c>
      <c r="X164" s="5" t="n">
        <v>7</v>
      </c>
      <c r="Y164" s="4" t="s">
        <v>143</v>
      </c>
    </row>
    <row r="165" customFormat="false" ht="23.85" hidden="false" customHeight="false" outlineLevel="0" collapsed="false">
      <c r="A165" s="5" t="n">
        <v>41972</v>
      </c>
      <c r="B165" s="5" t="s">
        <v>68</v>
      </c>
      <c r="C165" s="5" t="s">
        <v>583</v>
      </c>
      <c r="D165" s="4" t="s">
        <v>32</v>
      </c>
      <c r="E165" s="4" t="s">
        <v>137</v>
      </c>
      <c r="F165" s="4" t="s">
        <v>138</v>
      </c>
      <c r="G165" s="4" t="s">
        <v>606</v>
      </c>
      <c r="H165" s="4" t="s">
        <v>607</v>
      </c>
      <c r="I165" s="5" t="s">
        <v>141</v>
      </c>
      <c r="J165" s="4"/>
      <c r="K165" s="5" t="s">
        <v>142</v>
      </c>
      <c r="L165" s="4"/>
      <c r="M165" s="5" t="s">
        <v>142</v>
      </c>
      <c r="N165" s="4"/>
      <c r="O165" s="5" t="s">
        <v>142</v>
      </c>
      <c r="P165" s="4"/>
      <c r="Q165" s="5" t="s">
        <v>142</v>
      </c>
      <c r="R165" s="5" t="n">
        <v>0</v>
      </c>
      <c r="S165" s="5" t="s">
        <v>142</v>
      </c>
      <c r="T165" s="4"/>
      <c r="U165" s="5" t="s">
        <v>142</v>
      </c>
      <c r="V165" s="5" t="n">
        <v>0</v>
      </c>
      <c r="W165" s="5" t="s">
        <v>142</v>
      </c>
      <c r="X165" s="5" t="n">
        <v>7</v>
      </c>
      <c r="Y165" s="4" t="s">
        <v>143</v>
      </c>
    </row>
    <row r="166" customFormat="false" ht="23.85" hidden="false" customHeight="false" outlineLevel="0" collapsed="false">
      <c r="A166" s="5" t="n">
        <v>41973</v>
      </c>
      <c r="B166" s="5" t="s">
        <v>68</v>
      </c>
      <c r="C166" s="5" t="s">
        <v>608</v>
      </c>
      <c r="D166" s="4" t="s">
        <v>30</v>
      </c>
      <c r="E166" s="4" t="s">
        <v>137</v>
      </c>
      <c r="F166" s="4" t="s">
        <v>138</v>
      </c>
      <c r="G166" s="4" t="s">
        <v>609</v>
      </c>
      <c r="H166" s="4" t="s">
        <v>610</v>
      </c>
      <c r="I166" s="5" t="s">
        <v>141</v>
      </c>
      <c r="J166" s="4"/>
      <c r="K166" s="5" t="s">
        <v>142</v>
      </c>
      <c r="L166" s="4"/>
      <c r="M166" s="5" t="s">
        <v>142</v>
      </c>
      <c r="N166" s="4"/>
      <c r="O166" s="5" t="s">
        <v>142</v>
      </c>
      <c r="P166" s="4"/>
      <c r="Q166" s="5" t="s">
        <v>142</v>
      </c>
      <c r="R166" s="5" t="n">
        <v>0</v>
      </c>
      <c r="S166" s="5" t="s">
        <v>142</v>
      </c>
      <c r="T166" s="4"/>
      <c r="U166" s="5" t="s">
        <v>142</v>
      </c>
      <c r="V166" s="5" t="n">
        <v>0</v>
      </c>
      <c r="W166" s="5" t="s">
        <v>142</v>
      </c>
      <c r="X166" s="5" t="n">
        <v>7</v>
      </c>
      <c r="Y166" s="4" t="s">
        <v>143</v>
      </c>
    </row>
    <row r="167" customFormat="false" ht="23.85" hidden="false" customHeight="false" outlineLevel="0" collapsed="false">
      <c r="A167" s="5" t="n">
        <v>41985</v>
      </c>
      <c r="B167" s="5" t="s">
        <v>68</v>
      </c>
      <c r="C167" s="5" t="s">
        <v>301</v>
      </c>
      <c r="D167" s="4" t="s">
        <v>20</v>
      </c>
      <c r="E167" s="4" t="s">
        <v>167</v>
      </c>
      <c r="F167" s="4" t="s">
        <v>138</v>
      </c>
      <c r="G167" s="4" t="s">
        <v>611</v>
      </c>
      <c r="H167" s="4" t="s">
        <v>612</v>
      </c>
      <c r="I167" s="5" t="s">
        <v>141</v>
      </c>
      <c r="J167" s="4" t="s">
        <v>613</v>
      </c>
      <c r="K167" s="5" t="s">
        <v>141</v>
      </c>
      <c r="L167" s="4" t="s">
        <v>292</v>
      </c>
      <c r="M167" s="5" t="s">
        <v>141</v>
      </c>
      <c r="N167" s="4" t="s">
        <v>614</v>
      </c>
      <c r="O167" s="5" t="s">
        <v>141</v>
      </c>
      <c r="P167" s="4" t="s">
        <v>615</v>
      </c>
      <c r="Q167" s="5" t="s">
        <v>141</v>
      </c>
      <c r="R167" s="5" t="n">
        <v>0</v>
      </c>
      <c r="S167" s="5" t="s">
        <v>142</v>
      </c>
      <c r="T167" s="4"/>
      <c r="U167" s="5" t="s">
        <v>142</v>
      </c>
      <c r="V167" s="5" t="n">
        <v>0</v>
      </c>
      <c r="W167" s="5" t="s">
        <v>142</v>
      </c>
      <c r="X167" s="5" t="n">
        <v>3</v>
      </c>
      <c r="Y167" s="4" t="s">
        <v>330</v>
      </c>
    </row>
    <row r="168" customFormat="false" ht="23.85" hidden="false" customHeight="false" outlineLevel="0" collapsed="false">
      <c r="A168" s="5" t="n">
        <v>41986</v>
      </c>
      <c r="B168" s="5" t="s">
        <v>68</v>
      </c>
      <c r="C168" s="5" t="s">
        <v>301</v>
      </c>
      <c r="D168" s="4" t="s">
        <v>30</v>
      </c>
      <c r="E168" s="4" t="s">
        <v>137</v>
      </c>
      <c r="F168" s="4" t="s">
        <v>138</v>
      </c>
      <c r="G168" s="4" t="s">
        <v>616</v>
      </c>
      <c r="H168" s="4" t="s">
        <v>617</v>
      </c>
      <c r="I168" s="5" t="s">
        <v>141</v>
      </c>
      <c r="J168" s="4"/>
      <c r="K168" s="5" t="s">
        <v>142</v>
      </c>
      <c r="L168" s="4"/>
      <c r="M168" s="5" t="s">
        <v>142</v>
      </c>
      <c r="N168" s="4"/>
      <c r="O168" s="5" t="s">
        <v>142</v>
      </c>
      <c r="P168" s="4"/>
      <c r="Q168" s="5" t="s">
        <v>142</v>
      </c>
      <c r="R168" s="5" t="n">
        <v>0</v>
      </c>
      <c r="S168" s="5" t="s">
        <v>142</v>
      </c>
      <c r="T168" s="4"/>
      <c r="U168" s="5" t="s">
        <v>142</v>
      </c>
      <c r="V168" s="5" t="n">
        <v>0</v>
      </c>
      <c r="W168" s="5" t="s">
        <v>142</v>
      </c>
      <c r="X168" s="5" t="n">
        <v>7</v>
      </c>
      <c r="Y168" s="4" t="s">
        <v>143</v>
      </c>
    </row>
    <row r="169" customFormat="false" ht="23.85" hidden="false" customHeight="false" outlineLevel="0" collapsed="false">
      <c r="A169" s="5" t="n">
        <v>41987</v>
      </c>
      <c r="B169" s="5" t="s">
        <v>68</v>
      </c>
      <c r="C169" s="5" t="s">
        <v>305</v>
      </c>
      <c r="D169" s="4" t="s">
        <v>30</v>
      </c>
      <c r="E169" s="4" t="s">
        <v>137</v>
      </c>
      <c r="F169" s="4" t="s">
        <v>246</v>
      </c>
      <c r="G169" s="4" t="s">
        <v>618</v>
      </c>
      <c r="H169" s="4" t="s">
        <v>618</v>
      </c>
      <c r="I169" s="5" t="s">
        <v>141</v>
      </c>
      <c r="J169" s="4"/>
      <c r="K169" s="5" t="s">
        <v>142</v>
      </c>
      <c r="L169" s="4"/>
      <c r="M169" s="5" t="s">
        <v>142</v>
      </c>
      <c r="N169" s="4"/>
      <c r="O169" s="5" t="s">
        <v>142</v>
      </c>
      <c r="P169" s="4"/>
      <c r="Q169" s="5" t="s">
        <v>142</v>
      </c>
      <c r="R169" s="5" t="n">
        <v>0</v>
      </c>
      <c r="S169" s="5" t="s">
        <v>142</v>
      </c>
      <c r="T169" s="4"/>
      <c r="U169" s="5" t="s">
        <v>142</v>
      </c>
      <c r="V169" s="5" t="n">
        <v>0</v>
      </c>
      <c r="W169" s="5" t="s">
        <v>142</v>
      </c>
      <c r="X169" s="5" t="n">
        <v>7</v>
      </c>
      <c r="Y169" s="4" t="s">
        <v>143</v>
      </c>
    </row>
    <row r="170" customFormat="false" ht="23.85" hidden="false" customHeight="false" outlineLevel="0" collapsed="false">
      <c r="A170" s="5" t="n">
        <v>41988</v>
      </c>
      <c r="B170" s="5" t="s">
        <v>68</v>
      </c>
      <c r="C170" s="5" t="s">
        <v>619</v>
      </c>
      <c r="D170" s="4" t="s">
        <v>30</v>
      </c>
      <c r="E170" s="4" t="s">
        <v>137</v>
      </c>
      <c r="F170" s="4" t="s">
        <v>246</v>
      </c>
      <c r="G170" s="4" t="s">
        <v>620</v>
      </c>
      <c r="H170" s="4" t="s">
        <v>620</v>
      </c>
      <c r="I170" s="5" t="s">
        <v>141</v>
      </c>
      <c r="J170" s="4"/>
      <c r="K170" s="5" t="s">
        <v>142</v>
      </c>
      <c r="L170" s="4"/>
      <c r="M170" s="5" t="s">
        <v>142</v>
      </c>
      <c r="N170" s="4"/>
      <c r="O170" s="5" t="s">
        <v>142</v>
      </c>
      <c r="P170" s="4"/>
      <c r="Q170" s="5" t="s">
        <v>142</v>
      </c>
      <c r="R170" s="5" t="n">
        <v>0</v>
      </c>
      <c r="S170" s="5" t="s">
        <v>142</v>
      </c>
      <c r="T170" s="4"/>
      <c r="U170" s="5" t="s">
        <v>142</v>
      </c>
      <c r="V170" s="5" t="n">
        <v>0</v>
      </c>
      <c r="W170" s="5" t="s">
        <v>142</v>
      </c>
      <c r="X170" s="5" t="n">
        <v>7</v>
      </c>
      <c r="Y170" s="4" t="s">
        <v>143</v>
      </c>
    </row>
    <row r="171" customFormat="false" ht="23.85" hidden="false" customHeight="false" outlineLevel="0" collapsed="false">
      <c r="A171" s="5" t="n">
        <v>41989</v>
      </c>
      <c r="B171" s="5" t="s">
        <v>68</v>
      </c>
      <c r="C171" s="5" t="s">
        <v>382</v>
      </c>
      <c r="D171" s="4" t="s">
        <v>20</v>
      </c>
      <c r="E171" s="4" t="s">
        <v>167</v>
      </c>
      <c r="F171" s="4" t="s">
        <v>138</v>
      </c>
      <c r="G171" s="4" t="s">
        <v>621</v>
      </c>
      <c r="H171" s="4" t="s">
        <v>622</v>
      </c>
      <c r="I171" s="5" t="s">
        <v>141</v>
      </c>
      <c r="J171" s="4" t="s">
        <v>623</v>
      </c>
      <c r="K171" s="5" t="s">
        <v>141</v>
      </c>
      <c r="L171" s="4" t="s">
        <v>621</v>
      </c>
      <c r="M171" s="5" t="s">
        <v>141</v>
      </c>
      <c r="N171" s="4" t="s">
        <v>487</v>
      </c>
      <c r="O171" s="5" t="s">
        <v>141</v>
      </c>
      <c r="P171" s="4" t="s">
        <v>624</v>
      </c>
      <c r="Q171" s="5" t="s">
        <v>141</v>
      </c>
      <c r="R171" s="5" t="n">
        <v>0</v>
      </c>
      <c r="S171" s="5" t="s">
        <v>142</v>
      </c>
      <c r="T171" s="4"/>
      <c r="U171" s="5" t="s">
        <v>142</v>
      </c>
      <c r="V171" s="5" t="n">
        <v>0</v>
      </c>
      <c r="W171" s="5" t="s">
        <v>142</v>
      </c>
      <c r="X171" s="5" t="n">
        <v>3</v>
      </c>
      <c r="Y171" s="4" t="s">
        <v>330</v>
      </c>
    </row>
    <row r="172" customFormat="false" ht="23.85" hidden="false" customHeight="false" outlineLevel="0" collapsed="false">
      <c r="A172" s="5" t="n">
        <v>41990</v>
      </c>
      <c r="B172" s="5" t="s">
        <v>68</v>
      </c>
      <c r="C172" s="5" t="s">
        <v>176</v>
      </c>
      <c r="D172" s="4" t="s">
        <v>20</v>
      </c>
      <c r="E172" s="4" t="s">
        <v>167</v>
      </c>
      <c r="F172" s="4" t="s">
        <v>138</v>
      </c>
      <c r="G172" s="4" t="s">
        <v>625</v>
      </c>
      <c r="H172" s="4" t="s">
        <v>626</v>
      </c>
      <c r="I172" s="5" t="s">
        <v>141</v>
      </c>
      <c r="J172" s="4" t="s">
        <v>627</v>
      </c>
      <c r="K172" s="5" t="s">
        <v>141</v>
      </c>
      <c r="L172" s="4" t="s">
        <v>628</v>
      </c>
      <c r="M172" s="5" t="s">
        <v>141</v>
      </c>
      <c r="N172" s="4" t="s">
        <v>629</v>
      </c>
      <c r="O172" s="5" t="s">
        <v>141</v>
      </c>
      <c r="P172" s="4" t="s">
        <v>630</v>
      </c>
      <c r="Q172" s="5" t="s">
        <v>141</v>
      </c>
      <c r="R172" s="5" t="n">
        <v>1</v>
      </c>
      <c r="S172" s="5" t="s">
        <v>141</v>
      </c>
      <c r="T172" s="4" t="s">
        <v>615</v>
      </c>
      <c r="U172" s="5" t="s">
        <v>141</v>
      </c>
      <c r="V172" s="5" t="n">
        <v>0</v>
      </c>
      <c r="W172" s="5" t="s">
        <v>142</v>
      </c>
      <c r="X172" s="5" t="n">
        <v>1</v>
      </c>
      <c r="Y172" s="4" t="s">
        <v>631</v>
      </c>
    </row>
    <row r="173" customFormat="false" ht="23.85" hidden="false" customHeight="false" outlineLevel="0" collapsed="false">
      <c r="A173" s="5" t="n">
        <v>41991</v>
      </c>
      <c r="B173" s="5" t="s">
        <v>68</v>
      </c>
      <c r="C173" s="5" t="s">
        <v>632</v>
      </c>
      <c r="D173" s="4" t="s">
        <v>20</v>
      </c>
      <c r="E173" s="4" t="s">
        <v>167</v>
      </c>
      <c r="F173" s="4" t="s">
        <v>246</v>
      </c>
      <c r="G173" s="4" t="s">
        <v>633</v>
      </c>
      <c r="H173" s="4" t="s">
        <v>633</v>
      </c>
      <c r="I173" s="5" t="s">
        <v>141</v>
      </c>
      <c r="J173" s="4" t="s">
        <v>634</v>
      </c>
      <c r="K173" s="5" t="s">
        <v>141</v>
      </c>
      <c r="L173" s="4" t="s">
        <v>635</v>
      </c>
      <c r="M173" s="5" t="s">
        <v>141</v>
      </c>
      <c r="N173" s="4" t="s">
        <v>636</v>
      </c>
      <c r="O173" s="5" t="s">
        <v>141</v>
      </c>
      <c r="P173" s="4" t="s">
        <v>637</v>
      </c>
      <c r="Q173" s="5" t="s">
        <v>141</v>
      </c>
      <c r="R173" s="5" t="n">
        <v>0</v>
      </c>
      <c r="S173" s="5" t="s">
        <v>142</v>
      </c>
      <c r="T173" s="4"/>
      <c r="U173" s="5" t="s">
        <v>142</v>
      </c>
      <c r="V173" s="5" t="n">
        <v>0</v>
      </c>
      <c r="W173" s="5" t="s">
        <v>142</v>
      </c>
      <c r="X173" s="5" t="n">
        <v>3</v>
      </c>
      <c r="Y173" s="4" t="s">
        <v>330</v>
      </c>
    </row>
    <row r="174" customFormat="false" ht="23.85" hidden="false" customHeight="false" outlineLevel="0" collapsed="false">
      <c r="A174" s="5" t="n">
        <v>41992</v>
      </c>
      <c r="B174" s="5" t="s">
        <v>68</v>
      </c>
      <c r="C174" s="5" t="s">
        <v>638</v>
      </c>
      <c r="D174" s="4" t="s">
        <v>20</v>
      </c>
      <c r="E174" s="4" t="s">
        <v>167</v>
      </c>
      <c r="F174" s="4" t="s">
        <v>246</v>
      </c>
      <c r="G174" s="4" t="s">
        <v>639</v>
      </c>
      <c r="H174" s="4" t="s">
        <v>639</v>
      </c>
      <c r="I174" s="5" t="s">
        <v>141</v>
      </c>
      <c r="J174" s="4" t="s">
        <v>640</v>
      </c>
      <c r="K174" s="5" t="s">
        <v>141</v>
      </c>
      <c r="L174" s="4" t="s">
        <v>641</v>
      </c>
      <c r="M174" s="5" t="s">
        <v>141</v>
      </c>
      <c r="N174" s="4" t="s">
        <v>639</v>
      </c>
      <c r="O174" s="5" t="s">
        <v>141</v>
      </c>
      <c r="P174" s="4" t="s">
        <v>615</v>
      </c>
      <c r="Q174" s="5" t="s">
        <v>141</v>
      </c>
      <c r="R174" s="5" t="n">
        <v>0</v>
      </c>
      <c r="S174" s="5" t="s">
        <v>142</v>
      </c>
      <c r="T174" s="4"/>
      <c r="U174" s="5" t="s">
        <v>142</v>
      </c>
      <c r="V174" s="5" t="n">
        <v>0</v>
      </c>
      <c r="W174" s="5" t="s">
        <v>142</v>
      </c>
      <c r="X174" s="5" t="n">
        <v>3</v>
      </c>
      <c r="Y174" s="4" t="s">
        <v>330</v>
      </c>
    </row>
    <row r="175" customFormat="false" ht="23.85" hidden="false" customHeight="false" outlineLevel="0" collapsed="false">
      <c r="A175" s="5" t="n">
        <v>41993</v>
      </c>
      <c r="B175" s="5" t="s">
        <v>68</v>
      </c>
      <c r="C175" s="5" t="s">
        <v>182</v>
      </c>
      <c r="D175" s="4" t="s">
        <v>20</v>
      </c>
      <c r="E175" s="4" t="s">
        <v>167</v>
      </c>
      <c r="F175" s="4" t="s">
        <v>246</v>
      </c>
      <c r="G175" s="4" t="s">
        <v>642</v>
      </c>
      <c r="H175" s="4"/>
      <c r="I175" s="5" t="s">
        <v>142</v>
      </c>
      <c r="J175" s="4"/>
      <c r="K175" s="5" t="s">
        <v>142</v>
      </c>
      <c r="L175" s="4" t="s">
        <v>643</v>
      </c>
      <c r="M175" s="5" t="s">
        <v>141</v>
      </c>
      <c r="N175" s="4" t="s">
        <v>642</v>
      </c>
      <c r="O175" s="5" t="s">
        <v>141</v>
      </c>
      <c r="P175" s="4" t="s">
        <v>615</v>
      </c>
      <c r="Q175" s="5" t="s">
        <v>141</v>
      </c>
      <c r="R175" s="5" t="n">
        <v>0</v>
      </c>
      <c r="S175" s="5" t="s">
        <v>142</v>
      </c>
      <c r="T175" s="4"/>
      <c r="U175" s="5" t="s">
        <v>142</v>
      </c>
      <c r="V175" s="5" t="n">
        <v>0</v>
      </c>
      <c r="W175" s="5" t="s">
        <v>142</v>
      </c>
      <c r="X175" s="5" t="n">
        <v>5</v>
      </c>
      <c r="Y175" s="4" t="s">
        <v>644</v>
      </c>
    </row>
    <row r="176" customFormat="false" ht="23.85" hidden="false" customHeight="false" outlineLevel="0" collapsed="false">
      <c r="A176" s="5" t="n">
        <v>41994</v>
      </c>
      <c r="B176" s="5" t="s">
        <v>68</v>
      </c>
      <c r="C176" s="5" t="s">
        <v>645</v>
      </c>
      <c r="D176" s="4" t="s">
        <v>20</v>
      </c>
      <c r="E176" s="4" t="s">
        <v>167</v>
      </c>
      <c r="F176" s="4" t="s">
        <v>246</v>
      </c>
      <c r="G176" s="4" t="s">
        <v>646</v>
      </c>
      <c r="H176" s="4" t="s">
        <v>646</v>
      </c>
      <c r="I176" s="5" t="s">
        <v>141</v>
      </c>
      <c r="J176" s="4" t="s">
        <v>647</v>
      </c>
      <c r="K176" s="5" t="s">
        <v>141</v>
      </c>
      <c r="L176" s="4" t="s">
        <v>648</v>
      </c>
      <c r="M176" s="5" t="s">
        <v>141</v>
      </c>
      <c r="N176" s="4"/>
      <c r="O176" s="5" t="s">
        <v>142</v>
      </c>
      <c r="P176" s="4" t="s">
        <v>615</v>
      </c>
      <c r="Q176" s="5" t="s">
        <v>141</v>
      </c>
      <c r="R176" s="5" t="n">
        <v>0</v>
      </c>
      <c r="S176" s="5" t="s">
        <v>142</v>
      </c>
      <c r="T176" s="4"/>
      <c r="U176" s="5" t="s">
        <v>142</v>
      </c>
      <c r="V176" s="5" t="n">
        <v>0</v>
      </c>
      <c r="W176" s="5" t="s">
        <v>142</v>
      </c>
      <c r="X176" s="5" t="n">
        <v>4</v>
      </c>
      <c r="Y176" s="4" t="s">
        <v>290</v>
      </c>
    </row>
    <row r="177" customFormat="false" ht="23.85" hidden="false" customHeight="false" outlineLevel="0" collapsed="false">
      <c r="A177" s="5" t="n">
        <v>41995</v>
      </c>
      <c r="B177" s="5" t="s">
        <v>68</v>
      </c>
      <c r="C177" s="5" t="s">
        <v>649</v>
      </c>
      <c r="D177" s="4" t="s">
        <v>20</v>
      </c>
      <c r="E177" s="4" t="s">
        <v>167</v>
      </c>
      <c r="F177" s="4" t="s">
        <v>246</v>
      </c>
      <c r="G177" s="4" t="s">
        <v>650</v>
      </c>
      <c r="H177" s="4" t="s">
        <v>650</v>
      </c>
      <c r="I177" s="5" t="s">
        <v>141</v>
      </c>
      <c r="J177" s="4" t="s">
        <v>651</v>
      </c>
      <c r="K177" s="5" t="s">
        <v>141</v>
      </c>
      <c r="L177" s="4" t="s">
        <v>652</v>
      </c>
      <c r="M177" s="5" t="s">
        <v>141</v>
      </c>
      <c r="N177" s="4"/>
      <c r="O177" s="5" t="s">
        <v>142</v>
      </c>
      <c r="P177" s="4" t="s">
        <v>615</v>
      </c>
      <c r="Q177" s="5" t="s">
        <v>141</v>
      </c>
      <c r="R177" s="5" t="n">
        <v>0</v>
      </c>
      <c r="S177" s="5" t="s">
        <v>142</v>
      </c>
      <c r="T177" s="4"/>
      <c r="U177" s="5" t="s">
        <v>142</v>
      </c>
      <c r="V177" s="5" t="n">
        <v>0</v>
      </c>
      <c r="W177" s="5" t="s">
        <v>142</v>
      </c>
      <c r="X177" s="5" t="n">
        <v>4</v>
      </c>
      <c r="Y177" s="4" t="s">
        <v>290</v>
      </c>
    </row>
    <row r="178" customFormat="false" ht="23.85" hidden="false" customHeight="false" outlineLevel="0" collapsed="false">
      <c r="A178" s="5" t="n">
        <v>42000</v>
      </c>
      <c r="B178" s="5" t="s">
        <v>68</v>
      </c>
      <c r="C178" s="5" t="s">
        <v>653</v>
      </c>
      <c r="D178" s="4" t="s">
        <v>28</v>
      </c>
      <c r="E178" s="4" t="s">
        <v>137</v>
      </c>
      <c r="F178" s="4" t="s">
        <v>474</v>
      </c>
      <c r="G178" s="4" t="s">
        <v>654</v>
      </c>
      <c r="H178" s="4" t="s">
        <v>654</v>
      </c>
      <c r="I178" s="5" t="s">
        <v>141</v>
      </c>
      <c r="J178" s="4"/>
      <c r="K178" s="5" t="s">
        <v>142</v>
      </c>
      <c r="L178" s="4" t="s">
        <v>655</v>
      </c>
      <c r="M178" s="5" t="s">
        <v>141</v>
      </c>
      <c r="N178" s="4" t="s">
        <v>656</v>
      </c>
      <c r="O178" s="5" t="s">
        <v>141</v>
      </c>
      <c r="P178" s="4"/>
      <c r="Q178" s="5" t="s">
        <v>142</v>
      </c>
      <c r="R178" s="5" t="n">
        <v>0</v>
      </c>
      <c r="S178" s="5" t="s">
        <v>142</v>
      </c>
      <c r="T178" s="4"/>
      <c r="U178" s="5" t="s">
        <v>142</v>
      </c>
      <c r="V178" s="5" t="n">
        <v>0</v>
      </c>
      <c r="W178" s="5" t="s">
        <v>142</v>
      </c>
      <c r="X178" s="5" t="n">
        <v>5</v>
      </c>
      <c r="Y178" s="4" t="s">
        <v>533</v>
      </c>
    </row>
    <row r="179" customFormat="false" ht="23.85" hidden="false" customHeight="false" outlineLevel="0" collapsed="false">
      <c r="A179" s="5" t="n">
        <v>42001</v>
      </c>
      <c r="B179" s="5" t="s">
        <v>69</v>
      </c>
      <c r="C179" s="5" t="s">
        <v>657</v>
      </c>
      <c r="D179" s="4" t="s">
        <v>18</v>
      </c>
      <c r="E179" s="4" t="s">
        <v>167</v>
      </c>
      <c r="F179" s="4" t="s">
        <v>138</v>
      </c>
      <c r="G179" s="4" t="s">
        <v>658</v>
      </c>
      <c r="H179" s="4" t="s">
        <v>659</v>
      </c>
      <c r="I179" s="5" t="s">
        <v>141</v>
      </c>
      <c r="J179" s="4"/>
      <c r="K179" s="5" t="s">
        <v>142</v>
      </c>
      <c r="L179" s="4" t="s">
        <v>660</v>
      </c>
      <c r="M179" s="5" t="s">
        <v>141</v>
      </c>
      <c r="N179" s="4" t="s">
        <v>661</v>
      </c>
      <c r="O179" s="5" t="s">
        <v>141</v>
      </c>
      <c r="P179" s="4" t="s">
        <v>262</v>
      </c>
      <c r="Q179" s="5" t="s">
        <v>141</v>
      </c>
      <c r="R179" s="5" t="n">
        <v>0</v>
      </c>
      <c r="S179" s="5" t="s">
        <v>142</v>
      </c>
      <c r="T179" s="4"/>
      <c r="U179" s="5" t="s">
        <v>142</v>
      </c>
      <c r="V179" s="5" t="n">
        <v>0</v>
      </c>
      <c r="W179" s="5" t="s">
        <v>142</v>
      </c>
      <c r="X179" s="5" t="n">
        <v>4</v>
      </c>
      <c r="Y179" s="4" t="s">
        <v>470</v>
      </c>
    </row>
    <row r="180" customFormat="false" ht="35.05" hidden="false" customHeight="false" outlineLevel="0" collapsed="false">
      <c r="A180" s="5" t="n">
        <v>42002</v>
      </c>
      <c r="B180" s="5" t="s">
        <v>69</v>
      </c>
      <c r="C180" s="5" t="s">
        <v>662</v>
      </c>
      <c r="D180" s="4" t="s">
        <v>24</v>
      </c>
      <c r="E180" s="4" t="s">
        <v>167</v>
      </c>
      <c r="F180" s="4" t="s">
        <v>138</v>
      </c>
      <c r="G180" s="4" t="s">
        <v>663</v>
      </c>
      <c r="H180" s="4"/>
      <c r="I180" s="5" t="s">
        <v>142</v>
      </c>
      <c r="J180" s="4"/>
      <c r="K180" s="5" t="s">
        <v>142</v>
      </c>
      <c r="L180" s="4"/>
      <c r="M180" s="5" t="s">
        <v>142</v>
      </c>
      <c r="N180" s="4"/>
      <c r="O180" s="5" t="s">
        <v>142</v>
      </c>
      <c r="P180" s="4"/>
      <c r="Q180" s="5" t="s">
        <v>142</v>
      </c>
      <c r="R180" s="5" t="n">
        <v>0</v>
      </c>
      <c r="S180" s="5" t="s">
        <v>142</v>
      </c>
      <c r="T180" s="4"/>
      <c r="U180" s="5" t="s">
        <v>142</v>
      </c>
      <c r="V180" s="5" t="n">
        <v>0</v>
      </c>
      <c r="W180" s="5" t="s">
        <v>142</v>
      </c>
      <c r="X180" s="5" t="n">
        <v>8</v>
      </c>
      <c r="Y180" s="4" t="s">
        <v>173</v>
      </c>
    </row>
    <row r="181" customFormat="false" ht="23.85" hidden="false" customHeight="false" outlineLevel="0" collapsed="false">
      <c r="A181" s="5" t="n">
        <v>42006</v>
      </c>
      <c r="B181" s="5" t="s">
        <v>69</v>
      </c>
      <c r="C181" s="5" t="s">
        <v>664</v>
      </c>
      <c r="D181" s="4" t="s">
        <v>32</v>
      </c>
      <c r="E181" s="4" t="s">
        <v>137</v>
      </c>
      <c r="F181" s="4" t="s">
        <v>138</v>
      </c>
      <c r="G181" s="4" t="s">
        <v>665</v>
      </c>
      <c r="H181" s="4" t="s">
        <v>666</v>
      </c>
      <c r="I181" s="5" t="s">
        <v>141</v>
      </c>
      <c r="J181" s="4"/>
      <c r="K181" s="5" t="s">
        <v>142</v>
      </c>
      <c r="L181" s="4" t="s">
        <v>667</v>
      </c>
      <c r="M181" s="5" t="s">
        <v>141</v>
      </c>
      <c r="N181" s="4"/>
      <c r="O181" s="5" t="s">
        <v>142</v>
      </c>
      <c r="P181" s="4" t="s">
        <v>262</v>
      </c>
      <c r="Q181" s="5" t="s">
        <v>141</v>
      </c>
      <c r="R181" s="5" t="n">
        <v>0</v>
      </c>
      <c r="S181" s="5" t="s">
        <v>142</v>
      </c>
      <c r="T181" s="4" t="s">
        <v>413</v>
      </c>
      <c r="U181" s="5" t="s">
        <v>141</v>
      </c>
      <c r="V181" s="5" t="n">
        <v>0</v>
      </c>
      <c r="W181" s="5" t="s">
        <v>142</v>
      </c>
      <c r="X181" s="5" t="n">
        <v>4</v>
      </c>
      <c r="Y181" s="4" t="s">
        <v>668</v>
      </c>
    </row>
    <row r="182" customFormat="false" ht="23.85" hidden="false" customHeight="false" outlineLevel="0" collapsed="false">
      <c r="A182" s="5" t="n">
        <v>42007</v>
      </c>
      <c r="B182" s="5" t="s">
        <v>69</v>
      </c>
      <c r="C182" s="5" t="s">
        <v>291</v>
      </c>
      <c r="D182" s="4" t="s">
        <v>32</v>
      </c>
      <c r="E182" s="4" t="s">
        <v>137</v>
      </c>
      <c r="F182" s="4" t="s">
        <v>138</v>
      </c>
      <c r="G182" s="4" t="s">
        <v>669</v>
      </c>
      <c r="H182" s="4" t="s">
        <v>670</v>
      </c>
      <c r="I182" s="5" t="s">
        <v>141</v>
      </c>
      <c r="J182" s="4"/>
      <c r="K182" s="5" t="s">
        <v>142</v>
      </c>
      <c r="L182" s="4"/>
      <c r="M182" s="5" t="s">
        <v>142</v>
      </c>
      <c r="N182" s="4"/>
      <c r="O182" s="5" t="s">
        <v>142</v>
      </c>
      <c r="P182" s="4"/>
      <c r="Q182" s="5" t="s">
        <v>142</v>
      </c>
      <c r="R182" s="5" t="n">
        <v>0</v>
      </c>
      <c r="S182" s="5" t="s">
        <v>142</v>
      </c>
      <c r="T182" s="4"/>
      <c r="U182" s="5" t="s">
        <v>142</v>
      </c>
      <c r="V182" s="5" t="n">
        <v>0</v>
      </c>
      <c r="W182" s="5" t="s">
        <v>142</v>
      </c>
      <c r="X182" s="5" t="n">
        <v>7</v>
      </c>
      <c r="Y182" s="4" t="s">
        <v>143</v>
      </c>
    </row>
    <row r="183" customFormat="false" ht="23.85" hidden="false" customHeight="false" outlineLevel="0" collapsed="false">
      <c r="A183" s="5" t="n">
        <v>42008</v>
      </c>
      <c r="B183" s="5" t="s">
        <v>69</v>
      </c>
      <c r="C183" s="5" t="s">
        <v>671</v>
      </c>
      <c r="D183" s="4" t="s">
        <v>24</v>
      </c>
      <c r="E183" s="4" t="s">
        <v>167</v>
      </c>
      <c r="F183" s="4" t="s">
        <v>474</v>
      </c>
      <c r="G183" s="4" t="s">
        <v>672</v>
      </c>
      <c r="H183" s="4"/>
      <c r="I183" s="5" t="s">
        <v>142</v>
      </c>
      <c r="J183" s="4"/>
      <c r="K183" s="5" t="s">
        <v>142</v>
      </c>
      <c r="L183" s="4" t="s">
        <v>673</v>
      </c>
      <c r="M183" s="5" t="s">
        <v>141</v>
      </c>
      <c r="N183" s="4" t="s">
        <v>674</v>
      </c>
      <c r="O183" s="5" t="s">
        <v>141</v>
      </c>
      <c r="P183" s="4"/>
      <c r="Q183" s="5" t="s">
        <v>142</v>
      </c>
      <c r="R183" s="5" t="n">
        <v>0</v>
      </c>
      <c r="S183" s="5" t="s">
        <v>142</v>
      </c>
      <c r="T183" s="4"/>
      <c r="U183" s="5" t="s">
        <v>142</v>
      </c>
      <c r="V183" s="5" t="n">
        <v>0</v>
      </c>
      <c r="W183" s="5" t="s">
        <v>142</v>
      </c>
      <c r="X183" s="5" t="n">
        <v>6</v>
      </c>
      <c r="Y183" s="4" t="s">
        <v>675</v>
      </c>
    </row>
    <row r="184" customFormat="false" ht="23.85" hidden="false" customHeight="false" outlineLevel="0" collapsed="false">
      <c r="A184" s="5" t="n">
        <v>42019</v>
      </c>
      <c r="B184" s="5" t="s">
        <v>69</v>
      </c>
      <c r="C184" s="5" t="s">
        <v>452</v>
      </c>
      <c r="D184" s="4" t="s">
        <v>30</v>
      </c>
      <c r="E184" s="4" t="s">
        <v>137</v>
      </c>
      <c r="F184" s="4" t="s">
        <v>138</v>
      </c>
      <c r="G184" s="4" t="s">
        <v>676</v>
      </c>
      <c r="H184" s="4" t="s">
        <v>677</v>
      </c>
      <c r="I184" s="5" t="s">
        <v>141</v>
      </c>
      <c r="J184" s="4"/>
      <c r="K184" s="5" t="s">
        <v>142</v>
      </c>
      <c r="L184" s="4"/>
      <c r="M184" s="5" t="s">
        <v>142</v>
      </c>
      <c r="N184" s="4"/>
      <c r="O184" s="5" t="s">
        <v>142</v>
      </c>
      <c r="P184" s="4"/>
      <c r="Q184" s="5" t="s">
        <v>142</v>
      </c>
      <c r="R184" s="5" t="n">
        <v>0</v>
      </c>
      <c r="S184" s="5" t="s">
        <v>142</v>
      </c>
      <c r="T184" s="4"/>
      <c r="U184" s="5" t="s">
        <v>142</v>
      </c>
      <c r="V184" s="5" t="n">
        <v>0</v>
      </c>
      <c r="W184" s="5" t="s">
        <v>142</v>
      </c>
      <c r="X184" s="5" t="n">
        <v>7</v>
      </c>
      <c r="Y184" s="4" t="s">
        <v>143</v>
      </c>
    </row>
    <row r="185" customFormat="false" ht="23.85" hidden="false" customHeight="false" outlineLevel="0" collapsed="false">
      <c r="A185" s="5" t="n">
        <v>42020</v>
      </c>
      <c r="B185" s="5" t="s">
        <v>69</v>
      </c>
      <c r="C185" s="5" t="s">
        <v>397</v>
      </c>
      <c r="D185" s="4" t="s">
        <v>30</v>
      </c>
      <c r="E185" s="4" t="s">
        <v>137</v>
      </c>
      <c r="F185" s="4" t="s">
        <v>138</v>
      </c>
      <c r="G185" s="4" t="s">
        <v>678</v>
      </c>
      <c r="H185" s="4" t="s">
        <v>678</v>
      </c>
      <c r="I185" s="5" t="s">
        <v>141</v>
      </c>
      <c r="J185" s="4"/>
      <c r="K185" s="5" t="s">
        <v>142</v>
      </c>
      <c r="L185" s="4"/>
      <c r="M185" s="5" t="s">
        <v>142</v>
      </c>
      <c r="N185" s="4"/>
      <c r="O185" s="5" t="s">
        <v>142</v>
      </c>
      <c r="P185" s="4"/>
      <c r="Q185" s="5" t="s">
        <v>142</v>
      </c>
      <c r="R185" s="5" t="n">
        <v>0</v>
      </c>
      <c r="S185" s="5" t="s">
        <v>142</v>
      </c>
      <c r="T185" s="4"/>
      <c r="U185" s="5" t="s">
        <v>142</v>
      </c>
      <c r="V185" s="5" t="n">
        <v>0</v>
      </c>
      <c r="W185" s="5" t="s">
        <v>142</v>
      </c>
      <c r="X185" s="5" t="n">
        <v>7</v>
      </c>
      <c r="Y185" s="4" t="s">
        <v>143</v>
      </c>
    </row>
    <row r="186" customFormat="false" ht="23.85" hidden="false" customHeight="false" outlineLevel="0" collapsed="false">
      <c r="A186" s="5" t="n">
        <v>42021</v>
      </c>
      <c r="B186" s="5" t="s">
        <v>69</v>
      </c>
      <c r="C186" s="5" t="s">
        <v>166</v>
      </c>
      <c r="D186" s="4" t="s">
        <v>20</v>
      </c>
      <c r="E186" s="4" t="s">
        <v>167</v>
      </c>
      <c r="F186" s="4" t="s">
        <v>365</v>
      </c>
      <c r="G186" s="4" t="s">
        <v>679</v>
      </c>
      <c r="H186" s="4" t="s">
        <v>680</v>
      </c>
      <c r="I186" s="5" t="s">
        <v>141</v>
      </c>
      <c r="J186" s="4" t="s">
        <v>681</v>
      </c>
      <c r="K186" s="5" t="s">
        <v>141</v>
      </c>
      <c r="L186" s="4" t="s">
        <v>288</v>
      </c>
      <c r="M186" s="5" t="s">
        <v>141</v>
      </c>
      <c r="N186" s="4" t="s">
        <v>682</v>
      </c>
      <c r="O186" s="5" t="s">
        <v>141</v>
      </c>
      <c r="P186" s="4" t="s">
        <v>412</v>
      </c>
      <c r="Q186" s="5" t="s">
        <v>141</v>
      </c>
      <c r="R186" s="5" t="n">
        <v>0</v>
      </c>
      <c r="S186" s="5" t="s">
        <v>142</v>
      </c>
      <c r="T186" s="4" t="s">
        <v>413</v>
      </c>
      <c r="U186" s="5" t="s">
        <v>141</v>
      </c>
      <c r="V186" s="5" t="n">
        <v>0</v>
      </c>
      <c r="W186" s="5" t="s">
        <v>142</v>
      </c>
      <c r="X186" s="5" t="n">
        <v>2</v>
      </c>
      <c r="Y186" s="4" t="s">
        <v>683</v>
      </c>
    </row>
    <row r="187" customFormat="false" ht="23.85" hidden="false" customHeight="false" outlineLevel="0" collapsed="false">
      <c r="A187" s="5" t="n">
        <v>42022</v>
      </c>
      <c r="B187" s="5" t="s">
        <v>69</v>
      </c>
      <c r="C187" s="5" t="s">
        <v>166</v>
      </c>
      <c r="D187" s="4" t="s">
        <v>30</v>
      </c>
      <c r="E187" s="4" t="s">
        <v>137</v>
      </c>
      <c r="F187" s="4" t="s">
        <v>138</v>
      </c>
      <c r="G187" s="4" t="s">
        <v>684</v>
      </c>
      <c r="H187" s="4" t="s">
        <v>684</v>
      </c>
      <c r="I187" s="5" t="s">
        <v>141</v>
      </c>
      <c r="J187" s="4"/>
      <c r="K187" s="5" t="s">
        <v>142</v>
      </c>
      <c r="L187" s="4"/>
      <c r="M187" s="5" t="s">
        <v>142</v>
      </c>
      <c r="N187" s="4"/>
      <c r="O187" s="5" t="s">
        <v>142</v>
      </c>
      <c r="P187" s="4"/>
      <c r="Q187" s="5" t="s">
        <v>142</v>
      </c>
      <c r="R187" s="5" t="n">
        <v>0</v>
      </c>
      <c r="S187" s="5" t="s">
        <v>142</v>
      </c>
      <c r="T187" s="4"/>
      <c r="U187" s="5" t="s">
        <v>142</v>
      </c>
      <c r="V187" s="5" t="n">
        <v>0</v>
      </c>
      <c r="W187" s="5" t="s">
        <v>142</v>
      </c>
      <c r="X187" s="5" t="n">
        <v>7</v>
      </c>
      <c r="Y187" s="4" t="s">
        <v>143</v>
      </c>
    </row>
    <row r="188" customFormat="false" ht="23.85" hidden="false" customHeight="false" outlineLevel="0" collapsed="false">
      <c r="A188" s="5" t="n">
        <v>42023</v>
      </c>
      <c r="B188" s="5" t="s">
        <v>69</v>
      </c>
      <c r="C188" s="5" t="s">
        <v>401</v>
      </c>
      <c r="D188" s="4" t="s">
        <v>30</v>
      </c>
      <c r="E188" s="4" t="s">
        <v>137</v>
      </c>
      <c r="F188" s="4" t="s">
        <v>138</v>
      </c>
      <c r="G188" s="4" t="s">
        <v>685</v>
      </c>
      <c r="H188" s="4" t="s">
        <v>685</v>
      </c>
      <c r="I188" s="5" t="s">
        <v>141</v>
      </c>
      <c r="J188" s="4"/>
      <c r="K188" s="5" t="s">
        <v>142</v>
      </c>
      <c r="L188" s="4"/>
      <c r="M188" s="5" t="s">
        <v>142</v>
      </c>
      <c r="N188" s="4"/>
      <c r="O188" s="5" t="s">
        <v>142</v>
      </c>
      <c r="P188" s="4"/>
      <c r="Q188" s="5" t="s">
        <v>142</v>
      </c>
      <c r="R188" s="5" t="n">
        <v>0</v>
      </c>
      <c r="S188" s="5" t="s">
        <v>142</v>
      </c>
      <c r="T188" s="4"/>
      <c r="U188" s="5" t="s">
        <v>142</v>
      </c>
      <c r="V188" s="5" t="n">
        <v>0</v>
      </c>
      <c r="W188" s="5" t="s">
        <v>142</v>
      </c>
      <c r="X188" s="5" t="n">
        <v>7</v>
      </c>
      <c r="Y188" s="4" t="s">
        <v>143</v>
      </c>
    </row>
    <row r="189" customFormat="false" ht="23.85" hidden="false" customHeight="false" outlineLevel="0" collapsed="false">
      <c r="A189" s="5" t="n">
        <v>42024</v>
      </c>
      <c r="B189" s="5" t="s">
        <v>69</v>
      </c>
      <c r="C189" s="5" t="s">
        <v>293</v>
      </c>
      <c r="D189" s="4" t="s">
        <v>30</v>
      </c>
      <c r="E189" s="4" t="s">
        <v>137</v>
      </c>
      <c r="F189" s="4" t="s">
        <v>138</v>
      </c>
      <c r="G189" s="4" t="s">
        <v>686</v>
      </c>
      <c r="H189" s="4" t="s">
        <v>686</v>
      </c>
      <c r="I189" s="5" t="s">
        <v>141</v>
      </c>
      <c r="J189" s="4"/>
      <c r="K189" s="5" t="s">
        <v>142</v>
      </c>
      <c r="L189" s="4"/>
      <c r="M189" s="5" t="s">
        <v>142</v>
      </c>
      <c r="N189" s="4"/>
      <c r="O189" s="5" t="s">
        <v>142</v>
      </c>
      <c r="P189" s="4"/>
      <c r="Q189" s="5" t="s">
        <v>142</v>
      </c>
      <c r="R189" s="5" t="n">
        <v>0</v>
      </c>
      <c r="S189" s="5" t="s">
        <v>142</v>
      </c>
      <c r="T189" s="4"/>
      <c r="U189" s="5" t="s">
        <v>142</v>
      </c>
      <c r="V189" s="5" t="n">
        <v>0</v>
      </c>
      <c r="W189" s="5" t="s">
        <v>142</v>
      </c>
      <c r="X189" s="5" t="n">
        <v>7</v>
      </c>
      <c r="Y189" s="4" t="s">
        <v>143</v>
      </c>
    </row>
    <row r="190" customFormat="false" ht="23.85" hidden="false" customHeight="false" outlineLevel="0" collapsed="false">
      <c r="A190" s="5" t="n">
        <v>42025</v>
      </c>
      <c r="B190" s="5" t="s">
        <v>69</v>
      </c>
      <c r="C190" s="5" t="s">
        <v>299</v>
      </c>
      <c r="D190" s="4" t="s">
        <v>30</v>
      </c>
      <c r="E190" s="4" t="s">
        <v>137</v>
      </c>
      <c r="F190" s="4" t="s">
        <v>138</v>
      </c>
      <c r="G190" s="4" t="s">
        <v>687</v>
      </c>
      <c r="H190" s="4" t="s">
        <v>687</v>
      </c>
      <c r="I190" s="5" t="s">
        <v>141</v>
      </c>
      <c r="J190" s="4"/>
      <c r="K190" s="5" t="s">
        <v>142</v>
      </c>
      <c r="L190" s="4"/>
      <c r="M190" s="5" t="s">
        <v>142</v>
      </c>
      <c r="N190" s="4"/>
      <c r="O190" s="5" t="s">
        <v>142</v>
      </c>
      <c r="P190" s="4"/>
      <c r="Q190" s="5" t="s">
        <v>142</v>
      </c>
      <c r="R190" s="5" t="n">
        <v>0</v>
      </c>
      <c r="S190" s="5" t="s">
        <v>142</v>
      </c>
      <c r="T190" s="4"/>
      <c r="U190" s="5" t="s">
        <v>142</v>
      </c>
      <c r="V190" s="5" t="n">
        <v>0</v>
      </c>
      <c r="W190" s="5" t="s">
        <v>142</v>
      </c>
      <c r="X190" s="5" t="n">
        <v>7</v>
      </c>
      <c r="Y190" s="4" t="s">
        <v>143</v>
      </c>
    </row>
    <row r="191" customFormat="false" ht="35.05" hidden="false" customHeight="false" outlineLevel="0" collapsed="false">
      <c r="A191" s="5" t="n">
        <v>42027</v>
      </c>
      <c r="B191" s="5" t="s">
        <v>69</v>
      </c>
      <c r="C191" s="5" t="s">
        <v>305</v>
      </c>
      <c r="D191" s="4" t="s">
        <v>30</v>
      </c>
      <c r="E191" s="4" t="s">
        <v>137</v>
      </c>
      <c r="F191" s="4" t="s">
        <v>138</v>
      </c>
      <c r="G191" s="4" t="s">
        <v>688</v>
      </c>
      <c r="H191" s="4"/>
      <c r="I191" s="5" t="s">
        <v>142</v>
      </c>
      <c r="J191" s="4"/>
      <c r="K191" s="5" t="s">
        <v>142</v>
      </c>
      <c r="L191" s="4"/>
      <c r="M191" s="5" t="s">
        <v>142</v>
      </c>
      <c r="N191" s="4"/>
      <c r="O191" s="5" t="s">
        <v>142</v>
      </c>
      <c r="P191" s="4"/>
      <c r="Q191" s="5" t="s">
        <v>142</v>
      </c>
      <c r="R191" s="5" t="n">
        <v>0</v>
      </c>
      <c r="S191" s="5" t="s">
        <v>142</v>
      </c>
      <c r="T191" s="4"/>
      <c r="U191" s="5" t="s">
        <v>142</v>
      </c>
      <c r="V191" s="5" t="n">
        <v>0</v>
      </c>
      <c r="W191" s="5" t="s">
        <v>142</v>
      </c>
      <c r="X191" s="5" t="n">
        <v>8</v>
      </c>
      <c r="Y191" s="4" t="s">
        <v>173</v>
      </c>
    </row>
    <row r="192" customFormat="false" ht="23.85" hidden="false" customHeight="false" outlineLevel="0" collapsed="false">
      <c r="A192" s="5" t="n">
        <v>42033</v>
      </c>
      <c r="B192" s="5" t="s">
        <v>70</v>
      </c>
      <c r="C192" s="5" t="s">
        <v>689</v>
      </c>
      <c r="D192" s="4" t="s">
        <v>18</v>
      </c>
      <c r="E192" s="4" t="s">
        <v>167</v>
      </c>
      <c r="F192" s="4" t="s">
        <v>138</v>
      </c>
      <c r="G192" s="4" t="s">
        <v>690</v>
      </c>
      <c r="H192" s="4" t="s">
        <v>691</v>
      </c>
      <c r="I192" s="5" t="s">
        <v>141</v>
      </c>
      <c r="J192" s="4"/>
      <c r="K192" s="5" t="s">
        <v>142</v>
      </c>
      <c r="L192" s="4"/>
      <c r="M192" s="5" t="s">
        <v>142</v>
      </c>
      <c r="N192" s="4" t="s">
        <v>692</v>
      </c>
      <c r="O192" s="5" t="s">
        <v>141</v>
      </c>
      <c r="P192" s="4" t="s">
        <v>349</v>
      </c>
      <c r="Q192" s="5" t="s">
        <v>141</v>
      </c>
      <c r="R192" s="5" t="n">
        <v>0</v>
      </c>
      <c r="S192" s="5" t="s">
        <v>142</v>
      </c>
      <c r="T192" s="4"/>
      <c r="U192" s="5" t="s">
        <v>142</v>
      </c>
      <c r="V192" s="5" t="n">
        <v>0</v>
      </c>
      <c r="W192" s="5" t="s">
        <v>142</v>
      </c>
      <c r="X192" s="5" t="n">
        <v>5</v>
      </c>
      <c r="Y192" s="4" t="s">
        <v>335</v>
      </c>
    </row>
    <row r="193" customFormat="false" ht="23.85" hidden="false" customHeight="false" outlineLevel="0" collapsed="false">
      <c r="A193" s="5" t="n">
        <v>42035</v>
      </c>
      <c r="B193" s="5" t="s">
        <v>70</v>
      </c>
      <c r="C193" s="5" t="s">
        <v>693</v>
      </c>
      <c r="D193" s="4" t="s">
        <v>18</v>
      </c>
      <c r="E193" s="4" t="s">
        <v>167</v>
      </c>
      <c r="F193" s="4" t="s">
        <v>138</v>
      </c>
      <c r="G193" s="4" t="s">
        <v>694</v>
      </c>
      <c r="H193" s="4" t="s">
        <v>694</v>
      </c>
      <c r="I193" s="5" t="s">
        <v>141</v>
      </c>
      <c r="J193" s="4"/>
      <c r="K193" s="5" t="s">
        <v>142</v>
      </c>
      <c r="L193" s="4"/>
      <c r="M193" s="5" t="s">
        <v>142</v>
      </c>
      <c r="N193" s="4" t="s">
        <v>695</v>
      </c>
      <c r="O193" s="5" t="s">
        <v>141</v>
      </c>
      <c r="P193" s="4" t="s">
        <v>349</v>
      </c>
      <c r="Q193" s="5" t="s">
        <v>141</v>
      </c>
      <c r="R193" s="5" t="n">
        <v>0</v>
      </c>
      <c r="S193" s="5" t="s">
        <v>142</v>
      </c>
      <c r="T193" s="4"/>
      <c r="U193" s="5" t="s">
        <v>142</v>
      </c>
      <c r="V193" s="5" t="n">
        <v>0</v>
      </c>
      <c r="W193" s="5" t="s">
        <v>142</v>
      </c>
      <c r="X193" s="5" t="n">
        <v>5</v>
      </c>
      <c r="Y193" s="4" t="s">
        <v>335</v>
      </c>
    </row>
    <row r="194" customFormat="false" ht="23.85" hidden="false" customHeight="false" outlineLevel="0" collapsed="false">
      <c r="A194" s="5" t="n">
        <v>42036</v>
      </c>
      <c r="B194" s="5" t="s">
        <v>70</v>
      </c>
      <c r="C194" s="5" t="s">
        <v>696</v>
      </c>
      <c r="D194" s="4" t="s">
        <v>18</v>
      </c>
      <c r="E194" s="4" t="s">
        <v>167</v>
      </c>
      <c r="F194" s="4" t="s">
        <v>138</v>
      </c>
      <c r="G194" s="4" t="s">
        <v>697</v>
      </c>
      <c r="H194" s="4" t="s">
        <v>697</v>
      </c>
      <c r="I194" s="5" t="s">
        <v>141</v>
      </c>
      <c r="J194" s="4"/>
      <c r="K194" s="5" t="s">
        <v>142</v>
      </c>
      <c r="L194" s="4"/>
      <c r="M194" s="5" t="s">
        <v>142</v>
      </c>
      <c r="N194" s="4" t="s">
        <v>698</v>
      </c>
      <c r="O194" s="5" t="s">
        <v>141</v>
      </c>
      <c r="P194" s="4" t="s">
        <v>281</v>
      </c>
      <c r="Q194" s="5" t="s">
        <v>141</v>
      </c>
      <c r="R194" s="5" t="n">
        <v>0</v>
      </c>
      <c r="S194" s="5" t="s">
        <v>142</v>
      </c>
      <c r="T194" s="4"/>
      <c r="U194" s="5" t="s">
        <v>142</v>
      </c>
      <c r="V194" s="5" t="n">
        <v>0</v>
      </c>
      <c r="W194" s="5" t="s">
        <v>142</v>
      </c>
      <c r="X194" s="5" t="n">
        <v>5</v>
      </c>
      <c r="Y194" s="4" t="s">
        <v>335</v>
      </c>
    </row>
    <row r="195" customFormat="false" ht="23.85" hidden="false" customHeight="false" outlineLevel="0" collapsed="false">
      <c r="A195" s="5" t="n">
        <v>42037</v>
      </c>
      <c r="B195" s="5" t="s">
        <v>70</v>
      </c>
      <c r="C195" s="5" t="s">
        <v>699</v>
      </c>
      <c r="D195" s="4" t="s">
        <v>18</v>
      </c>
      <c r="E195" s="4" t="s">
        <v>167</v>
      </c>
      <c r="F195" s="4" t="s">
        <v>138</v>
      </c>
      <c r="G195" s="4" t="s">
        <v>700</v>
      </c>
      <c r="H195" s="4" t="s">
        <v>701</v>
      </c>
      <c r="I195" s="5" t="s">
        <v>141</v>
      </c>
      <c r="J195" s="4"/>
      <c r="K195" s="5" t="s">
        <v>142</v>
      </c>
      <c r="L195" s="4"/>
      <c r="M195" s="5" t="s">
        <v>142</v>
      </c>
      <c r="N195" s="4" t="s">
        <v>698</v>
      </c>
      <c r="O195" s="5" t="s">
        <v>141</v>
      </c>
      <c r="P195" s="4" t="s">
        <v>281</v>
      </c>
      <c r="Q195" s="5" t="s">
        <v>141</v>
      </c>
      <c r="R195" s="5" t="n">
        <v>0</v>
      </c>
      <c r="S195" s="5" t="s">
        <v>142</v>
      </c>
      <c r="T195" s="4"/>
      <c r="U195" s="5" t="s">
        <v>142</v>
      </c>
      <c r="V195" s="5" t="n">
        <v>0</v>
      </c>
      <c r="W195" s="5" t="s">
        <v>142</v>
      </c>
      <c r="X195" s="5" t="n">
        <v>5</v>
      </c>
      <c r="Y195" s="4" t="s">
        <v>335</v>
      </c>
    </row>
  </sheetData>
  <autoFilter ref="A1:Y195"/>
  <conditionalFormatting sqref="I2:I195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195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195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195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195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195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195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195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195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120</v>
      </c>
      <c r="B1" s="3" t="s">
        <v>47</v>
      </c>
      <c r="C1" s="3" t="s">
        <v>121</v>
      </c>
      <c r="D1" s="3" t="s">
        <v>2</v>
      </c>
      <c r="E1" s="3" t="s">
        <v>702</v>
      </c>
      <c r="F1" s="3" t="s">
        <v>703</v>
      </c>
      <c r="G1" s="3" t="s">
        <v>704</v>
      </c>
      <c r="H1" s="3" t="s">
        <v>705</v>
      </c>
      <c r="I1" s="3" t="s">
        <v>706</v>
      </c>
      <c r="J1" s="3" t="s">
        <v>119</v>
      </c>
    </row>
    <row r="2" customFormat="false" ht="15" hidden="false" customHeight="false" outlineLevel="0" collapsed="false">
      <c r="A2" s="5" t="n">
        <v>41574</v>
      </c>
      <c r="B2" s="5" t="s">
        <v>52</v>
      </c>
      <c r="C2" s="5" t="s">
        <v>707</v>
      </c>
      <c r="D2" s="4" t="s">
        <v>32</v>
      </c>
      <c r="E2" s="4" t="s">
        <v>708</v>
      </c>
      <c r="F2" s="4" t="s">
        <v>709</v>
      </c>
      <c r="G2" s="5" t="n">
        <v>81</v>
      </c>
      <c r="H2" s="5" t="s">
        <v>710</v>
      </c>
      <c r="I2" s="4" t="s">
        <v>711</v>
      </c>
      <c r="J2" s="4" t="s">
        <v>114</v>
      </c>
    </row>
    <row r="3" customFormat="false" ht="15" hidden="false" customHeight="false" outlineLevel="0" collapsed="false">
      <c r="A3" s="5" t="n">
        <v>37562</v>
      </c>
      <c r="B3" s="5" t="s">
        <v>52</v>
      </c>
      <c r="C3" s="5" t="s">
        <v>712</v>
      </c>
      <c r="D3" s="4" t="s">
        <v>34</v>
      </c>
      <c r="E3" s="4" t="s">
        <v>708</v>
      </c>
      <c r="F3" s="4" t="s">
        <v>709</v>
      </c>
      <c r="G3" s="5" t="n">
        <v>122</v>
      </c>
      <c r="H3" s="5" t="s">
        <v>710</v>
      </c>
      <c r="I3" s="4" t="s">
        <v>713</v>
      </c>
      <c r="J3" s="4" t="s">
        <v>114</v>
      </c>
    </row>
    <row r="4" customFormat="false" ht="15" hidden="false" customHeight="false" outlineLevel="0" collapsed="false">
      <c r="A4" s="5" t="n">
        <v>37564</v>
      </c>
      <c r="B4" s="5" t="s">
        <v>52</v>
      </c>
      <c r="C4" s="5" t="s">
        <v>714</v>
      </c>
      <c r="D4" s="4" t="s">
        <v>34</v>
      </c>
      <c r="E4" s="4" t="s">
        <v>708</v>
      </c>
      <c r="F4" s="4" t="s">
        <v>709</v>
      </c>
      <c r="G4" s="5" t="n">
        <v>118</v>
      </c>
      <c r="H4" s="5" t="s">
        <v>710</v>
      </c>
      <c r="I4" s="4" t="s">
        <v>715</v>
      </c>
      <c r="J4" s="4" t="s">
        <v>114</v>
      </c>
    </row>
    <row r="5" customFormat="false" ht="15" hidden="false" customHeight="false" outlineLevel="0" collapsed="false">
      <c r="A5" s="5" t="n">
        <v>36686</v>
      </c>
      <c r="B5" s="5" t="s">
        <v>52</v>
      </c>
      <c r="C5" s="5" t="s">
        <v>471</v>
      </c>
      <c r="D5" s="4" t="s">
        <v>32</v>
      </c>
      <c r="E5" s="4" t="s">
        <v>708</v>
      </c>
      <c r="F5" s="4" t="s">
        <v>709</v>
      </c>
      <c r="G5" s="5" t="n">
        <v>95</v>
      </c>
      <c r="H5" s="5" t="s">
        <v>710</v>
      </c>
      <c r="I5" s="4" t="s">
        <v>716</v>
      </c>
      <c r="J5" s="4" t="s">
        <v>114</v>
      </c>
    </row>
    <row r="6" customFormat="false" ht="15" hidden="false" customHeight="false" outlineLevel="0" collapsed="false">
      <c r="A6" s="5" t="n">
        <v>41575</v>
      </c>
      <c r="B6" s="5" t="s">
        <v>52</v>
      </c>
      <c r="C6" s="5" t="s">
        <v>717</v>
      </c>
      <c r="D6" s="4" t="s">
        <v>32</v>
      </c>
      <c r="E6" s="4" t="s">
        <v>708</v>
      </c>
      <c r="F6" s="4" t="s">
        <v>709</v>
      </c>
      <c r="G6" s="5" t="n">
        <v>62</v>
      </c>
      <c r="H6" s="5" t="s">
        <v>710</v>
      </c>
      <c r="I6" s="4" t="s">
        <v>718</v>
      </c>
      <c r="J6" s="4" t="s">
        <v>114</v>
      </c>
    </row>
    <row r="7" customFormat="false" ht="15" hidden="false" customHeight="false" outlineLevel="0" collapsed="false">
      <c r="A7" s="5" t="n">
        <v>37560</v>
      </c>
      <c r="B7" s="5" t="s">
        <v>52</v>
      </c>
      <c r="C7" s="5" t="s">
        <v>719</v>
      </c>
      <c r="D7" s="4" t="s">
        <v>34</v>
      </c>
      <c r="E7" s="4" t="s">
        <v>708</v>
      </c>
      <c r="F7" s="4" t="s">
        <v>709</v>
      </c>
      <c r="G7" s="5" t="n">
        <v>93</v>
      </c>
      <c r="H7" s="5" t="s">
        <v>710</v>
      </c>
      <c r="I7" s="4" t="s">
        <v>713</v>
      </c>
      <c r="J7" s="4" t="s">
        <v>114</v>
      </c>
    </row>
    <row r="8" customFormat="false" ht="15" hidden="false" customHeight="false" outlineLevel="0" collapsed="false">
      <c r="A8" s="5" t="n">
        <v>41576</v>
      </c>
      <c r="B8" s="5" t="s">
        <v>52</v>
      </c>
      <c r="C8" s="5" t="s">
        <v>147</v>
      </c>
      <c r="D8" s="4" t="s">
        <v>32</v>
      </c>
      <c r="E8" s="4" t="s">
        <v>708</v>
      </c>
      <c r="F8" s="4" t="s">
        <v>709</v>
      </c>
      <c r="G8" s="5" t="n">
        <v>41</v>
      </c>
      <c r="H8" s="5" t="s">
        <v>710</v>
      </c>
      <c r="I8" s="4" t="s">
        <v>720</v>
      </c>
      <c r="J8" s="4" t="s">
        <v>114</v>
      </c>
    </row>
    <row r="9" customFormat="false" ht="15" hidden="false" customHeight="false" outlineLevel="0" collapsed="false">
      <c r="A9" s="5" t="n">
        <v>41577</v>
      </c>
      <c r="B9" s="5" t="s">
        <v>52</v>
      </c>
      <c r="C9" s="5" t="s">
        <v>721</v>
      </c>
      <c r="D9" s="4" t="s">
        <v>32</v>
      </c>
      <c r="E9" s="4" t="s">
        <v>708</v>
      </c>
      <c r="F9" s="4" t="s">
        <v>709</v>
      </c>
      <c r="G9" s="5" t="n">
        <v>54</v>
      </c>
      <c r="H9" s="5" t="s">
        <v>710</v>
      </c>
      <c r="I9" s="4" t="s">
        <v>722</v>
      </c>
      <c r="J9" s="4" t="s">
        <v>114</v>
      </c>
    </row>
    <row r="10" customFormat="false" ht="15" hidden="false" customHeight="false" outlineLevel="0" collapsed="false">
      <c r="A10" s="5" t="n">
        <v>41578</v>
      </c>
      <c r="B10" s="5" t="s">
        <v>52</v>
      </c>
      <c r="C10" s="5" t="s">
        <v>723</v>
      </c>
      <c r="D10" s="4" t="s">
        <v>32</v>
      </c>
      <c r="E10" s="4" t="s">
        <v>708</v>
      </c>
      <c r="F10" s="4" t="s">
        <v>709</v>
      </c>
      <c r="G10" s="5" t="n">
        <v>56</v>
      </c>
      <c r="H10" s="5" t="s">
        <v>710</v>
      </c>
      <c r="I10" s="4" t="s">
        <v>724</v>
      </c>
      <c r="J10" s="4" t="s">
        <v>114</v>
      </c>
    </row>
    <row r="11" customFormat="false" ht="23.85" hidden="false" customHeight="false" outlineLevel="0" collapsed="false">
      <c r="A11" s="5" t="n">
        <v>39348</v>
      </c>
      <c r="B11" s="5" t="s">
        <v>52</v>
      </c>
      <c r="C11" s="5" t="s">
        <v>723</v>
      </c>
      <c r="D11" s="4" t="s">
        <v>34</v>
      </c>
      <c r="E11" s="4" t="s">
        <v>708</v>
      </c>
      <c r="F11" s="4" t="s">
        <v>725</v>
      </c>
      <c r="G11" s="5" t="n">
        <v>10</v>
      </c>
      <c r="H11" s="5" t="s">
        <v>726</v>
      </c>
      <c r="I11" s="4" t="s">
        <v>727</v>
      </c>
      <c r="J11" s="4" t="s">
        <v>117</v>
      </c>
    </row>
    <row r="12" customFormat="false" ht="15" hidden="false" customHeight="false" outlineLevel="0" collapsed="false">
      <c r="A12" s="5" t="n">
        <v>39348</v>
      </c>
      <c r="B12" s="5" t="s">
        <v>52</v>
      </c>
      <c r="C12" s="5" t="s">
        <v>728</v>
      </c>
      <c r="D12" s="4" t="s">
        <v>34</v>
      </c>
      <c r="E12" s="4" t="s">
        <v>708</v>
      </c>
      <c r="F12" s="4" t="s">
        <v>709</v>
      </c>
      <c r="G12" s="5" t="n">
        <v>115</v>
      </c>
      <c r="H12" s="5" t="s">
        <v>710</v>
      </c>
      <c r="I12" s="4" t="s">
        <v>729</v>
      </c>
      <c r="J12" s="4" t="s">
        <v>114</v>
      </c>
    </row>
    <row r="13" customFormat="false" ht="15" hidden="false" customHeight="false" outlineLevel="0" collapsed="false">
      <c r="A13" s="5" t="n">
        <v>39346</v>
      </c>
      <c r="B13" s="5" t="s">
        <v>52</v>
      </c>
      <c r="C13" s="5" t="s">
        <v>730</v>
      </c>
      <c r="D13" s="4" t="s">
        <v>34</v>
      </c>
      <c r="E13" s="4" t="s">
        <v>708</v>
      </c>
      <c r="F13" s="4" t="s">
        <v>709</v>
      </c>
      <c r="G13" s="5" t="n">
        <v>101</v>
      </c>
      <c r="H13" s="5" t="s">
        <v>710</v>
      </c>
      <c r="I13" s="4" t="s">
        <v>731</v>
      </c>
      <c r="J13" s="4" t="s">
        <v>114</v>
      </c>
    </row>
    <row r="14" customFormat="false" ht="15" hidden="false" customHeight="false" outlineLevel="0" collapsed="false">
      <c r="A14" s="5" t="n">
        <v>37317</v>
      </c>
      <c r="B14" s="5" t="s">
        <v>52</v>
      </c>
      <c r="C14" s="5" t="s">
        <v>732</v>
      </c>
      <c r="D14" s="4" t="s">
        <v>34</v>
      </c>
      <c r="E14" s="4" t="s">
        <v>708</v>
      </c>
      <c r="F14" s="4" t="s">
        <v>709</v>
      </c>
      <c r="G14" s="5" t="n">
        <v>101</v>
      </c>
      <c r="H14" s="5" t="s">
        <v>710</v>
      </c>
      <c r="I14" s="4" t="s">
        <v>731</v>
      </c>
      <c r="J14" s="4" t="s">
        <v>114</v>
      </c>
    </row>
    <row r="15" customFormat="false" ht="15" hidden="false" customHeight="false" outlineLevel="0" collapsed="false">
      <c r="A15" s="5" t="n">
        <v>25507</v>
      </c>
      <c r="B15" s="5" t="s">
        <v>52</v>
      </c>
      <c r="C15" s="5" t="s">
        <v>733</v>
      </c>
      <c r="D15" s="4" t="s">
        <v>34</v>
      </c>
      <c r="E15" s="4" t="s">
        <v>708</v>
      </c>
      <c r="F15" s="4" t="s">
        <v>734</v>
      </c>
      <c r="G15" s="5" t="n">
        <v>179</v>
      </c>
      <c r="H15" s="5" t="s">
        <v>710</v>
      </c>
      <c r="I15" s="4" t="s">
        <v>735</v>
      </c>
      <c r="J15" s="4" t="s">
        <v>114</v>
      </c>
    </row>
    <row r="16" customFormat="false" ht="15" hidden="false" customHeight="false" outlineLevel="0" collapsed="false">
      <c r="A16" s="5" t="n">
        <v>25507</v>
      </c>
      <c r="B16" s="5" t="s">
        <v>52</v>
      </c>
      <c r="C16" s="5" t="s">
        <v>736</v>
      </c>
      <c r="D16" s="4" t="s">
        <v>34</v>
      </c>
      <c r="E16" s="4" t="s">
        <v>708</v>
      </c>
      <c r="F16" s="4" t="s">
        <v>725</v>
      </c>
      <c r="G16" s="5" t="n">
        <v>38</v>
      </c>
      <c r="H16" s="5" t="s">
        <v>737</v>
      </c>
      <c r="I16" s="4" t="s">
        <v>738</v>
      </c>
      <c r="J16" s="4" t="s">
        <v>115</v>
      </c>
    </row>
    <row r="17" customFormat="false" ht="15" hidden="false" customHeight="false" outlineLevel="0" collapsed="false">
      <c r="A17" s="5" t="n">
        <v>41579</v>
      </c>
      <c r="B17" s="5" t="s">
        <v>52</v>
      </c>
      <c r="C17" s="5" t="s">
        <v>739</v>
      </c>
      <c r="D17" s="4" t="s">
        <v>32</v>
      </c>
      <c r="E17" s="4" t="s">
        <v>708</v>
      </c>
      <c r="F17" s="4" t="s">
        <v>709</v>
      </c>
      <c r="G17" s="5" t="n">
        <v>52</v>
      </c>
      <c r="H17" s="5" t="s">
        <v>710</v>
      </c>
      <c r="I17" s="4" t="s">
        <v>740</v>
      </c>
      <c r="J17" s="4" t="s">
        <v>114</v>
      </c>
    </row>
    <row r="18" customFormat="false" ht="15" hidden="false" customHeight="false" outlineLevel="0" collapsed="false">
      <c r="A18" s="5" t="n">
        <v>41577</v>
      </c>
      <c r="B18" s="5" t="s">
        <v>52</v>
      </c>
      <c r="C18" s="5" t="s">
        <v>741</v>
      </c>
      <c r="D18" s="4" t="s">
        <v>32</v>
      </c>
      <c r="E18" s="4" t="s">
        <v>708</v>
      </c>
      <c r="F18" s="4" t="s">
        <v>742</v>
      </c>
      <c r="G18" s="5" t="n">
        <v>58</v>
      </c>
      <c r="H18" s="5" t="s">
        <v>710</v>
      </c>
      <c r="I18" s="4" t="s">
        <v>743</v>
      </c>
      <c r="J18" s="4" t="s">
        <v>114</v>
      </c>
    </row>
    <row r="19" customFormat="false" ht="23.85" hidden="false" customHeight="false" outlineLevel="0" collapsed="false">
      <c r="A19" s="5" t="n">
        <v>41577</v>
      </c>
      <c r="B19" s="5" t="s">
        <v>52</v>
      </c>
      <c r="C19" s="5" t="s">
        <v>484</v>
      </c>
      <c r="D19" s="4" t="s">
        <v>32</v>
      </c>
      <c r="E19" s="4" t="s">
        <v>708</v>
      </c>
      <c r="F19" s="4" t="s">
        <v>725</v>
      </c>
      <c r="G19" s="5" t="n">
        <v>10</v>
      </c>
      <c r="H19" s="5" t="s">
        <v>726</v>
      </c>
      <c r="I19" s="4" t="s">
        <v>727</v>
      </c>
      <c r="J19" s="4" t="s">
        <v>117</v>
      </c>
    </row>
    <row r="20" customFormat="false" ht="23.85" hidden="false" customHeight="false" outlineLevel="0" collapsed="false">
      <c r="A20" s="5" t="n">
        <v>39417</v>
      </c>
      <c r="B20" s="5" t="s">
        <v>52</v>
      </c>
      <c r="C20" s="5" t="s">
        <v>744</v>
      </c>
      <c r="D20" s="4" t="s">
        <v>26</v>
      </c>
      <c r="E20" s="4" t="s">
        <v>708</v>
      </c>
      <c r="F20" s="4" t="s">
        <v>742</v>
      </c>
      <c r="G20" s="5" t="n">
        <v>9</v>
      </c>
      <c r="H20" s="5" t="s">
        <v>726</v>
      </c>
      <c r="I20" s="4" t="s">
        <v>745</v>
      </c>
      <c r="J20" s="4" t="s">
        <v>117</v>
      </c>
    </row>
    <row r="21" customFormat="false" ht="23.85" hidden="false" customHeight="false" outlineLevel="0" collapsed="false">
      <c r="A21" s="5" t="n">
        <v>38163</v>
      </c>
      <c r="B21" s="5" t="s">
        <v>52</v>
      </c>
      <c r="C21" s="5" t="s">
        <v>746</v>
      </c>
      <c r="D21" s="4" t="s">
        <v>26</v>
      </c>
      <c r="E21" s="4" t="s">
        <v>708</v>
      </c>
      <c r="F21" s="4" t="s">
        <v>725</v>
      </c>
      <c r="G21" s="5" t="n">
        <v>10</v>
      </c>
      <c r="H21" s="5" t="s">
        <v>726</v>
      </c>
      <c r="I21" s="4" t="s">
        <v>727</v>
      </c>
      <c r="J21" s="4" t="s">
        <v>117</v>
      </c>
    </row>
    <row r="22" customFormat="false" ht="23.85" hidden="false" customHeight="false" outlineLevel="0" collapsed="false">
      <c r="A22" s="5" t="n">
        <v>38163</v>
      </c>
      <c r="B22" s="5" t="s">
        <v>52</v>
      </c>
      <c r="C22" s="5" t="s">
        <v>746</v>
      </c>
      <c r="D22" s="4" t="s">
        <v>26</v>
      </c>
      <c r="E22" s="4" t="s">
        <v>708</v>
      </c>
      <c r="F22" s="4" t="s">
        <v>725</v>
      </c>
      <c r="G22" s="5" t="n">
        <v>10</v>
      </c>
      <c r="H22" s="5" t="s">
        <v>726</v>
      </c>
      <c r="I22" s="4" t="s">
        <v>727</v>
      </c>
      <c r="J22" s="4" t="s">
        <v>117</v>
      </c>
    </row>
    <row r="23" customFormat="false" ht="23.85" hidden="false" customHeight="false" outlineLevel="0" collapsed="false">
      <c r="A23" s="5" t="n">
        <v>36550</v>
      </c>
      <c r="B23" s="5" t="s">
        <v>52</v>
      </c>
      <c r="C23" s="5" t="s">
        <v>747</v>
      </c>
      <c r="D23" s="4" t="s">
        <v>26</v>
      </c>
      <c r="E23" s="4" t="s">
        <v>708</v>
      </c>
      <c r="F23" s="4" t="s">
        <v>725</v>
      </c>
      <c r="G23" s="5" t="n">
        <v>10</v>
      </c>
      <c r="H23" s="5" t="s">
        <v>726</v>
      </c>
      <c r="I23" s="4" t="s">
        <v>727</v>
      </c>
      <c r="J23" s="4" t="s">
        <v>117</v>
      </c>
    </row>
    <row r="24" customFormat="false" ht="15" hidden="false" customHeight="false" outlineLevel="0" collapsed="false">
      <c r="A24" s="5" t="n">
        <v>38797</v>
      </c>
      <c r="B24" s="5" t="s">
        <v>52</v>
      </c>
      <c r="C24" s="5" t="s">
        <v>748</v>
      </c>
      <c r="D24" s="4" t="s">
        <v>34</v>
      </c>
      <c r="E24" s="4" t="s">
        <v>708</v>
      </c>
      <c r="F24" s="4" t="s">
        <v>742</v>
      </c>
      <c r="G24" s="5" t="n">
        <v>122</v>
      </c>
      <c r="H24" s="5" t="s">
        <v>710</v>
      </c>
      <c r="I24" s="4" t="s">
        <v>749</v>
      </c>
      <c r="J24" s="4" t="s">
        <v>114</v>
      </c>
    </row>
    <row r="25" customFormat="false" ht="15" hidden="false" customHeight="false" outlineLevel="0" collapsed="false">
      <c r="A25" s="5" t="n">
        <v>41562</v>
      </c>
      <c r="B25" s="5" t="s">
        <v>52</v>
      </c>
      <c r="C25" s="5" t="s">
        <v>291</v>
      </c>
      <c r="D25" s="4" t="s">
        <v>34</v>
      </c>
      <c r="E25" s="4" t="s">
        <v>708</v>
      </c>
      <c r="F25" s="4" t="s">
        <v>742</v>
      </c>
      <c r="G25" s="5" t="n">
        <v>28</v>
      </c>
      <c r="H25" s="5" t="s">
        <v>737</v>
      </c>
      <c r="I25" s="4" t="s">
        <v>750</v>
      </c>
      <c r="J25" s="4" t="s">
        <v>115</v>
      </c>
    </row>
    <row r="26" customFormat="false" ht="15" hidden="false" customHeight="false" outlineLevel="0" collapsed="false">
      <c r="A26" s="5" t="n">
        <v>41561</v>
      </c>
      <c r="B26" s="5" t="s">
        <v>52</v>
      </c>
      <c r="C26" s="5" t="s">
        <v>751</v>
      </c>
      <c r="D26" s="4" t="s">
        <v>34</v>
      </c>
      <c r="E26" s="4" t="s">
        <v>708</v>
      </c>
      <c r="F26" s="4" t="s">
        <v>742</v>
      </c>
      <c r="G26" s="5" t="n">
        <v>37</v>
      </c>
      <c r="H26" s="5" t="s">
        <v>737</v>
      </c>
      <c r="I26" s="4" t="s">
        <v>752</v>
      </c>
      <c r="J26" s="4" t="s">
        <v>115</v>
      </c>
    </row>
    <row r="27" customFormat="false" ht="15" hidden="false" customHeight="false" outlineLevel="0" collapsed="false">
      <c r="A27" s="5" t="n">
        <v>36500</v>
      </c>
      <c r="B27" s="5" t="s">
        <v>52</v>
      </c>
      <c r="C27" s="5" t="s">
        <v>671</v>
      </c>
      <c r="D27" s="4" t="s">
        <v>34</v>
      </c>
      <c r="E27" s="4" t="s">
        <v>708</v>
      </c>
      <c r="F27" s="4" t="s">
        <v>742</v>
      </c>
      <c r="G27" s="5" t="n">
        <v>25</v>
      </c>
      <c r="H27" s="5" t="s">
        <v>737</v>
      </c>
      <c r="I27" s="4" t="s">
        <v>753</v>
      </c>
      <c r="J27" s="4" t="s">
        <v>115</v>
      </c>
    </row>
    <row r="28" customFormat="false" ht="15" hidden="false" customHeight="false" outlineLevel="0" collapsed="false">
      <c r="A28" s="5" t="n">
        <v>39238</v>
      </c>
      <c r="B28" s="5" t="s">
        <v>52</v>
      </c>
      <c r="C28" s="5" t="s">
        <v>754</v>
      </c>
      <c r="D28" s="4" t="s">
        <v>34</v>
      </c>
      <c r="E28" s="4" t="s">
        <v>708</v>
      </c>
      <c r="F28" s="4" t="s">
        <v>742</v>
      </c>
      <c r="G28" s="5" t="n">
        <v>151</v>
      </c>
      <c r="H28" s="5" t="s">
        <v>710</v>
      </c>
      <c r="I28" s="4" t="s">
        <v>755</v>
      </c>
      <c r="J28" s="4" t="s">
        <v>114</v>
      </c>
    </row>
    <row r="29" customFormat="false" ht="15" hidden="false" customHeight="false" outlineLevel="0" collapsed="false">
      <c r="A29" s="5" t="n">
        <v>40498</v>
      </c>
      <c r="B29" s="5" t="s">
        <v>52</v>
      </c>
      <c r="C29" s="5" t="s">
        <v>756</v>
      </c>
      <c r="D29" s="4" t="s">
        <v>34</v>
      </c>
      <c r="E29" s="4" t="s">
        <v>708</v>
      </c>
      <c r="F29" s="4" t="s">
        <v>742</v>
      </c>
      <c r="G29" s="5" t="n">
        <v>64</v>
      </c>
      <c r="H29" s="5" t="s">
        <v>710</v>
      </c>
      <c r="I29" s="4" t="s">
        <v>757</v>
      </c>
      <c r="J29" s="4" t="s">
        <v>114</v>
      </c>
    </row>
    <row r="30" customFormat="false" ht="15" hidden="false" customHeight="false" outlineLevel="0" collapsed="false">
      <c r="A30" s="5" t="n">
        <v>41581</v>
      </c>
      <c r="B30" s="5" t="s">
        <v>52</v>
      </c>
      <c r="C30" s="5" t="s">
        <v>232</v>
      </c>
      <c r="D30" s="4" t="s">
        <v>22</v>
      </c>
      <c r="E30" s="4" t="s">
        <v>708</v>
      </c>
      <c r="F30" s="4" t="s">
        <v>725</v>
      </c>
      <c r="G30" s="5" t="n">
        <v>48</v>
      </c>
      <c r="H30" s="5" t="s">
        <v>710</v>
      </c>
      <c r="I30" s="4" t="s">
        <v>758</v>
      </c>
      <c r="J30" s="4" t="s">
        <v>114</v>
      </c>
    </row>
    <row r="31" customFormat="false" ht="15" hidden="false" customHeight="false" outlineLevel="0" collapsed="false">
      <c r="A31" s="5" t="n">
        <v>40704</v>
      </c>
      <c r="B31" s="5" t="s">
        <v>52</v>
      </c>
      <c r="C31" s="5" t="s">
        <v>245</v>
      </c>
      <c r="D31" s="4" t="s">
        <v>24</v>
      </c>
      <c r="E31" s="4" t="s">
        <v>708</v>
      </c>
      <c r="F31" s="4" t="s">
        <v>734</v>
      </c>
      <c r="G31" s="5" t="n">
        <v>152</v>
      </c>
      <c r="H31" s="5" t="s">
        <v>710</v>
      </c>
      <c r="I31" s="4" t="s">
        <v>759</v>
      </c>
      <c r="J31" s="4" t="s">
        <v>114</v>
      </c>
    </row>
    <row r="32" customFormat="false" ht="15" hidden="false" customHeight="false" outlineLevel="0" collapsed="false">
      <c r="A32" s="5" t="n">
        <v>41322</v>
      </c>
      <c r="B32" s="5" t="s">
        <v>52</v>
      </c>
      <c r="C32" s="5" t="s">
        <v>760</v>
      </c>
      <c r="D32" s="4" t="s">
        <v>24</v>
      </c>
      <c r="E32" s="4" t="s">
        <v>708</v>
      </c>
      <c r="F32" s="4" t="s">
        <v>734</v>
      </c>
      <c r="G32" s="5" t="n">
        <v>105</v>
      </c>
      <c r="H32" s="5" t="s">
        <v>710</v>
      </c>
      <c r="I32" s="4" t="s">
        <v>761</v>
      </c>
      <c r="J32" s="4" t="s">
        <v>114</v>
      </c>
    </row>
    <row r="33" customFormat="false" ht="15" hidden="false" customHeight="false" outlineLevel="0" collapsed="false">
      <c r="A33" s="5" t="n">
        <v>41583</v>
      </c>
      <c r="B33" s="5" t="s">
        <v>52</v>
      </c>
      <c r="C33" s="5" t="s">
        <v>401</v>
      </c>
      <c r="D33" s="4" t="s">
        <v>24</v>
      </c>
      <c r="E33" s="4" t="s">
        <v>708</v>
      </c>
      <c r="F33" s="4" t="s">
        <v>742</v>
      </c>
      <c r="G33" s="5" t="n">
        <v>58</v>
      </c>
      <c r="H33" s="5" t="s">
        <v>710</v>
      </c>
      <c r="I33" s="4" t="s">
        <v>762</v>
      </c>
      <c r="J33" s="4" t="s">
        <v>114</v>
      </c>
    </row>
    <row r="34" customFormat="false" ht="15" hidden="false" customHeight="false" outlineLevel="0" collapsed="false">
      <c r="A34" s="5" t="n">
        <v>41584</v>
      </c>
      <c r="B34" s="5" t="s">
        <v>52</v>
      </c>
      <c r="C34" s="5" t="s">
        <v>293</v>
      </c>
      <c r="D34" s="4" t="s">
        <v>24</v>
      </c>
      <c r="E34" s="4" t="s">
        <v>708</v>
      </c>
      <c r="F34" s="4" t="s">
        <v>742</v>
      </c>
      <c r="G34" s="5" t="n">
        <v>105</v>
      </c>
      <c r="H34" s="5" t="s">
        <v>710</v>
      </c>
      <c r="I34" s="4" t="s">
        <v>763</v>
      </c>
      <c r="J34" s="4" t="s">
        <v>114</v>
      </c>
    </row>
    <row r="35" customFormat="false" ht="15" hidden="false" customHeight="false" outlineLevel="0" collapsed="false">
      <c r="A35" s="5" t="n">
        <v>41585</v>
      </c>
      <c r="B35" s="5" t="s">
        <v>52</v>
      </c>
      <c r="C35" s="5" t="s">
        <v>174</v>
      </c>
      <c r="D35" s="4" t="s">
        <v>30</v>
      </c>
      <c r="E35" s="4" t="s">
        <v>708</v>
      </c>
      <c r="F35" s="4" t="s">
        <v>709</v>
      </c>
      <c r="G35" s="5" t="n">
        <v>43</v>
      </c>
      <c r="H35" s="5" t="s">
        <v>710</v>
      </c>
      <c r="I35" s="4" t="s">
        <v>764</v>
      </c>
      <c r="J35" s="4" t="s">
        <v>114</v>
      </c>
    </row>
    <row r="36" customFormat="false" ht="15" hidden="false" customHeight="false" outlineLevel="0" collapsed="false">
      <c r="A36" s="5" t="n">
        <v>41586</v>
      </c>
      <c r="B36" s="5" t="s">
        <v>52</v>
      </c>
      <c r="C36" s="5" t="s">
        <v>176</v>
      </c>
      <c r="D36" s="4" t="s">
        <v>30</v>
      </c>
      <c r="E36" s="4" t="s">
        <v>708</v>
      </c>
      <c r="F36" s="4" t="s">
        <v>709</v>
      </c>
      <c r="G36" s="5" t="n">
        <v>88</v>
      </c>
      <c r="H36" s="5" t="s">
        <v>710</v>
      </c>
      <c r="I36" s="4" t="s">
        <v>765</v>
      </c>
      <c r="J36" s="4" t="s">
        <v>114</v>
      </c>
    </row>
    <row r="37" customFormat="false" ht="15" hidden="false" customHeight="false" outlineLevel="0" collapsed="false">
      <c r="A37" s="5" t="n">
        <v>41587</v>
      </c>
      <c r="B37" s="5" t="s">
        <v>52</v>
      </c>
      <c r="C37" s="5" t="s">
        <v>180</v>
      </c>
      <c r="D37" s="4" t="s">
        <v>30</v>
      </c>
      <c r="E37" s="4" t="s">
        <v>708</v>
      </c>
      <c r="F37" s="4" t="s">
        <v>709</v>
      </c>
      <c r="G37" s="5" t="n">
        <v>98</v>
      </c>
      <c r="H37" s="5" t="s">
        <v>710</v>
      </c>
      <c r="I37" s="4" t="s">
        <v>766</v>
      </c>
      <c r="J37" s="4" t="s">
        <v>114</v>
      </c>
    </row>
    <row r="38" customFormat="false" ht="15" hidden="false" customHeight="false" outlineLevel="0" collapsed="false">
      <c r="A38" s="5" t="n">
        <v>41588</v>
      </c>
      <c r="B38" s="5" t="s">
        <v>52</v>
      </c>
      <c r="C38" s="5" t="s">
        <v>767</v>
      </c>
      <c r="D38" s="4" t="s">
        <v>30</v>
      </c>
      <c r="E38" s="4" t="s">
        <v>708</v>
      </c>
      <c r="F38" s="4" t="s">
        <v>709</v>
      </c>
      <c r="G38" s="5" t="n">
        <v>71</v>
      </c>
      <c r="H38" s="5" t="s">
        <v>710</v>
      </c>
      <c r="I38" s="4" t="s">
        <v>768</v>
      </c>
      <c r="J38" s="4" t="s">
        <v>114</v>
      </c>
    </row>
    <row r="39" customFormat="false" ht="15" hidden="false" customHeight="false" outlineLevel="0" collapsed="false">
      <c r="A39" s="5" t="n">
        <v>41589</v>
      </c>
      <c r="B39" s="5" t="s">
        <v>52</v>
      </c>
      <c r="C39" s="5" t="s">
        <v>769</v>
      </c>
      <c r="D39" s="4" t="s">
        <v>30</v>
      </c>
      <c r="E39" s="4" t="s">
        <v>708</v>
      </c>
      <c r="F39" s="4" t="s">
        <v>709</v>
      </c>
      <c r="G39" s="5" t="n">
        <v>58</v>
      </c>
      <c r="H39" s="5" t="s">
        <v>710</v>
      </c>
      <c r="I39" s="4" t="s">
        <v>770</v>
      </c>
      <c r="J39" s="4" t="s">
        <v>114</v>
      </c>
    </row>
    <row r="40" customFormat="false" ht="15" hidden="false" customHeight="false" outlineLevel="0" collapsed="false">
      <c r="A40" s="5" t="n">
        <v>40472</v>
      </c>
      <c r="B40" s="5" t="s">
        <v>52</v>
      </c>
      <c r="C40" s="5" t="s">
        <v>771</v>
      </c>
      <c r="D40" s="4" t="s">
        <v>20</v>
      </c>
      <c r="E40" s="4" t="s">
        <v>708</v>
      </c>
      <c r="F40" s="4" t="s">
        <v>734</v>
      </c>
      <c r="G40" s="5" t="n">
        <v>88</v>
      </c>
      <c r="H40" s="5" t="s">
        <v>710</v>
      </c>
      <c r="I40" s="4" t="s">
        <v>772</v>
      </c>
      <c r="J40" s="4" t="s">
        <v>114</v>
      </c>
    </row>
    <row r="41" customFormat="false" ht="15" hidden="false" customHeight="false" outlineLevel="0" collapsed="false">
      <c r="A41" s="5" t="n">
        <v>40776</v>
      </c>
      <c r="B41" s="5" t="s">
        <v>52</v>
      </c>
      <c r="C41" s="5" t="s">
        <v>773</v>
      </c>
      <c r="D41" s="4" t="s">
        <v>20</v>
      </c>
      <c r="E41" s="4" t="s">
        <v>708</v>
      </c>
      <c r="F41" s="4" t="s">
        <v>725</v>
      </c>
      <c r="G41" s="5" t="n">
        <v>55</v>
      </c>
      <c r="H41" s="5" t="s">
        <v>710</v>
      </c>
      <c r="I41" s="4" t="s">
        <v>774</v>
      </c>
      <c r="J41" s="4" t="s">
        <v>114</v>
      </c>
    </row>
    <row r="42" customFormat="false" ht="15" hidden="false" customHeight="false" outlineLevel="0" collapsed="false">
      <c r="A42" s="5" t="n">
        <v>38767</v>
      </c>
      <c r="B42" s="5" t="s">
        <v>52</v>
      </c>
      <c r="C42" s="5" t="s">
        <v>775</v>
      </c>
      <c r="D42" s="4" t="s">
        <v>20</v>
      </c>
      <c r="E42" s="4" t="s">
        <v>708</v>
      </c>
      <c r="F42" s="4" t="s">
        <v>734</v>
      </c>
      <c r="G42" s="5" t="n">
        <v>46</v>
      </c>
      <c r="H42" s="5" t="s">
        <v>710</v>
      </c>
      <c r="I42" s="4" t="s">
        <v>776</v>
      </c>
      <c r="J42" s="4" t="s">
        <v>114</v>
      </c>
    </row>
    <row r="43" customFormat="false" ht="15" hidden="false" customHeight="false" outlineLevel="0" collapsed="false">
      <c r="A43" s="5" t="n">
        <v>41517</v>
      </c>
      <c r="B43" s="5" t="s">
        <v>52</v>
      </c>
      <c r="C43" s="5" t="s">
        <v>777</v>
      </c>
      <c r="D43" s="4" t="s">
        <v>26</v>
      </c>
      <c r="E43" s="4" t="s">
        <v>708</v>
      </c>
      <c r="F43" s="4" t="s">
        <v>742</v>
      </c>
      <c r="G43" s="5" t="n">
        <v>108</v>
      </c>
      <c r="H43" s="5" t="s">
        <v>710</v>
      </c>
      <c r="I43" s="4" t="s">
        <v>778</v>
      </c>
      <c r="J43" s="4" t="s">
        <v>114</v>
      </c>
    </row>
    <row r="44" customFormat="false" ht="15" hidden="false" customHeight="false" outlineLevel="0" collapsed="false">
      <c r="A44" s="5" t="n">
        <v>34459</v>
      </c>
      <c r="B44" s="5" t="s">
        <v>52</v>
      </c>
      <c r="C44" s="5" t="s">
        <v>779</v>
      </c>
      <c r="D44" s="4" t="s">
        <v>28</v>
      </c>
      <c r="E44" s="4" t="s">
        <v>708</v>
      </c>
      <c r="F44" s="4" t="s">
        <v>734</v>
      </c>
      <c r="G44" s="5" t="n">
        <v>69</v>
      </c>
      <c r="H44" s="5" t="s">
        <v>710</v>
      </c>
      <c r="I44" s="4" t="s">
        <v>780</v>
      </c>
      <c r="J44" s="4" t="s">
        <v>114</v>
      </c>
    </row>
    <row r="45" customFormat="false" ht="15" hidden="false" customHeight="false" outlineLevel="0" collapsed="false">
      <c r="A45" s="5" t="n">
        <v>41590</v>
      </c>
      <c r="B45" s="5" t="s">
        <v>54</v>
      </c>
      <c r="C45" s="5" t="s">
        <v>781</v>
      </c>
      <c r="D45" s="4" t="s">
        <v>32</v>
      </c>
      <c r="E45" s="4" t="s">
        <v>708</v>
      </c>
      <c r="F45" s="4" t="s">
        <v>709</v>
      </c>
      <c r="G45" s="5" t="n">
        <v>67</v>
      </c>
      <c r="H45" s="5" t="s">
        <v>710</v>
      </c>
      <c r="I45" s="4" t="s">
        <v>782</v>
      </c>
      <c r="J45" s="4" t="s">
        <v>114</v>
      </c>
    </row>
    <row r="46" customFormat="false" ht="15" hidden="false" customHeight="false" outlineLevel="0" collapsed="false">
      <c r="A46" s="5" t="n">
        <v>41386</v>
      </c>
      <c r="B46" s="5" t="s">
        <v>54</v>
      </c>
      <c r="C46" s="5" t="s">
        <v>783</v>
      </c>
      <c r="D46" s="4" t="s">
        <v>32</v>
      </c>
      <c r="E46" s="4" t="s">
        <v>708</v>
      </c>
      <c r="F46" s="4" t="s">
        <v>709</v>
      </c>
      <c r="G46" s="5" t="n">
        <v>45</v>
      </c>
      <c r="H46" s="5" t="s">
        <v>710</v>
      </c>
      <c r="I46" s="4" t="s">
        <v>784</v>
      </c>
      <c r="J46" s="4" t="s">
        <v>114</v>
      </c>
    </row>
    <row r="47" customFormat="false" ht="15" hidden="false" customHeight="false" outlineLevel="0" collapsed="false">
      <c r="A47" s="5" t="n">
        <v>40738</v>
      </c>
      <c r="B47" s="5" t="s">
        <v>54</v>
      </c>
      <c r="C47" s="5" t="s">
        <v>785</v>
      </c>
      <c r="D47" s="4" t="s">
        <v>32</v>
      </c>
      <c r="E47" s="4" t="s">
        <v>708</v>
      </c>
      <c r="F47" s="4" t="s">
        <v>742</v>
      </c>
      <c r="G47" s="5" t="n">
        <v>69</v>
      </c>
      <c r="H47" s="5" t="s">
        <v>710</v>
      </c>
      <c r="I47" s="4" t="s">
        <v>786</v>
      </c>
      <c r="J47" s="4" t="s">
        <v>114</v>
      </c>
    </row>
    <row r="48" customFormat="false" ht="23.85" hidden="false" customHeight="false" outlineLevel="0" collapsed="false">
      <c r="A48" s="5" t="n">
        <v>40738</v>
      </c>
      <c r="B48" s="5" t="s">
        <v>54</v>
      </c>
      <c r="C48" s="5" t="s">
        <v>785</v>
      </c>
      <c r="D48" s="4" t="s">
        <v>32</v>
      </c>
      <c r="E48" s="4" t="s">
        <v>708</v>
      </c>
      <c r="F48" s="4" t="s">
        <v>725</v>
      </c>
      <c r="G48" s="5" t="n">
        <v>10</v>
      </c>
      <c r="H48" s="5" t="s">
        <v>726</v>
      </c>
      <c r="I48" s="4" t="s">
        <v>727</v>
      </c>
      <c r="J48" s="4" t="s">
        <v>117</v>
      </c>
    </row>
    <row r="49" customFormat="false" ht="15" hidden="false" customHeight="false" outlineLevel="0" collapsed="false">
      <c r="A49" s="5" t="n">
        <v>41591</v>
      </c>
      <c r="B49" s="5" t="s">
        <v>54</v>
      </c>
      <c r="C49" s="5" t="s">
        <v>187</v>
      </c>
      <c r="D49" s="4" t="s">
        <v>32</v>
      </c>
      <c r="E49" s="4" t="s">
        <v>708</v>
      </c>
      <c r="F49" s="4" t="s">
        <v>709</v>
      </c>
      <c r="G49" s="5" t="n">
        <v>69</v>
      </c>
      <c r="H49" s="5" t="s">
        <v>710</v>
      </c>
      <c r="I49" s="4" t="s">
        <v>787</v>
      </c>
      <c r="J49" s="4" t="s">
        <v>114</v>
      </c>
    </row>
    <row r="50" customFormat="false" ht="15" hidden="false" customHeight="false" outlineLevel="0" collapsed="false">
      <c r="A50" s="5" t="n">
        <v>41592</v>
      </c>
      <c r="B50" s="5" t="s">
        <v>54</v>
      </c>
      <c r="C50" s="5" t="s">
        <v>788</v>
      </c>
      <c r="D50" s="4" t="s">
        <v>32</v>
      </c>
      <c r="E50" s="4" t="s">
        <v>708</v>
      </c>
      <c r="F50" s="4" t="s">
        <v>709</v>
      </c>
      <c r="G50" s="5" t="n">
        <v>112</v>
      </c>
      <c r="H50" s="5" t="s">
        <v>710</v>
      </c>
      <c r="I50" s="4" t="s">
        <v>789</v>
      </c>
      <c r="J50" s="4" t="s">
        <v>114</v>
      </c>
    </row>
    <row r="51" customFormat="false" ht="15" hidden="false" customHeight="false" outlineLevel="0" collapsed="false">
      <c r="A51" s="5" t="n">
        <v>37317</v>
      </c>
      <c r="B51" s="5" t="s">
        <v>54</v>
      </c>
      <c r="C51" s="5" t="s">
        <v>790</v>
      </c>
      <c r="D51" s="4" t="s">
        <v>34</v>
      </c>
      <c r="E51" s="4" t="s">
        <v>708</v>
      </c>
      <c r="F51" s="4" t="s">
        <v>734</v>
      </c>
      <c r="G51" s="5" t="n">
        <v>69</v>
      </c>
      <c r="H51" s="5" t="s">
        <v>710</v>
      </c>
      <c r="I51" s="4" t="s">
        <v>791</v>
      </c>
      <c r="J51" s="4" t="s">
        <v>114</v>
      </c>
    </row>
    <row r="52" customFormat="false" ht="15" hidden="false" customHeight="false" outlineLevel="0" collapsed="false">
      <c r="A52" s="5" t="n">
        <v>39348</v>
      </c>
      <c r="B52" s="5" t="s">
        <v>54</v>
      </c>
      <c r="C52" s="5" t="s">
        <v>792</v>
      </c>
      <c r="D52" s="4" t="s">
        <v>34</v>
      </c>
      <c r="E52" s="4" t="s">
        <v>708</v>
      </c>
      <c r="F52" s="4" t="s">
        <v>734</v>
      </c>
      <c r="G52" s="5" t="n">
        <v>48</v>
      </c>
      <c r="H52" s="5" t="s">
        <v>710</v>
      </c>
      <c r="I52" s="4" t="s">
        <v>793</v>
      </c>
      <c r="J52" s="4" t="s">
        <v>114</v>
      </c>
    </row>
    <row r="53" customFormat="false" ht="15" hidden="false" customHeight="false" outlineLevel="0" collapsed="false">
      <c r="A53" s="5" t="n">
        <v>39346</v>
      </c>
      <c r="B53" s="5" t="s">
        <v>54</v>
      </c>
      <c r="C53" s="5" t="s">
        <v>794</v>
      </c>
      <c r="D53" s="4" t="s">
        <v>34</v>
      </c>
      <c r="E53" s="4" t="s">
        <v>708</v>
      </c>
      <c r="F53" s="4" t="s">
        <v>734</v>
      </c>
      <c r="G53" s="5" t="n">
        <v>47</v>
      </c>
      <c r="H53" s="5" t="s">
        <v>710</v>
      </c>
      <c r="I53" s="4" t="s">
        <v>795</v>
      </c>
      <c r="J53" s="4" t="s">
        <v>114</v>
      </c>
    </row>
    <row r="54" customFormat="false" ht="15" hidden="false" customHeight="false" outlineLevel="0" collapsed="false">
      <c r="A54" s="5" t="n">
        <v>37564</v>
      </c>
      <c r="B54" s="5" t="s">
        <v>54</v>
      </c>
      <c r="C54" s="5" t="s">
        <v>278</v>
      </c>
      <c r="D54" s="4" t="s">
        <v>34</v>
      </c>
      <c r="E54" s="4" t="s">
        <v>708</v>
      </c>
      <c r="F54" s="4" t="s">
        <v>742</v>
      </c>
      <c r="G54" s="5" t="n">
        <v>78</v>
      </c>
      <c r="H54" s="5" t="s">
        <v>710</v>
      </c>
      <c r="I54" s="4" t="s">
        <v>796</v>
      </c>
      <c r="J54" s="4" t="s">
        <v>114</v>
      </c>
    </row>
    <row r="55" customFormat="false" ht="15" hidden="false" customHeight="false" outlineLevel="0" collapsed="false">
      <c r="A55" s="5" t="n">
        <v>41595</v>
      </c>
      <c r="B55" s="5" t="s">
        <v>54</v>
      </c>
      <c r="C55" s="5" t="s">
        <v>797</v>
      </c>
      <c r="D55" s="4" t="s">
        <v>22</v>
      </c>
      <c r="E55" s="4" t="s">
        <v>708</v>
      </c>
      <c r="F55" s="4" t="s">
        <v>725</v>
      </c>
      <c r="G55" s="5" t="n">
        <v>35</v>
      </c>
      <c r="H55" s="5" t="s">
        <v>737</v>
      </c>
      <c r="I55" s="4" t="s">
        <v>798</v>
      </c>
      <c r="J55" s="4" t="s">
        <v>115</v>
      </c>
    </row>
    <row r="56" customFormat="false" ht="15" hidden="false" customHeight="false" outlineLevel="0" collapsed="false">
      <c r="A56" s="5" t="n">
        <v>38662</v>
      </c>
      <c r="B56" s="5" t="s">
        <v>54</v>
      </c>
      <c r="C56" s="5" t="s">
        <v>799</v>
      </c>
      <c r="D56" s="4" t="s">
        <v>34</v>
      </c>
      <c r="E56" s="4" t="s">
        <v>708</v>
      </c>
      <c r="F56" s="4" t="s">
        <v>742</v>
      </c>
      <c r="G56" s="5" t="n">
        <v>71</v>
      </c>
      <c r="H56" s="5" t="s">
        <v>710</v>
      </c>
      <c r="I56" s="4" t="s">
        <v>800</v>
      </c>
      <c r="J56" s="4" t="s">
        <v>114</v>
      </c>
    </row>
    <row r="57" customFormat="false" ht="15" hidden="false" customHeight="false" outlineLevel="0" collapsed="false">
      <c r="A57" s="5" t="n">
        <v>41599</v>
      </c>
      <c r="B57" s="5" t="s">
        <v>54</v>
      </c>
      <c r="C57" s="5" t="s">
        <v>199</v>
      </c>
      <c r="D57" s="4" t="s">
        <v>30</v>
      </c>
      <c r="E57" s="4" t="s">
        <v>708</v>
      </c>
      <c r="F57" s="4" t="s">
        <v>734</v>
      </c>
      <c r="G57" s="5" t="n">
        <v>60</v>
      </c>
      <c r="H57" s="5" t="s">
        <v>710</v>
      </c>
      <c r="I57" s="4" t="s">
        <v>801</v>
      </c>
      <c r="J57" s="4" t="s">
        <v>114</v>
      </c>
    </row>
    <row r="58" customFormat="false" ht="15" hidden="false" customHeight="false" outlineLevel="0" collapsed="false">
      <c r="A58" s="5" t="n">
        <v>41600</v>
      </c>
      <c r="B58" s="5" t="s">
        <v>54</v>
      </c>
      <c r="C58" s="5" t="s">
        <v>201</v>
      </c>
      <c r="D58" s="4" t="s">
        <v>30</v>
      </c>
      <c r="E58" s="4" t="s">
        <v>708</v>
      </c>
      <c r="F58" s="4" t="s">
        <v>709</v>
      </c>
      <c r="G58" s="5" t="n">
        <v>56</v>
      </c>
      <c r="H58" s="5" t="s">
        <v>710</v>
      </c>
      <c r="I58" s="4" t="s">
        <v>802</v>
      </c>
      <c r="J58" s="4" t="s">
        <v>114</v>
      </c>
    </row>
    <row r="59" customFormat="false" ht="15" hidden="false" customHeight="false" outlineLevel="0" collapsed="false">
      <c r="A59" s="5" t="n">
        <v>41601</v>
      </c>
      <c r="B59" s="5" t="s">
        <v>54</v>
      </c>
      <c r="C59" s="5" t="s">
        <v>201</v>
      </c>
      <c r="D59" s="4" t="s">
        <v>30</v>
      </c>
      <c r="E59" s="4" t="s">
        <v>708</v>
      </c>
      <c r="F59" s="4" t="s">
        <v>709</v>
      </c>
      <c r="G59" s="5" t="n">
        <v>52</v>
      </c>
      <c r="H59" s="5" t="s">
        <v>710</v>
      </c>
      <c r="I59" s="4" t="s">
        <v>803</v>
      </c>
      <c r="J59" s="4" t="s">
        <v>114</v>
      </c>
    </row>
    <row r="60" customFormat="false" ht="15" hidden="false" customHeight="false" outlineLevel="0" collapsed="false">
      <c r="A60" s="5" t="n">
        <v>41602</v>
      </c>
      <c r="B60" s="5" t="s">
        <v>54</v>
      </c>
      <c r="C60" s="5" t="s">
        <v>203</v>
      </c>
      <c r="D60" s="4" t="s">
        <v>30</v>
      </c>
      <c r="E60" s="4" t="s">
        <v>708</v>
      </c>
      <c r="F60" s="4" t="s">
        <v>734</v>
      </c>
      <c r="G60" s="5" t="n">
        <v>56</v>
      </c>
      <c r="H60" s="5" t="s">
        <v>710</v>
      </c>
      <c r="I60" s="4" t="s">
        <v>804</v>
      </c>
      <c r="J60" s="4" t="s">
        <v>114</v>
      </c>
    </row>
    <row r="61" customFormat="false" ht="15" hidden="false" customHeight="false" outlineLevel="0" collapsed="false">
      <c r="A61" s="5" t="n">
        <v>41603</v>
      </c>
      <c r="B61" s="5" t="s">
        <v>54</v>
      </c>
      <c r="C61" s="5" t="s">
        <v>805</v>
      </c>
      <c r="D61" s="4" t="s">
        <v>30</v>
      </c>
      <c r="E61" s="4" t="s">
        <v>708</v>
      </c>
      <c r="F61" s="4" t="s">
        <v>734</v>
      </c>
      <c r="G61" s="5" t="n">
        <v>92</v>
      </c>
      <c r="H61" s="5" t="s">
        <v>710</v>
      </c>
      <c r="I61" s="4" t="s">
        <v>806</v>
      </c>
      <c r="J61" s="4" t="s">
        <v>114</v>
      </c>
    </row>
    <row r="62" customFormat="false" ht="15" hidden="false" customHeight="false" outlineLevel="0" collapsed="false">
      <c r="A62" s="5" t="n">
        <v>38662</v>
      </c>
      <c r="B62" s="5" t="s">
        <v>54</v>
      </c>
      <c r="C62" s="5" t="s">
        <v>445</v>
      </c>
      <c r="D62" s="4" t="s">
        <v>34</v>
      </c>
      <c r="E62" s="4" t="s">
        <v>708</v>
      </c>
      <c r="F62" s="4" t="s">
        <v>742</v>
      </c>
      <c r="G62" s="5" t="n">
        <v>64</v>
      </c>
      <c r="H62" s="5" t="s">
        <v>710</v>
      </c>
      <c r="I62" s="4" t="s">
        <v>807</v>
      </c>
      <c r="J62" s="4" t="s">
        <v>114</v>
      </c>
    </row>
    <row r="63" customFormat="false" ht="15" hidden="false" customHeight="false" outlineLevel="0" collapsed="false">
      <c r="A63" s="5" t="n">
        <v>38467</v>
      </c>
      <c r="B63" s="5" t="s">
        <v>54</v>
      </c>
      <c r="C63" s="5" t="s">
        <v>808</v>
      </c>
      <c r="D63" s="4" t="s">
        <v>20</v>
      </c>
      <c r="E63" s="4" t="s">
        <v>708</v>
      </c>
      <c r="F63" s="4" t="s">
        <v>725</v>
      </c>
      <c r="G63" s="5" t="n">
        <v>42</v>
      </c>
      <c r="H63" s="5" t="s">
        <v>710</v>
      </c>
      <c r="I63" s="4" t="s">
        <v>809</v>
      </c>
      <c r="J63" s="4" t="s">
        <v>114</v>
      </c>
    </row>
    <row r="64" customFormat="false" ht="15" hidden="false" customHeight="false" outlineLevel="0" collapsed="false">
      <c r="A64" s="5" t="n">
        <v>41450</v>
      </c>
      <c r="B64" s="5" t="s">
        <v>54</v>
      </c>
      <c r="C64" s="5" t="s">
        <v>810</v>
      </c>
      <c r="D64" s="4" t="s">
        <v>20</v>
      </c>
      <c r="E64" s="4" t="s">
        <v>708</v>
      </c>
      <c r="F64" s="4" t="s">
        <v>734</v>
      </c>
      <c r="G64" s="5" t="n">
        <v>104</v>
      </c>
      <c r="H64" s="5" t="s">
        <v>710</v>
      </c>
      <c r="I64" s="4" t="s">
        <v>811</v>
      </c>
      <c r="J64" s="4" t="s">
        <v>114</v>
      </c>
    </row>
    <row r="65" customFormat="false" ht="15" hidden="false" customHeight="false" outlineLevel="0" collapsed="false">
      <c r="A65" s="5" t="n">
        <v>40472</v>
      </c>
      <c r="B65" s="5" t="s">
        <v>54</v>
      </c>
      <c r="C65" s="5" t="s">
        <v>812</v>
      </c>
      <c r="D65" s="4" t="s">
        <v>20</v>
      </c>
      <c r="E65" s="4" t="s">
        <v>708</v>
      </c>
      <c r="F65" s="4" t="s">
        <v>734</v>
      </c>
      <c r="G65" s="5" t="n">
        <v>64</v>
      </c>
      <c r="H65" s="5" t="s">
        <v>710</v>
      </c>
      <c r="I65" s="4" t="s">
        <v>813</v>
      </c>
      <c r="J65" s="4" t="s">
        <v>114</v>
      </c>
    </row>
    <row r="66" customFormat="false" ht="15" hidden="false" customHeight="false" outlineLevel="0" collapsed="false">
      <c r="A66" s="5" t="n">
        <v>40498</v>
      </c>
      <c r="B66" s="5" t="s">
        <v>54</v>
      </c>
      <c r="C66" s="5" t="s">
        <v>814</v>
      </c>
      <c r="D66" s="4" t="s">
        <v>34</v>
      </c>
      <c r="E66" s="4" t="s">
        <v>708</v>
      </c>
      <c r="F66" s="4" t="s">
        <v>734</v>
      </c>
      <c r="G66" s="5" t="n">
        <v>207</v>
      </c>
      <c r="H66" s="5" t="s">
        <v>710</v>
      </c>
      <c r="I66" s="4" t="s">
        <v>815</v>
      </c>
      <c r="J66" s="4" t="s">
        <v>114</v>
      </c>
    </row>
    <row r="67" customFormat="false" ht="15" hidden="false" customHeight="false" outlineLevel="0" collapsed="false">
      <c r="A67" s="5" t="n">
        <v>41227</v>
      </c>
      <c r="B67" s="5" t="s">
        <v>54</v>
      </c>
      <c r="C67" s="5" t="s">
        <v>816</v>
      </c>
      <c r="D67" s="4" t="s">
        <v>24</v>
      </c>
      <c r="E67" s="4" t="s">
        <v>708</v>
      </c>
      <c r="F67" s="4" t="s">
        <v>709</v>
      </c>
      <c r="G67" s="5" t="n">
        <v>78</v>
      </c>
      <c r="H67" s="5" t="s">
        <v>710</v>
      </c>
      <c r="I67" s="4" t="s">
        <v>817</v>
      </c>
      <c r="J67" s="4" t="s">
        <v>114</v>
      </c>
    </row>
    <row r="68" customFormat="false" ht="15" hidden="false" customHeight="false" outlineLevel="0" collapsed="false">
      <c r="A68" s="5" t="n">
        <v>41456</v>
      </c>
      <c r="B68" s="5" t="s">
        <v>54</v>
      </c>
      <c r="C68" s="5" t="s">
        <v>816</v>
      </c>
      <c r="D68" s="4" t="s">
        <v>28</v>
      </c>
      <c r="E68" s="4" t="s">
        <v>708</v>
      </c>
      <c r="F68" s="4" t="s">
        <v>709</v>
      </c>
      <c r="G68" s="5" t="n">
        <v>76</v>
      </c>
      <c r="H68" s="5" t="s">
        <v>710</v>
      </c>
      <c r="I68" s="4" t="s">
        <v>818</v>
      </c>
      <c r="J68" s="4" t="s">
        <v>114</v>
      </c>
    </row>
    <row r="69" customFormat="false" ht="15" hidden="false" customHeight="false" outlineLevel="0" collapsed="false">
      <c r="A69" s="5" t="n">
        <v>39518</v>
      </c>
      <c r="B69" s="5" t="s">
        <v>54</v>
      </c>
      <c r="C69" s="5" t="s">
        <v>819</v>
      </c>
      <c r="D69" s="4" t="s">
        <v>24</v>
      </c>
      <c r="E69" s="4" t="s">
        <v>708</v>
      </c>
      <c r="F69" s="4" t="s">
        <v>734</v>
      </c>
      <c r="G69" s="5" t="n">
        <v>84</v>
      </c>
      <c r="H69" s="5" t="s">
        <v>710</v>
      </c>
      <c r="I69" s="4" t="s">
        <v>820</v>
      </c>
      <c r="J69" s="4" t="s">
        <v>114</v>
      </c>
    </row>
    <row r="70" customFormat="false" ht="15" hidden="false" customHeight="false" outlineLevel="0" collapsed="false">
      <c r="A70" s="5" t="n">
        <v>41604</v>
      </c>
      <c r="B70" s="5" t="s">
        <v>54</v>
      </c>
      <c r="C70" s="5" t="s">
        <v>207</v>
      </c>
      <c r="D70" s="4" t="s">
        <v>24</v>
      </c>
      <c r="E70" s="4" t="s">
        <v>708</v>
      </c>
      <c r="F70" s="4" t="s">
        <v>734</v>
      </c>
      <c r="G70" s="5" t="n">
        <v>64</v>
      </c>
      <c r="H70" s="5" t="s">
        <v>710</v>
      </c>
      <c r="I70" s="4" t="s">
        <v>821</v>
      </c>
      <c r="J70" s="4" t="s">
        <v>114</v>
      </c>
    </row>
    <row r="71" customFormat="false" ht="15" hidden="false" customHeight="false" outlineLevel="0" collapsed="false">
      <c r="A71" s="5" t="n">
        <v>34152</v>
      </c>
      <c r="B71" s="5" t="s">
        <v>54</v>
      </c>
      <c r="C71" s="5" t="s">
        <v>207</v>
      </c>
      <c r="D71" s="4" t="s">
        <v>28</v>
      </c>
      <c r="E71" s="4" t="s">
        <v>708</v>
      </c>
      <c r="F71" s="4" t="s">
        <v>734</v>
      </c>
      <c r="G71" s="5" t="n">
        <v>47</v>
      </c>
      <c r="H71" s="5" t="s">
        <v>710</v>
      </c>
      <c r="I71" s="4" t="s">
        <v>822</v>
      </c>
      <c r="J71" s="4" t="s">
        <v>114</v>
      </c>
    </row>
    <row r="72" customFormat="false" ht="15" hidden="false" customHeight="false" outlineLevel="0" collapsed="false">
      <c r="A72" s="5" t="n">
        <v>38206</v>
      </c>
      <c r="B72" s="5" t="s">
        <v>54</v>
      </c>
      <c r="C72" s="5" t="s">
        <v>823</v>
      </c>
      <c r="D72" s="4" t="s">
        <v>28</v>
      </c>
      <c r="E72" s="4" t="s">
        <v>708</v>
      </c>
      <c r="F72" s="4" t="s">
        <v>734</v>
      </c>
      <c r="G72" s="5" t="n">
        <v>43</v>
      </c>
      <c r="H72" s="5" t="s">
        <v>710</v>
      </c>
      <c r="I72" s="4" t="s">
        <v>824</v>
      </c>
      <c r="J72" s="4" t="s">
        <v>114</v>
      </c>
    </row>
    <row r="73" customFormat="false" ht="15" hidden="false" customHeight="false" outlineLevel="0" collapsed="false">
      <c r="A73" s="5" t="n">
        <v>40181</v>
      </c>
      <c r="B73" s="5" t="s">
        <v>54</v>
      </c>
      <c r="C73" s="5" t="s">
        <v>337</v>
      </c>
      <c r="D73" s="4" t="s">
        <v>28</v>
      </c>
      <c r="E73" s="4" t="s">
        <v>708</v>
      </c>
      <c r="F73" s="4" t="s">
        <v>734</v>
      </c>
      <c r="G73" s="5" t="n">
        <v>44</v>
      </c>
      <c r="H73" s="5" t="s">
        <v>710</v>
      </c>
      <c r="I73" s="4" t="s">
        <v>825</v>
      </c>
      <c r="J73" s="4" t="s">
        <v>114</v>
      </c>
    </row>
    <row r="74" customFormat="false" ht="15" hidden="false" customHeight="false" outlineLevel="0" collapsed="false">
      <c r="A74" s="5" t="n">
        <v>41397</v>
      </c>
      <c r="B74" s="5" t="s">
        <v>54</v>
      </c>
      <c r="C74" s="5" t="s">
        <v>395</v>
      </c>
      <c r="D74" s="4" t="s">
        <v>28</v>
      </c>
      <c r="E74" s="4" t="s">
        <v>708</v>
      </c>
      <c r="F74" s="4" t="s">
        <v>734</v>
      </c>
      <c r="G74" s="5" t="n">
        <v>43</v>
      </c>
      <c r="H74" s="5" t="s">
        <v>710</v>
      </c>
      <c r="I74" s="4" t="s">
        <v>826</v>
      </c>
      <c r="J74" s="4" t="s">
        <v>114</v>
      </c>
    </row>
    <row r="75" customFormat="false" ht="15" hidden="false" customHeight="false" outlineLevel="0" collapsed="false">
      <c r="A75" s="5" t="n">
        <v>41397</v>
      </c>
      <c r="B75" s="5" t="s">
        <v>54</v>
      </c>
      <c r="C75" s="5" t="s">
        <v>827</v>
      </c>
      <c r="D75" s="4" t="s">
        <v>28</v>
      </c>
      <c r="E75" s="4" t="s">
        <v>708</v>
      </c>
      <c r="F75" s="4" t="s">
        <v>709</v>
      </c>
      <c r="G75" s="5" t="n">
        <v>45</v>
      </c>
      <c r="H75" s="5" t="s">
        <v>710</v>
      </c>
      <c r="I75" s="4" t="s">
        <v>828</v>
      </c>
      <c r="J75" s="4" t="s">
        <v>114</v>
      </c>
    </row>
    <row r="76" customFormat="false" ht="15" hidden="false" customHeight="false" outlineLevel="0" collapsed="false">
      <c r="A76" s="5" t="n">
        <v>41538</v>
      </c>
      <c r="B76" s="5" t="s">
        <v>56</v>
      </c>
      <c r="C76" s="5" t="s">
        <v>829</v>
      </c>
      <c r="D76" s="4" t="s">
        <v>18</v>
      </c>
      <c r="E76" s="4" t="s">
        <v>708</v>
      </c>
      <c r="F76" s="4" t="s">
        <v>734</v>
      </c>
      <c r="G76" s="5" t="n">
        <v>43</v>
      </c>
      <c r="H76" s="5" t="s">
        <v>710</v>
      </c>
      <c r="I76" s="4" t="s">
        <v>830</v>
      </c>
      <c r="J76" s="4" t="s">
        <v>114</v>
      </c>
    </row>
    <row r="77" customFormat="false" ht="15" hidden="false" customHeight="false" outlineLevel="0" collapsed="false">
      <c r="A77" s="5" t="n">
        <v>41511</v>
      </c>
      <c r="B77" s="5" t="s">
        <v>56</v>
      </c>
      <c r="C77" s="5" t="s">
        <v>831</v>
      </c>
      <c r="D77" s="4" t="s">
        <v>18</v>
      </c>
      <c r="E77" s="4" t="s">
        <v>708</v>
      </c>
      <c r="F77" s="4" t="s">
        <v>734</v>
      </c>
      <c r="G77" s="5" t="n">
        <v>80</v>
      </c>
      <c r="H77" s="5" t="s">
        <v>710</v>
      </c>
      <c r="I77" s="4" t="s">
        <v>832</v>
      </c>
      <c r="J77" s="4" t="s">
        <v>114</v>
      </c>
    </row>
    <row r="78" customFormat="false" ht="15" hidden="false" customHeight="false" outlineLevel="0" collapsed="false">
      <c r="A78" s="5" t="n">
        <v>41080</v>
      </c>
      <c r="B78" s="5" t="s">
        <v>58</v>
      </c>
      <c r="C78" s="5" t="s">
        <v>833</v>
      </c>
      <c r="D78" s="4" t="s">
        <v>32</v>
      </c>
      <c r="E78" s="4" t="s">
        <v>708</v>
      </c>
      <c r="F78" s="4" t="s">
        <v>709</v>
      </c>
      <c r="G78" s="5" t="n">
        <v>102</v>
      </c>
      <c r="H78" s="5" t="s">
        <v>710</v>
      </c>
      <c r="I78" s="4" t="s">
        <v>834</v>
      </c>
      <c r="J78" s="4" t="s">
        <v>114</v>
      </c>
    </row>
    <row r="79" customFormat="false" ht="15" hidden="false" customHeight="false" outlineLevel="0" collapsed="false">
      <c r="A79" s="5" t="n">
        <v>41606</v>
      </c>
      <c r="B79" s="5" t="s">
        <v>58</v>
      </c>
      <c r="C79" s="5" t="s">
        <v>528</v>
      </c>
      <c r="D79" s="4" t="s">
        <v>32</v>
      </c>
      <c r="E79" s="4" t="s">
        <v>708</v>
      </c>
      <c r="F79" s="4" t="s">
        <v>709</v>
      </c>
      <c r="G79" s="5" t="n">
        <v>108</v>
      </c>
      <c r="H79" s="5" t="s">
        <v>710</v>
      </c>
      <c r="I79" s="4" t="s">
        <v>835</v>
      </c>
      <c r="J79" s="4" t="s">
        <v>114</v>
      </c>
    </row>
    <row r="80" customFormat="false" ht="15" hidden="false" customHeight="false" outlineLevel="0" collapsed="false">
      <c r="A80" s="5" t="n">
        <v>41607</v>
      </c>
      <c r="B80" s="5" t="s">
        <v>58</v>
      </c>
      <c r="C80" s="5" t="s">
        <v>212</v>
      </c>
      <c r="D80" s="4" t="s">
        <v>32</v>
      </c>
      <c r="E80" s="4" t="s">
        <v>708</v>
      </c>
      <c r="F80" s="4" t="s">
        <v>709</v>
      </c>
      <c r="G80" s="5" t="n">
        <v>98</v>
      </c>
      <c r="H80" s="5" t="s">
        <v>710</v>
      </c>
      <c r="I80" s="4" t="s">
        <v>836</v>
      </c>
      <c r="J80" s="4" t="s">
        <v>114</v>
      </c>
    </row>
    <row r="81" customFormat="false" ht="15" hidden="false" customHeight="false" outlineLevel="0" collapsed="false">
      <c r="A81" s="5" t="n">
        <v>41608</v>
      </c>
      <c r="B81" s="5" t="s">
        <v>58</v>
      </c>
      <c r="C81" s="5" t="s">
        <v>215</v>
      </c>
      <c r="D81" s="4" t="s">
        <v>32</v>
      </c>
      <c r="E81" s="4" t="s">
        <v>708</v>
      </c>
      <c r="F81" s="4" t="s">
        <v>709</v>
      </c>
      <c r="G81" s="5" t="n">
        <v>91</v>
      </c>
      <c r="H81" s="5" t="s">
        <v>710</v>
      </c>
      <c r="I81" s="4" t="s">
        <v>837</v>
      </c>
      <c r="J81" s="4" t="s">
        <v>114</v>
      </c>
    </row>
    <row r="82" customFormat="false" ht="15" hidden="false" customHeight="false" outlineLevel="0" collapsed="false">
      <c r="A82" s="5" t="n">
        <v>41609</v>
      </c>
      <c r="B82" s="5" t="s">
        <v>58</v>
      </c>
      <c r="C82" s="5" t="s">
        <v>838</v>
      </c>
      <c r="D82" s="4" t="s">
        <v>32</v>
      </c>
      <c r="E82" s="4" t="s">
        <v>708</v>
      </c>
      <c r="F82" s="4" t="s">
        <v>709</v>
      </c>
      <c r="G82" s="5" t="n">
        <v>112</v>
      </c>
      <c r="H82" s="5" t="s">
        <v>710</v>
      </c>
      <c r="I82" s="4" t="s">
        <v>839</v>
      </c>
      <c r="J82" s="4" t="s">
        <v>114</v>
      </c>
    </row>
    <row r="83" customFormat="false" ht="15" hidden="false" customHeight="false" outlineLevel="0" collapsed="false">
      <c r="A83" s="5" t="n">
        <v>41610</v>
      </c>
      <c r="B83" s="5" t="s">
        <v>58</v>
      </c>
      <c r="C83" s="5" t="s">
        <v>840</v>
      </c>
      <c r="D83" s="4" t="s">
        <v>32</v>
      </c>
      <c r="E83" s="4" t="s">
        <v>708</v>
      </c>
      <c r="F83" s="4" t="s">
        <v>709</v>
      </c>
      <c r="G83" s="5" t="n">
        <v>85</v>
      </c>
      <c r="H83" s="5" t="s">
        <v>710</v>
      </c>
      <c r="I83" s="4" t="s">
        <v>841</v>
      </c>
      <c r="J83" s="4" t="s">
        <v>114</v>
      </c>
    </row>
    <row r="84" customFormat="false" ht="15" hidden="false" customHeight="false" outlineLevel="0" collapsed="false">
      <c r="A84" s="5" t="n">
        <v>41611</v>
      </c>
      <c r="B84" s="5" t="s">
        <v>58</v>
      </c>
      <c r="C84" s="5" t="s">
        <v>842</v>
      </c>
      <c r="D84" s="4" t="s">
        <v>32</v>
      </c>
      <c r="E84" s="4" t="s">
        <v>708</v>
      </c>
      <c r="F84" s="4" t="s">
        <v>709</v>
      </c>
      <c r="G84" s="5" t="n">
        <v>64</v>
      </c>
      <c r="H84" s="5" t="s">
        <v>710</v>
      </c>
      <c r="I84" s="4" t="s">
        <v>843</v>
      </c>
      <c r="J84" s="4" t="s">
        <v>114</v>
      </c>
    </row>
    <row r="85" customFormat="false" ht="15" hidden="false" customHeight="false" outlineLevel="0" collapsed="false">
      <c r="A85" s="5" t="n">
        <v>41612</v>
      </c>
      <c r="B85" s="5" t="s">
        <v>58</v>
      </c>
      <c r="C85" s="5" t="s">
        <v>756</v>
      </c>
      <c r="D85" s="4" t="s">
        <v>22</v>
      </c>
      <c r="E85" s="4" t="s">
        <v>708</v>
      </c>
      <c r="F85" s="4" t="s">
        <v>725</v>
      </c>
      <c r="G85" s="5" t="n">
        <v>31</v>
      </c>
      <c r="H85" s="5" t="s">
        <v>737</v>
      </c>
      <c r="I85" s="4" t="s">
        <v>844</v>
      </c>
      <c r="J85" s="4" t="s">
        <v>115</v>
      </c>
    </row>
    <row r="86" customFormat="false" ht="15" hidden="false" customHeight="false" outlineLevel="0" collapsed="false">
      <c r="A86" s="5" t="n">
        <v>40766</v>
      </c>
      <c r="B86" s="5" t="s">
        <v>58</v>
      </c>
      <c r="C86" s="5" t="s">
        <v>359</v>
      </c>
      <c r="D86" s="4" t="s">
        <v>22</v>
      </c>
      <c r="E86" s="4" t="s">
        <v>708</v>
      </c>
      <c r="F86" s="4" t="s">
        <v>725</v>
      </c>
      <c r="G86" s="5" t="n">
        <v>28</v>
      </c>
      <c r="H86" s="5" t="s">
        <v>737</v>
      </c>
      <c r="I86" s="4" t="s">
        <v>845</v>
      </c>
      <c r="J86" s="4" t="s">
        <v>115</v>
      </c>
    </row>
    <row r="87" customFormat="false" ht="15" hidden="false" customHeight="false" outlineLevel="0" collapsed="false">
      <c r="A87" s="5" t="n">
        <v>41528</v>
      </c>
      <c r="B87" s="5" t="s">
        <v>58</v>
      </c>
      <c r="C87" s="5" t="s">
        <v>846</v>
      </c>
      <c r="D87" s="4" t="s">
        <v>26</v>
      </c>
      <c r="E87" s="4" t="s">
        <v>708</v>
      </c>
      <c r="F87" s="4" t="s">
        <v>742</v>
      </c>
      <c r="G87" s="5" t="n">
        <v>83</v>
      </c>
      <c r="H87" s="5" t="s">
        <v>710</v>
      </c>
      <c r="I87" s="4" t="s">
        <v>847</v>
      </c>
      <c r="J87" s="4" t="s">
        <v>114</v>
      </c>
    </row>
    <row r="88" customFormat="false" ht="15" hidden="false" customHeight="false" outlineLevel="0" collapsed="false">
      <c r="A88" s="5" t="n">
        <v>41613</v>
      </c>
      <c r="B88" s="5" t="s">
        <v>58</v>
      </c>
      <c r="C88" s="5" t="s">
        <v>544</v>
      </c>
      <c r="D88" s="4" t="s">
        <v>30</v>
      </c>
      <c r="E88" s="4" t="s">
        <v>708</v>
      </c>
      <c r="F88" s="4" t="s">
        <v>709</v>
      </c>
      <c r="G88" s="5" t="n">
        <v>82</v>
      </c>
      <c r="H88" s="5" t="s">
        <v>710</v>
      </c>
      <c r="I88" s="4" t="s">
        <v>848</v>
      </c>
      <c r="J88" s="4" t="s">
        <v>114</v>
      </c>
    </row>
    <row r="89" customFormat="false" ht="15" hidden="false" customHeight="false" outlineLevel="0" collapsed="false">
      <c r="A89" s="5" t="n">
        <v>41614</v>
      </c>
      <c r="B89" s="5" t="s">
        <v>58</v>
      </c>
      <c r="C89" s="5" t="s">
        <v>233</v>
      </c>
      <c r="D89" s="4" t="s">
        <v>30</v>
      </c>
      <c r="E89" s="4" t="s">
        <v>708</v>
      </c>
      <c r="F89" s="4" t="s">
        <v>709</v>
      </c>
      <c r="G89" s="5" t="n">
        <v>73</v>
      </c>
      <c r="H89" s="5" t="s">
        <v>710</v>
      </c>
      <c r="I89" s="4" t="s">
        <v>849</v>
      </c>
      <c r="J89" s="4" t="s">
        <v>114</v>
      </c>
    </row>
    <row r="90" customFormat="false" ht="15" hidden="false" customHeight="false" outlineLevel="0" collapsed="false">
      <c r="A90" s="5" t="n">
        <v>41615</v>
      </c>
      <c r="B90" s="5" t="s">
        <v>58</v>
      </c>
      <c r="C90" s="5" t="s">
        <v>235</v>
      </c>
      <c r="D90" s="4" t="s">
        <v>30</v>
      </c>
      <c r="E90" s="4" t="s">
        <v>708</v>
      </c>
      <c r="F90" s="4" t="s">
        <v>709</v>
      </c>
      <c r="G90" s="5" t="n">
        <v>106</v>
      </c>
      <c r="H90" s="5" t="s">
        <v>710</v>
      </c>
      <c r="I90" s="4" t="s">
        <v>850</v>
      </c>
      <c r="J90" s="4" t="s">
        <v>114</v>
      </c>
    </row>
    <row r="91" customFormat="false" ht="15" hidden="false" customHeight="false" outlineLevel="0" collapsed="false">
      <c r="A91" s="5" t="n">
        <v>41616</v>
      </c>
      <c r="B91" s="5" t="s">
        <v>58</v>
      </c>
      <c r="C91" s="5" t="s">
        <v>851</v>
      </c>
      <c r="D91" s="4" t="s">
        <v>30</v>
      </c>
      <c r="E91" s="4" t="s">
        <v>708</v>
      </c>
      <c r="F91" s="4" t="s">
        <v>709</v>
      </c>
      <c r="G91" s="5" t="n">
        <v>71</v>
      </c>
      <c r="H91" s="5" t="s">
        <v>710</v>
      </c>
      <c r="I91" s="4" t="s">
        <v>852</v>
      </c>
      <c r="J91" s="4" t="s">
        <v>114</v>
      </c>
    </row>
    <row r="92" customFormat="false" ht="15" hidden="false" customHeight="false" outlineLevel="0" collapsed="false">
      <c r="A92" s="5" t="n">
        <v>41617</v>
      </c>
      <c r="B92" s="5" t="s">
        <v>58</v>
      </c>
      <c r="C92" s="5" t="s">
        <v>239</v>
      </c>
      <c r="D92" s="4" t="s">
        <v>30</v>
      </c>
      <c r="E92" s="4" t="s">
        <v>708</v>
      </c>
      <c r="F92" s="4" t="s">
        <v>709</v>
      </c>
      <c r="G92" s="5" t="n">
        <v>46</v>
      </c>
      <c r="H92" s="5" t="s">
        <v>710</v>
      </c>
      <c r="I92" s="4" t="s">
        <v>853</v>
      </c>
      <c r="J92" s="4" t="s">
        <v>114</v>
      </c>
    </row>
    <row r="93" customFormat="false" ht="15" hidden="false" customHeight="false" outlineLevel="0" collapsed="false">
      <c r="A93" s="5" t="n">
        <v>41618</v>
      </c>
      <c r="B93" s="5" t="s">
        <v>58</v>
      </c>
      <c r="C93" s="5" t="s">
        <v>241</v>
      </c>
      <c r="D93" s="4" t="s">
        <v>30</v>
      </c>
      <c r="E93" s="4" t="s">
        <v>708</v>
      </c>
      <c r="F93" s="4" t="s">
        <v>709</v>
      </c>
      <c r="G93" s="5" t="n">
        <v>55</v>
      </c>
      <c r="H93" s="5" t="s">
        <v>710</v>
      </c>
      <c r="I93" s="4" t="s">
        <v>854</v>
      </c>
      <c r="J93" s="4" t="s">
        <v>114</v>
      </c>
    </row>
    <row r="94" customFormat="false" ht="15" hidden="false" customHeight="false" outlineLevel="0" collapsed="false">
      <c r="A94" s="5" t="n">
        <v>41619</v>
      </c>
      <c r="B94" s="5" t="s">
        <v>58</v>
      </c>
      <c r="C94" s="5" t="s">
        <v>243</v>
      </c>
      <c r="D94" s="4" t="s">
        <v>30</v>
      </c>
      <c r="E94" s="4" t="s">
        <v>708</v>
      </c>
      <c r="F94" s="4" t="s">
        <v>709</v>
      </c>
      <c r="G94" s="5" t="n">
        <v>46</v>
      </c>
      <c r="H94" s="5" t="s">
        <v>710</v>
      </c>
      <c r="I94" s="4" t="s">
        <v>855</v>
      </c>
      <c r="J94" s="4" t="s">
        <v>114</v>
      </c>
    </row>
    <row r="95" customFormat="false" ht="15" hidden="false" customHeight="false" outlineLevel="0" collapsed="false">
      <c r="A95" s="5" t="n">
        <v>41620</v>
      </c>
      <c r="B95" s="5" t="s">
        <v>58</v>
      </c>
      <c r="C95" s="5" t="s">
        <v>243</v>
      </c>
      <c r="D95" s="4" t="s">
        <v>30</v>
      </c>
      <c r="E95" s="4" t="s">
        <v>708</v>
      </c>
      <c r="F95" s="4" t="s">
        <v>709</v>
      </c>
      <c r="G95" s="5" t="n">
        <v>46</v>
      </c>
      <c r="H95" s="5" t="s">
        <v>710</v>
      </c>
      <c r="I95" s="4" t="s">
        <v>856</v>
      </c>
      <c r="J95" s="4" t="s">
        <v>114</v>
      </c>
    </row>
    <row r="96" customFormat="false" ht="15" hidden="false" customHeight="false" outlineLevel="0" collapsed="false">
      <c r="A96" s="5" t="n">
        <v>41621</v>
      </c>
      <c r="B96" s="5" t="s">
        <v>58</v>
      </c>
      <c r="C96" s="5" t="s">
        <v>245</v>
      </c>
      <c r="D96" s="4" t="s">
        <v>20</v>
      </c>
      <c r="E96" s="4" t="s">
        <v>708</v>
      </c>
      <c r="F96" s="4" t="s">
        <v>709</v>
      </c>
      <c r="G96" s="5" t="n">
        <v>69</v>
      </c>
      <c r="H96" s="5" t="s">
        <v>710</v>
      </c>
      <c r="I96" s="4" t="s">
        <v>857</v>
      </c>
      <c r="J96" s="4" t="s">
        <v>114</v>
      </c>
    </row>
    <row r="97" customFormat="false" ht="15" hidden="false" customHeight="false" outlineLevel="0" collapsed="false">
      <c r="A97" s="5" t="n">
        <v>41622</v>
      </c>
      <c r="B97" s="5" t="s">
        <v>58</v>
      </c>
      <c r="C97" s="5" t="s">
        <v>248</v>
      </c>
      <c r="D97" s="4" t="s">
        <v>20</v>
      </c>
      <c r="E97" s="4" t="s">
        <v>708</v>
      </c>
      <c r="F97" s="4" t="s">
        <v>709</v>
      </c>
      <c r="G97" s="5" t="n">
        <v>46</v>
      </c>
      <c r="H97" s="5" t="s">
        <v>710</v>
      </c>
      <c r="I97" s="4" t="s">
        <v>858</v>
      </c>
      <c r="J97" s="4" t="s">
        <v>114</v>
      </c>
    </row>
    <row r="98" customFormat="false" ht="15" hidden="false" customHeight="false" outlineLevel="0" collapsed="false">
      <c r="A98" s="5" t="n">
        <v>41623</v>
      </c>
      <c r="B98" s="5" t="s">
        <v>58</v>
      </c>
      <c r="C98" s="5" t="s">
        <v>250</v>
      </c>
      <c r="D98" s="4" t="s">
        <v>20</v>
      </c>
      <c r="E98" s="4" t="s">
        <v>708</v>
      </c>
      <c r="F98" s="4" t="s">
        <v>709</v>
      </c>
      <c r="G98" s="5" t="n">
        <v>70</v>
      </c>
      <c r="H98" s="5" t="s">
        <v>710</v>
      </c>
      <c r="I98" s="4" t="s">
        <v>859</v>
      </c>
      <c r="J98" s="4" t="s">
        <v>114</v>
      </c>
    </row>
    <row r="99" customFormat="false" ht="15" hidden="false" customHeight="false" outlineLevel="0" collapsed="false">
      <c r="A99" s="5" t="n">
        <v>41624</v>
      </c>
      <c r="B99" s="5" t="s">
        <v>58</v>
      </c>
      <c r="C99" s="5" t="s">
        <v>442</v>
      </c>
      <c r="D99" s="4" t="s">
        <v>20</v>
      </c>
      <c r="E99" s="4" t="s">
        <v>708</v>
      </c>
      <c r="F99" s="4" t="s">
        <v>709</v>
      </c>
      <c r="G99" s="5" t="n">
        <v>49</v>
      </c>
      <c r="H99" s="5" t="s">
        <v>710</v>
      </c>
      <c r="I99" s="4" t="s">
        <v>860</v>
      </c>
      <c r="J99" s="4" t="s">
        <v>114</v>
      </c>
    </row>
    <row r="100" customFormat="false" ht="15" hidden="false" customHeight="false" outlineLevel="0" collapsed="false">
      <c r="A100" s="5" t="n">
        <v>41625</v>
      </c>
      <c r="B100" s="5" t="s">
        <v>58</v>
      </c>
      <c r="C100" s="5" t="s">
        <v>445</v>
      </c>
      <c r="D100" s="4" t="s">
        <v>20</v>
      </c>
      <c r="E100" s="4" t="s">
        <v>708</v>
      </c>
      <c r="F100" s="4" t="s">
        <v>709</v>
      </c>
      <c r="G100" s="5" t="n">
        <v>54</v>
      </c>
      <c r="H100" s="5" t="s">
        <v>710</v>
      </c>
      <c r="I100" s="4" t="s">
        <v>861</v>
      </c>
      <c r="J100" s="4" t="s">
        <v>114</v>
      </c>
    </row>
    <row r="101" customFormat="false" ht="15" hidden="false" customHeight="false" outlineLevel="0" collapsed="false">
      <c r="A101" s="5" t="n">
        <v>41489</v>
      </c>
      <c r="B101" s="5" t="s">
        <v>58</v>
      </c>
      <c r="C101" s="5" t="s">
        <v>448</v>
      </c>
      <c r="D101" s="4" t="s">
        <v>20</v>
      </c>
      <c r="E101" s="4" t="s">
        <v>708</v>
      </c>
      <c r="F101" s="4" t="s">
        <v>709</v>
      </c>
      <c r="G101" s="5" t="n">
        <v>61</v>
      </c>
      <c r="H101" s="5" t="s">
        <v>710</v>
      </c>
      <c r="I101" s="4" t="s">
        <v>862</v>
      </c>
      <c r="J101" s="4" t="s">
        <v>114</v>
      </c>
    </row>
    <row r="102" customFormat="false" ht="15" hidden="false" customHeight="false" outlineLevel="0" collapsed="false">
      <c r="A102" s="5" t="n">
        <v>38849</v>
      </c>
      <c r="B102" s="5" t="s">
        <v>58</v>
      </c>
      <c r="C102" s="5" t="s">
        <v>176</v>
      </c>
      <c r="D102" s="4" t="s">
        <v>18</v>
      </c>
      <c r="E102" s="4" t="s">
        <v>708</v>
      </c>
      <c r="F102" s="4" t="s">
        <v>734</v>
      </c>
      <c r="G102" s="5" t="n">
        <v>114</v>
      </c>
      <c r="H102" s="5" t="s">
        <v>710</v>
      </c>
      <c r="I102" s="4" t="s">
        <v>863</v>
      </c>
      <c r="J102" s="4" t="s">
        <v>114</v>
      </c>
    </row>
    <row r="103" customFormat="false" ht="15" hidden="false" customHeight="false" outlineLevel="0" collapsed="false">
      <c r="A103" s="5" t="n">
        <v>41627</v>
      </c>
      <c r="B103" s="5" t="s">
        <v>58</v>
      </c>
      <c r="C103" s="5" t="s">
        <v>864</v>
      </c>
      <c r="D103" s="4" t="s">
        <v>18</v>
      </c>
      <c r="E103" s="4" t="s">
        <v>708</v>
      </c>
      <c r="F103" s="4" t="s">
        <v>734</v>
      </c>
      <c r="G103" s="5" t="n">
        <v>60</v>
      </c>
      <c r="H103" s="5" t="s">
        <v>710</v>
      </c>
      <c r="I103" s="4" t="s">
        <v>865</v>
      </c>
      <c r="J103" s="4" t="s">
        <v>114</v>
      </c>
    </row>
    <row r="104" customFormat="false" ht="15" hidden="false" customHeight="false" outlineLevel="0" collapsed="false">
      <c r="A104" s="5" t="n">
        <v>40553</v>
      </c>
      <c r="B104" s="5" t="s">
        <v>58</v>
      </c>
      <c r="C104" s="5" t="s">
        <v>566</v>
      </c>
      <c r="D104" s="4" t="s">
        <v>18</v>
      </c>
      <c r="E104" s="4" t="s">
        <v>708</v>
      </c>
      <c r="F104" s="4" t="s">
        <v>734</v>
      </c>
      <c r="G104" s="5" t="n">
        <v>42</v>
      </c>
      <c r="H104" s="5" t="s">
        <v>710</v>
      </c>
      <c r="I104" s="4" t="s">
        <v>866</v>
      </c>
      <c r="J104" s="4" t="s">
        <v>114</v>
      </c>
    </row>
    <row r="105" customFormat="false" ht="15" hidden="false" customHeight="false" outlineLevel="0" collapsed="false">
      <c r="A105" s="5" t="n">
        <v>39563</v>
      </c>
      <c r="B105" s="5" t="s">
        <v>58</v>
      </c>
      <c r="C105" s="5" t="s">
        <v>180</v>
      </c>
      <c r="D105" s="4" t="s">
        <v>18</v>
      </c>
      <c r="E105" s="4" t="s">
        <v>708</v>
      </c>
      <c r="F105" s="4" t="s">
        <v>734</v>
      </c>
      <c r="G105" s="5" t="n">
        <v>198</v>
      </c>
      <c r="H105" s="5" t="s">
        <v>710</v>
      </c>
      <c r="I105" s="4" t="s">
        <v>867</v>
      </c>
      <c r="J105" s="4" t="s">
        <v>114</v>
      </c>
    </row>
    <row r="106" customFormat="false" ht="15" hidden="false" customHeight="false" outlineLevel="0" collapsed="false">
      <c r="A106" s="5" t="n">
        <v>41096</v>
      </c>
      <c r="B106" s="5" t="s">
        <v>58</v>
      </c>
      <c r="C106" s="5" t="s">
        <v>182</v>
      </c>
      <c r="D106" s="4" t="s">
        <v>18</v>
      </c>
      <c r="E106" s="4" t="s">
        <v>708</v>
      </c>
      <c r="F106" s="4" t="s">
        <v>734</v>
      </c>
      <c r="G106" s="5" t="n">
        <v>59</v>
      </c>
      <c r="H106" s="5" t="s">
        <v>710</v>
      </c>
      <c r="I106" s="4" t="s">
        <v>868</v>
      </c>
      <c r="J106" s="4" t="s">
        <v>114</v>
      </c>
    </row>
    <row r="107" customFormat="false" ht="15" hidden="false" customHeight="false" outlineLevel="0" collapsed="false">
      <c r="A107" s="5" t="n">
        <v>41096</v>
      </c>
      <c r="B107" s="5" t="s">
        <v>58</v>
      </c>
      <c r="C107" s="5" t="s">
        <v>769</v>
      </c>
      <c r="D107" s="4" t="s">
        <v>18</v>
      </c>
      <c r="E107" s="4" t="s">
        <v>869</v>
      </c>
      <c r="F107" s="4"/>
      <c r="G107" s="5" t="n">
        <v>0</v>
      </c>
      <c r="H107" s="5" t="s">
        <v>726</v>
      </c>
      <c r="I107" s="4"/>
      <c r="J107" s="4" t="s">
        <v>116</v>
      </c>
    </row>
    <row r="108" customFormat="false" ht="15" hidden="false" customHeight="false" outlineLevel="0" collapsed="false">
      <c r="A108" s="5" t="n">
        <v>41490</v>
      </c>
      <c r="B108" s="5" t="s">
        <v>58</v>
      </c>
      <c r="C108" s="5" t="s">
        <v>870</v>
      </c>
      <c r="D108" s="4" t="s">
        <v>18</v>
      </c>
      <c r="E108" s="4" t="s">
        <v>708</v>
      </c>
      <c r="F108" s="4" t="s">
        <v>734</v>
      </c>
      <c r="G108" s="5" t="n">
        <v>49</v>
      </c>
      <c r="H108" s="5" t="s">
        <v>710</v>
      </c>
      <c r="I108" s="4" t="s">
        <v>871</v>
      </c>
      <c r="J108" s="4" t="s">
        <v>114</v>
      </c>
    </row>
    <row r="109" customFormat="false" ht="15" hidden="false" customHeight="false" outlineLevel="0" collapsed="false">
      <c r="A109" s="5" t="n">
        <v>41505</v>
      </c>
      <c r="B109" s="5" t="s">
        <v>58</v>
      </c>
      <c r="C109" s="5" t="s">
        <v>872</v>
      </c>
      <c r="D109" s="4" t="s">
        <v>26</v>
      </c>
      <c r="E109" s="4" t="s">
        <v>708</v>
      </c>
      <c r="F109" s="4" t="s">
        <v>725</v>
      </c>
      <c r="G109" s="5" t="n">
        <v>107</v>
      </c>
      <c r="H109" s="5" t="s">
        <v>710</v>
      </c>
      <c r="I109" s="4" t="s">
        <v>873</v>
      </c>
      <c r="J109" s="4" t="s">
        <v>114</v>
      </c>
    </row>
    <row r="110" customFormat="false" ht="15" hidden="false" customHeight="false" outlineLevel="0" collapsed="false">
      <c r="A110" s="5" t="n">
        <v>41493</v>
      </c>
      <c r="B110" s="5" t="s">
        <v>58</v>
      </c>
      <c r="C110" s="5" t="s">
        <v>874</v>
      </c>
      <c r="D110" s="4" t="s">
        <v>26</v>
      </c>
      <c r="E110" s="4" t="s">
        <v>708</v>
      </c>
      <c r="F110" s="4" t="s">
        <v>725</v>
      </c>
      <c r="G110" s="5" t="n">
        <v>65</v>
      </c>
      <c r="H110" s="5" t="s">
        <v>710</v>
      </c>
      <c r="I110" s="4" t="s">
        <v>875</v>
      </c>
      <c r="J110" s="4" t="s">
        <v>114</v>
      </c>
    </row>
    <row r="111" customFormat="false" ht="15" hidden="false" customHeight="false" outlineLevel="0" collapsed="false">
      <c r="A111" s="5" t="n">
        <v>41628</v>
      </c>
      <c r="B111" s="5" t="s">
        <v>58</v>
      </c>
      <c r="C111" s="5" t="s">
        <v>876</v>
      </c>
      <c r="D111" s="4" t="s">
        <v>18</v>
      </c>
      <c r="E111" s="4" t="s">
        <v>708</v>
      </c>
      <c r="F111" s="4" t="s">
        <v>734</v>
      </c>
      <c r="G111" s="5" t="n">
        <v>83</v>
      </c>
      <c r="H111" s="5" t="s">
        <v>710</v>
      </c>
      <c r="I111" s="4" t="s">
        <v>877</v>
      </c>
      <c r="J111" s="4" t="s">
        <v>114</v>
      </c>
    </row>
    <row r="112" customFormat="false" ht="15" hidden="false" customHeight="false" outlineLevel="0" collapsed="false">
      <c r="A112" s="5" t="n">
        <v>40605</v>
      </c>
      <c r="B112" s="5" t="s">
        <v>58</v>
      </c>
      <c r="C112" s="5" t="s">
        <v>878</v>
      </c>
      <c r="D112" s="4" t="s">
        <v>28</v>
      </c>
      <c r="E112" s="4" t="s">
        <v>708</v>
      </c>
      <c r="F112" s="4" t="s">
        <v>709</v>
      </c>
      <c r="G112" s="5" t="n">
        <v>93</v>
      </c>
      <c r="H112" s="5" t="s">
        <v>710</v>
      </c>
      <c r="I112" s="4" t="s">
        <v>879</v>
      </c>
      <c r="J112" s="4" t="s">
        <v>114</v>
      </c>
    </row>
    <row r="113" customFormat="false" ht="15" hidden="false" customHeight="false" outlineLevel="0" collapsed="false">
      <c r="A113" s="5" t="n">
        <v>40593</v>
      </c>
      <c r="B113" s="5" t="s">
        <v>58</v>
      </c>
      <c r="C113" s="5" t="s">
        <v>880</v>
      </c>
      <c r="D113" s="4" t="s">
        <v>28</v>
      </c>
      <c r="E113" s="4" t="s">
        <v>708</v>
      </c>
      <c r="F113" s="4" t="s">
        <v>709</v>
      </c>
      <c r="G113" s="5" t="n">
        <v>59</v>
      </c>
      <c r="H113" s="5" t="s">
        <v>710</v>
      </c>
      <c r="I113" s="4" t="s">
        <v>881</v>
      </c>
      <c r="J113" s="4" t="s">
        <v>114</v>
      </c>
    </row>
    <row r="114" customFormat="false" ht="15" hidden="false" customHeight="false" outlineLevel="0" collapsed="false">
      <c r="A114" s="5" t="n">
        <v>35287</v>
      </c>
      <c r="B114" s="5" t="s">
        <v>58</v>
      </c>
      <c r="C114" s="5" t="s">
        <v>882</v>
      </c>
      <c r="D114" s="4" t="s">
        <v>28</v>
      </c>
      <c r="E114" s="4" t="s">
        <v>708</v>
      </c>
      <c r="F114" s="4" t="s">
        <v>734</v>
      </c>
      <c r="G114" s="5" t="n">
        <v>48</v>
      </c>
      <c r="H114" s="5" t="s">
        <v>710</v>
      </c>
      <c r="I114" s="4" t="s">
        <v>883</v>
      </c>
      <c r="J114" s="4" t="s">
        <v>114</v>
      </c>
    </row>
    <row r="115" customFormat="false" ht="15" hidden="false" customHeight="false" outlineLevel="0" collapsed="false">
      <c r="A115" s="5" t="n">
        <v>40270</v>
      </c>
      <c r="B115" s="5" t="s">
        <v>58</v>
      </c>
      <c r="C115" s="5" t="s">
        <v>884</v>
      </c>
      <c r="D115" s="4" t="s">
        <v>28</v>
      </c>
      <c r="E115" s="4" t="s">
        <v>708</v>
      </c>
      <c r="F115" s="4" t="s">
        <v>734</v>
      </c>
      <c r="G115" s="5" t="n">
        <v>58</v>
      </c>
      <c r="H115" s="5" t="s">
        <v>710</v>
      </c>
      <c r="I115" s="4" t="s">
        <v>885</v>
      </c>
      <c r="J115" s="4" t="s">
        <v>114</v>
      </c>
    </row>
    <row r="116" customFormat="false" ht="15" hidden="false" customHeight="false" outlineLevel="0" collapsed="false">
      <c r="A116" s="5" t="n">
        <v>41583</v>
      </c>
      <c r="B116" s="5" t="s">
        <v>58</v>
      </c>
      <c r="C116" s="5" t="s">
        <v>886</v>
      </c>
      <c r="D116" s="4" t="s">
        <v>24</v>
      </c>
      <c r="E116" s="4" t="s">
        <v>708</v>
      </c>
      <c r="F116" s="4" t="s">
        <v>742</v>
      </c>
      <c r="G116" s="5" t="n">
        <v>117</v>
      </c>
      <c r="H116" s="5" t="s">
        <v>710</v>
      </c>
      <c r="I116" s="4" t="s">
        <v>887</v>
      </c>
      <c r="J116" s="4" t="s">
        <v>114</v>
      </c>
    </row>
    <row r="117" customFormat="false" ht="15" hidden="false" customHeight="false" outlineLevel="0" collapsed="false">
      <c r="A117" s="5" t="n">
        <v>41583</v>
      </c>
      <c r="B117" s="5" t="s">
        <v>58</v>
      </c>
      <c r="C117" s="5" t="s">
        <v>886</v>
      </c>
      <c r="D117" s="4" t="s">
        <v>24</v>
      </c>
      <c r="E117" s="4" t="s">
        <v>869</v>
      </c>
      <c r="F117" s="4"/>
      <c r="G117" s="5" t="n">
        <v>0</v>
      </c>
      <c r="H117" s="5" t="s">
        <v>726</v>
      </c>
      <c r="I117" s="4"/>
      <c r="J117" s="4" t="s">
        <v>116</v>
      </c>
    </row>
    <row r="118" customFormat="false" ht="15" hidden="false" customHeight="false" outlineLevel="0" collapsed="false">
      <c r="A118" s="5" t="n">
        <v>41322</v>
      </c>
      <c r="B118" s="5" t="s">
        <v>58</v>
      </c>
      <c r="C118" s="5" t="s">
        <v>888</v>
      </c>
      <c r="D118" s="4" t="s">
        <v>24</v>
      </c>
      <c r="E118" s="4" t="s">
        <v>708</v>
      </c>
      <c r="F118" s="4" t="s">
        <v>734</v>
      </c>
      <c r="G118" s="5" t="n">
        <v>70</v>
      </c>
      <c r="H118" s="5" t="s">
        <v>710</v>
      </c>
      <c r="I118" s="4" t="s">
        <v>889</v>
      </c>
      <c r="J118" s="4" t="s">
        <v>114</v>
      </c>
    </row>
    <row r="119" customFormat="false" ht="15" hidden="false" customHeight="false" outlineLevel="0" collapsed="false">
      <c r="A119" s="5" t="n">
        <v>39518</v>
      </c>
      <c r="B119" s="5" t="s">
        <v>58</v>
      </c>
      <c r="C119" s="5" t="s">
        <v>890</v>
      </c>
      <c r="D119" s="4" t="s">
        <v>24</v>
      </c>
      <c r="E119" s="4" t="s">
        <v>708</v>
      </c>
      <c r="F119" s="4" t="s">
        <v>734</v>
      </c>
      <c r="G119" s="5" t="n">
        <v>202</v>
      </c>
      <c r="H119" s="5" t="s">
        <v>710</v>
      </c>
      <c r="I119" s="4" t="s">
        <v>891</v>
      </c>
      <c r="J119" s="4" t="s">
        <v>114</v>
      </c>
    </row>
    <row r="120" customFormat="false" ht="15" hidden="false" customHeight="false" outlineLevel="0" collapsed="false">
      <c r="A120" s="5" t="n">
        <v>40688</v>
      </c>
      <c r="B120" s="5" t="s">
        <v>58</v>
      </c>
      <c r="C120" s="5" t="s">
        <v>892</v>
      </c>
      <c r="D120" s="4" t="s">
        <v>24</v>
      </c>
      <c r="E120" s="4" t="s">
        <v>708</v>
      </c>
      <c r="F120" s="4" t="s">
        <v>734</v>
      </c>
      <c r="G120" s="5" t="n">
        <v>73</v>
      </c>
      <c r="H120" s="5" t="s">
        <v>710</v>
      </c>
      <c r="I120" s="4" t="s">
        <v>893</v>
      </c>
      <c r="J120" s="4" t="s">
        <v>114</v>
      </c>
    </row>
    <row r="121" customFormat="false" ht="15" hidden="false" customHeight="false" outlineLevel="0" collapsed="false">
      <c r="A121" s="5" t="n">
        <v>41224</v>
      </c>
      <c r="B121" s="5" t="s">
        <v>58</v>
      </c>
      <c r="C121" s="5" t="s">
        <v>894</v>
      </c>
      <c r="D121" s="4" t="s">
        <v>24</v>
      </c>
      <c r="E121" s="4" t="s">
        <v>708</v>
      </c>
      <c r="F121" s="4" t="s">
        <v>742</v>
      </c>
      <c r="G121" s="5" t="n">
        <v>143</v>
      </c>
      <c r="H121" s="5" t="s">
        <v>710</v>
      </c>
      <c r="I121" s="4" t="s">
        <v>895</v>
      </c>
      <c r="J121" s="4" t="s">
        <v>114</v>
      </c>
    </row>
    <row r="122" customFormat="false" ht="15" hidden="false" customHeight="false" outlineLevel="0" collapsed="false">
      <c r="A122" s="5" t="n">
        <v>41629</v>
      </c>
      <c r="B122" s="5" t="s">
        <v>58</v>
      </c>
      <c r="C122" s="5" t="s">
        <v>896</v>
      </c>
      <c r="D122" s="4" t="s">
        <v>18</v>
      </c>
      <c r="E122" s="4" t="s">
        <v>708</v>
      </c>
      <c r="F122" s="4" t="s">
        <v>734</v>
      </c>
      <c r="G122" s="5" t="n">
        <v>50</v>
      </c>
      <c r="H122" s="5" t="s">
        <v>710</v>
      </c>
      <c r="I122" s="4" t="s">
        <v>897</v>
      </c>
      <c r="J122" s="4" t="s">
        <v>114</v>
      </c>
    </row>
    <row r="123" customFormat="false" ht="15" hidden="false" customHeight="false" outlineLevel="0" collapsed="false">
      <c r="A123" s="5" t="n">
        <v>41630</v>
      </c>
      <c r="B123" s="5" t="s">
        <v>60</v>
      </c>
      <c r="C123" s="5" t="s">
        <v>273</v>
      </c>
      <c r="D123" s="4" t="s">
        <v>22</v>
      </c>
      <c r="E123" s="4" t="s">
        <v>708</v>
      </c>
      <c r="F123" s="4" t="s">
        <v>725</v>
      </c>
      <c r="G123" s="5" t="n">
        <v>24</v>
      </c>
      <c r="H123" s="5" t="s">
        <v>737</v>
      </c>
      <c r="I123" s="4" t="s">
        <v>898</v>
      </c>
      <c r="J123" s="4" t="s">
        <v>115</v>
      </c>
    </row>
    <row r="124" customFormat="false" ht="15" hidden="false" customHeight="false" outlineLevel="0" collapsed="false">
      <c r="A124" s="5" t="n">
        <v>41307</v>
      </c>
      <c r="B124" s="5" t="s">
        <v>60</v>
      </c>
      <c r="C124" s="5" t="s">
        <v>899</v>
      </c>
      <c r="D124" s="4" t="s">
        <v>32</v>
      </c>
      <c r="E124" s="4" t="s">
        <v>708</v>
      </c>
      <c r="F124" s="4" t="s">
        <v>734</v>
      </c>
      <c r="G124" s="5" t="n">
        <v>72</v>
      </c>
      <c r="H124" s="5" t="s">
        <v>710</v>
      </c>
      <c r="I124" s="4" t="s">
        <v>900</v>
      </c>
      <c r="J124" s="4" t="s">
        <v>114</v>
      </c>
    </row>
    <row r="125" customFormat="false" ht="15" hidden="false" customHeight="false" outlineLevel="0" collapsed="false">
      <c r="A125" s="5" t="n">
        <v>41634</v>
      </c>
      <c r="B125" s="5" t="s">
        <v>60</v>
      </c>
      <c r="C125" s="5" t="s">
        <v>901</v>
      </c>
      <c r="D125" s="4" t="s">
        <v>26</v>
      </c>
      <c r="E125" s="4" t="s">
        <v>708</v>
      </c>
      <c r="F125" s="4" t="s">
        <v>742</v>
      </c>
      <c r="G125" s="5" t="n">
        <v>85</v>
      </c>
      <c r="H125" s="5" t="s">
        <v>710</v>
      </c>
      <c r="I125" s="4" t="s">
        <v>902</v>
      </c>
      <c r="J125" s="4" t="s">
        <v>114</v>
      </c>
    </row>
    <row r="126" customFormat="false" ht="15" hidden="false" customHeight="false" outlineLevel="0" collapsed="false">
      <c r="A126" s="5" t="n">
        <v>41583</v>
      </c>
      <c r="B126" s="5" t="s">
        <v>60</v>
      </c>
      <c r="C126" s="5" t="s">
        <v>903</v>
      </c>
      <c r="D126" s="4" t="s">
        <v>24</v>
      </c>
      <c r="E126" s="4" t="s">
        <v>708</v>
      </c>
      <c r="F126" s="4" t="s">
        <v>742</v>
      </c>
      <c r="G126" s="5" t="n">
        <v>65</v>
      </c>
      <c r="H126" s="5" t="s">
        <v>710</v>
      </c>
      <c r="I126" s="4" t="s">
        <v>904</v>
      </c>
      <c r="J126" s="4" t="s">
        <v>114</v>
      </c>
    </row>
    <row r="127" customFormat="false" ht="15" hidden="false" customHeight="false" outlineLevel="0" collapsed="false">
      <c r="A127" s="5" t="n">
        <v>41322</v>
      </c>
      <c r="B127" s="5" t="s">
        <v>60</v>
      </c>
      <c r="C127" s="5" t="s">
        <v>905</v>
      </c>
      <c r="D127" s="4" t="s">
        <v>24</v>
      </c>
      <c r="E127" s="4" t="s">
        <v>708</v>
      </c>
      <c r="F127" s="4" t="s">
        <v>734</v>
      </c>
      <c r="G127" s="5" t="n">
        <v>48</v>
      </c>
      <c r="H127" s="5" t="s">
        <v>710</v>
      </c>
      <c r="I127" s="4" t="s">
        <v>906</v>
      </c>
      <c r="J127" s="4" t="s">
        <v>114</v>
      </c>
    </row>
    <row r="128" customFormat="false" ht="15" hidden="false" customHeight="false" outlineLevel="0" collapsed="false">
      <c r="A128" s="5" t="n">
        <v>41604</v>
      </c>
      <c r="B128" s="5" t="s">
        <v>60</v>
      </c>
      <c r="C128" s="5" t="s">
        <v>907</v>
      </c>
      <c r="D128" s="4" t="s">
        <v>24</v>
      </c>
      <c r="E128" s="4" t="s">
        <v>708</v>
      </c>
      <c r="F128" s="4" t="s">
        <v>734</v>
      </c>
      <c r="G128" s="5" t="n">
        <v>112</v>
      </c>
      <c r="H128" s="5" t="s">
        <v>710</v>
      </c>
      <c r="I128" s="4" t="s">
        <v>908</v>
      </c>
      <c r="J128" s="4" t="s">
        <v>114</v>
      </c>
    </row>
    <row r="129" customFormat="false" ht="15" hidden="false" customHeight="false" outlineLevel="0" collapsed="false">
      <c r="A129" s="5" t="n">
        <v>41637</v>
      </c>
      <c r="B129" s="5" t="s">
        <v>60</v>
      </c>
      <c r="C129" s="5" t="s">
        <v>592</v>
      </c>
      <c r="D129" s="4" t="s">
        <v>24</v>
      </c>
      <c r="E129" s="4" t="s">
        <v>708</v>
      </c>
      <c r="F129" s="4" t="s">
        <v>742</v>
      </c>
      <c r="G129" s="5" t="n">
        <v>73</v>
      </c>
      <c r="H129" s="5" t="s">
        <v>710</v>
      </c>
      <c r="I129" s="4" t="s">
        <v>909</v>
      </c>
      <c r="J129" s="4" t="s">
        <v>114</v>
      </c>
    </row>
    <row r="130" customFormat="false" ht="15" hidden="false" customHeight="false" outlineLevel="0" collapsed="false">
      <c r="A130" s="5" t="n">
        <v>41645</v>
      </c>
      <c r="B130" s="5" t="s">
        <v>60</v>
      </c>
      <c r="C130" s="5" t="s">
        <v>293</v>
      </c>
      <c r="D130" s="4" t="s">
        <v>30</v>
      </c>
      <c r="E130" s="4" t="s">
        <v>708</v>
      </c>
      <c r="F130" s="4" t="s">
        <v>709</v>
      </c>
      <c r="G130" s="5" t="n">
        <v>74</v>
      </c>
      <c r="H130" s="5" t="s">
        <v>710</v>
      </c>
      <c r="I130" s="4" t="s">
        <v>910</v>
      </c>
      <c r="J130" s="4" t="s">
        <v>114</v>
      </c>
    </row>
    <row r="131" customFormat="false" ht="15" hidden="false" customHeight="false" outlineLevel="0" collapsed="false">
      <c r="A131" s="5" t="n">
        <v>41647</v>
      </c>
      <c r="B131" s="5" t="s">
        <v>60</v>
      </c>
      <c r="C131" s="5" t="s">
        <v>296</v>
      </c>
      <c r="D131" s="4" t="s">
        <v>30</v>
      </c>
      <c r="E131" s="4" t="s">
        <v>708</v>
      </c>
      <c r="F131" s="4" t="s">
        <v>709</v>
      </c>
      <c r="G131" s="5" t="n">
        <v>50</v>
      </c>
      <c r="H131" s="5" t="s">
        <v>710</v>
      </c>
      <c r="I131" s="4" t="s">
        <v>911</v>
      </c>
      <c r="J131" s="4" t="s">
        <v>114</v>
      </c>
    </row>
    <row r="132" customFormat="false" ht="15" hidden="false" customHeight="false" outlineLevel="0" collapsed="false">
      <c r="A132" s="5" t="n">
        <v>41646</v>
      </c>
      <c r="B132" s="5" t="s">
        <v>60</v>
      </c>
      <c r="C132" s="5" t="s">
        <v>296</v>
      </c>
      <c r="D132" s="4" t="s">
        <v>24</v>
      </c>
      <c r="E132" s="4" t="s">
        <v>708</v>
      </c>
      <c r="F132" s="4" t="s">
        <v>734</v>
      </c>
      <c r="G132" s="5" t="n">
        <v>88</v>
      </c>
      <c r="H132" s="5" t="s">
        <v>710</v>
      </c>
      <c r="I132" s="4" t="s">
        <v>912</v>
      </c>
      <c r="J132" s="4" t="s">
        <v>114</v>
      </c>
    </row>
    <row r="133" customFormat="false" ht="15" hidden="false" customHeight="false" outlineLevel="0" collapsed="false">
      <c r="A133" s="5" t="n">
        <v>41648</v>
      </c>
      <c r="B133" s="5" t="s">
        <v>60</v>
      </c>
      <c r="C133" s="5" t="s">
        <v>299</v>
      </c>
      <c r="D133" s="4" t="s">
        <v>30</v>
      </c>
      <c r="E133" s="4" t="s">
        <v>708</v>
      </c>
      <c r="F133" s="4" t="s">
        <v>709</v>
      </c>
      <c r="G133" s="5" t="n">
        <v>67</v>
      </c>
      <c r="H133" s="5" t="s">
        <v>710</v>
      </c>
      <c r="I133" s="4" t="s">
        <v>913</v>
      </c>
      <c r="J133" s="4" t="s">
        <v>114</v>
      </c>
    </row>
    <row r="134" customFormat="false" ht="15" hidden="false" customHeight="false" outlineLevel="0" collapsed="false">
      <c r="A134" s="5" t="n">
        <v>41649</v>
      </c>
      <c r="B134" s="5" t="s">
        <v>60</v>
      </c>
      <c r="C134" s="5" t="s">
        <v>301</v>
      </c>
      <c r="D134" s="4" t="s">
        <v>30</v>
      </c>
      <c r="E134" s="4" t="s">
        <v>708</v>
      </c>
      <c r="F134" s="4" t="s">
        <v>709</v>
      </c>
      <c r="G134" s="5" t="n">
        <v>72</v>
      </c>
      <c r="H134" s="5" t="s">
        <v>710</v>
      </c>
      <c r="I134" s="4" t="s">
        <v>914</v>
      </c>
      <c r="J134" s="4" t="s">
        <v>114</v>
      </c>
    </row>
    <row r="135" customFormat="false" ht="15" hidden="false" customHeight="false" outlineLevel="0" collapsed="false">
      <c r="A135" s="5" t="n">
        <v>41650</v>
      </c>
      <c r="B135" s="5" t="s">
        <v>60</v>
      </c>
      <c r="C135" s="5" t="s">
        <v>915</v>
      </c>
      <c r="D135" s="4" t="s">
        <v>22</v>
      </c>
      <c r="E135" s="4" t="s">
        <v>708</v>
      </c>
      <c r="F135" s="4" t="s">
        <v>725</v>
      </c>
      <c r="G135" s="5" t="n">
        <v>138</v>
      </c>
      <c r="H135" s="5" t="s">
        <v>710</v>
      </c>
      <c r="I135" s="4" t="s">
        <v>916</v>
      </c>
      <c r="J135" s="4" t="s">
        <v>114</v>
      </c>
    </row>
    <row r="136" customFormat="false" ht="15" hidden="false" customHeight="false" outlineLevel="0" collapsed="false">
      <c r="A136" s="5" t="n">
        <v>41651</v>
      </c>
      <c r="B136" s="5" t="s">
        <v>60</v>
      </c>
      <c r="C136" s="5" t="s">
        <v>915</v>
      </c>
      <c r="D136" s="4" t="s">
        <v>30</v>
      </c>
      <c r="E136" s="4" t="s">
        <v>708</v>
      </c>
      <c r="F136" s="4" t="s">
        <v>709</v>
      </c>
      <c r="G136" s="5" t="n">
        <v>151</v>
      </c>
      <c r="H136" s="5" t="s">
        <v>710</v>
      </c>
      <c r="I136" s="4" t="s">
        <v>917</v>
      </c>
      <c r="J136" s="4" t="s">
        <v>114</v>
      </c>
    </row>
    <row r="137" customFormat="false" ht="15" hidden="false" customHeight="false" outlineLevel="0" collapsed="false">
      <c r="A137" s="5" t="n">
        <v>41652</v>
      </c>
      <c r="B137" s="5" t="s">
        <v>60</v>
      </c>
      <c r="C137" s="5" t="s">
        <v>305</v>
      </c>
      <c r="D137" s="4" t="s">
        <v>30</v>
      </c>
      <c r="E137" s="4" t="s">
        <v>708</v>
      </c>
      <c r="F137" s="4" t="s">
        <v>709</v>
      </c>
      <c r="G137" s="5" t="n">
        <v>85</v>
      </c>
      <c r="H137" s="5" t="s">
        <v>710</v>
      </c>
      <c r="I137" s="4" t="s">
        <v>918</v>
      </c>
      <c r="J137" s="4" t="s">
        <v>114</v>
      </c>
    </row>
    <row r="138" customFormat="false" ht="15" hidden="false" customHeight="false" outlineLevel="0" collapsed="false">
      <c r="A138" s="5" t="n">
        <v>41653</v>
      </c>
      <c r="B138" s="5" t="s">
        <v>60</v>
      </c>
      <c r="C138" s="5" t="s">
        <v>309</v>
      </c>
      <c r="D138" s="4" t="s">
        <v>30</v>
      </c>
      <c r="E138" s="4" t="s">
        <v>708</v>
      </c>
      <c r="F138" s="4" t="s">
        <v>709</v>
      </c>
      <c r="G138" s="5" t="n">
        <v>69</v>
      </c>
      <c r="H138" s="5" t="s">
        <v>710</v>
      </c>
      <c r="I138" s="4" t="s">
        <v>919</v>
      </c>
      <c r="J138" s="4" t="s">
        <v>114</v>
      </c>
    </row>
    <row r="139" customFormat="false" ht="15" hidden="false" customHeight="false" outlineLevel="0" collapsed="false">
      <c r="A139" s="5" t="n">
        <v>13231</v>
      </c>
      <c r="B139" s="5" t="s">
        <v>60</v>
      </c>
      <c r="C139" s="5" t="s">
        <v>767</v>
      </c>
      <c r="D139" s="4" t="s">
        <v>32</v>
      </c>
      <c r="E139" s="4" t="s">
        <v>708</v>
      </c>
      <c r="F139" s="4" t="s">
        <v>709</v>
      </c>
      <c r="G139" s="5" t="n">
        <v>34</v>
      </c>
      <c r="H139" s="5" t="s">
        <v>737</v>
      </c>
      <c r="I139" s="4" t="s">
        <v>920</v>
      </c>
      <c r="J139" s="4" t="s">
        <v>115</v>
      </c>
    </row>
    <row r="140" customFormat="false" ht="15" hidden="false" customHeight="false" outlineLevel="0" collapsed="false">
      <c r="A140" s="5" t="n">
        <v>41655</v>
      </c>
      <c r="B140" s="5" t="s">
        <v>60</v>
      </c>
      <c r="C140" s="5" t="s">
        <v>921</v>
      </c>
      <c r="D140" s="4" t="s">
        <v>20</v>
      </c>
      <c r="E140" s="4" t="s">
        <v>708</v>
      </c>
      <c r="F140" s="4" t="s">
        <v>734</v>
      </c>
      <c r="G140" s="5" t="n">
        <v>70</v>
      </c>
      <c r="H140" s="5" t="s">
        <v>710</v>
      </c>
      <c r="I140" s="4" t="s">
        <v>922</v>
      </c>
      <c r="J140" s="4" t="s">
        <v>114</v>
      </c>
    </row>
    <row r="141" customFormat="false" ht="15" hidden="false" customHeight="false" outlineLevel="0" collapsed="false">
      <c r="A141" s="5" t="n">
        <v>41656</v>
      </c>
      <c r="B141" s="5" t="s">
        <v>60</v>
      </c>
      <c r="C141" s="5" t="s">
        <v>923</v>
      </c>
      <c r="D141" s="4" t="s">
        <v>20</v>
      </c>
      <c r="E141" s="4" t="s">
        <v>708</v>
      </c>
      <c r="F141" s="4" t="s">
        <v>709</v>
      </c>
      <c r="G141" s="5" t="n">
        <v>73</v>
      </c>
      <c r="H141" s="5" t="s">
        <v>710</v>
      </c>
      <c r="I141" s="4" t="s">
        <v>924</v>
      </c>
      <c r="J141" s="4" t="s">
        <v>114</v>
      </c>
    </row>
    <row r="142" customFormat="false" ht="15" hidden="false" customHeight="false" outlineLevel="0" collapsed="false">
      <c r="A142" s="5" t="n">
        <v>41657</v>
      </c>
      <c r="B142" s="5" t="s">
        <v>60</v>
      </c>
      <c r="C142" s="5" t="s">
        <v>315</v>
      </c>
      <c r="D142" s="4" t="s">
        <v>20</v>
      </c>
      <c r="E142" s="4" t="s">
        <v>708</v>
      </c>
      <c r="F142" s="4" t="s">
        <v>709</v>
      </c>
      <c r="G142" s="5" t="n">
        <v>60</v>
      </c>
      <c r="H142" s="5" t="s">
        <v>710</v>
      </c>
      <c r="I142" s="4" t="s">
        <v>925</v>
      </c>
      <c r="J142" s="4" t="s">
        <v>114</v>
      </c>
    </row>
    <row r="143" customFormat="false" ht="15" hidden="false" customHeight="false" outlineLevel="0" collapsed="false">
      <c r="A143" s="5" t="n">
        <v>41658</v>
      </c>
      <c r="B143" s="5" t="s">
        <v>60</v>
      </c>
      <c r="C143" s="5" t="s">
        <v>317</v>
      </c>
      <c r="D143" s="4" t="s">
        <v>20</v>
      </c>
      <c r="E143" s="4" t="s">
        <v>708</v>
      </c>
      <c r="F143" s="4" t="s">
        <v>709</v>
      </c>
      <c r="G143" s="5" t="n">
        <v>67</v>
      </c>
      <c r="H143" s="5" t="s">
        <v>710</v>
      </c>
      <c r="I143" s="4" t="s">
        <v>926</v>
      </c>
      <c r="J143" s="4" t="s">
        <v>114</v>
      </c>
    </row>
    <row r="144" customFormat="false" ht="15" hidden="false" customHeight="false" outlineLevel="0" collapsed="false">
      <c r="A144" s="5" t="n">
        <v>41659</v>
      </c>
      <c r="B144" s="5" t="s">
        <v>60</v>
      </c>
      <c r="C144" s="5" t="s">
        <v>321</v>
      </c>
      <c r="D144" s="4" t="s">
        <v>20</v>
      </c>
      <c r="E144" s="4" t="s">
        <v>708</v>
      </c>
      <c r="F144" s="4" t="s">
        <v>709</v>
      </c>
      <c r="G144" s="5" t="n">
        <v>130</v>
      </c>
      <c r="H144" s="5" t="s">
        <v>710</v>
      </c>
      <c r="I144" s="4" t="s">
        <v>927</v>
      </c>
      <c r="J144" s="4" t="s">
        <v>114</v>
      </c>
    </row>
    <row r="145" customFormat="false" ht="15" hidden="false" customHeight="false" outlineLevel="0" collapsed="false">
      <c r="A145" s="5" t="n">
        <v>41660</v>
      </c>
      <c r="B145" s="5" t="s">
        <v>60</v>
      </c>
      <c r="C145" s="5" t="s">
        <v>928</v>
      </c>
      <c r="D145" s="4" t="s">
        <v>20</v>
      </c>
      <c r="E145" s="4" t="s">
        <v>708</v>
      </c>
      <c r="F145" s="4" t="s">
        <v>709</v>
      </c>
      <c r="G145" s="5" t="n">
        <v>61</v>
      </c>
      <c r="H145" s="5" t="s">
        <v>710</v>
      </c>
      <c r="I145" s="4" t="s">
        <v>929</v>
      </c>
      <c r="J145" s="4" t="s">
        <v>114</v>
      </c>
    </row>
    <row r="146" customFormat="false" ht="15" hidden="false" customHeight="false" outlineLevel="0" collapsed="false">
      <c r="A146" s="5" t="n">
        <v>40714</v>
      </c>
      <c r="B146" s="5" t="s">
        <v>60</v>
      </c>
      <c r="C146" s="5" t="s">
        <v>930</v>
      </c>
      <c r="D146" s="4" t="s">
        <v>20</v>
      </c>
      <c r="E146" s="4" t="s">
        <v>708</v>
      </c>
      <c r="F146" s="4" t="s">
        <v>734</v>
      </c>
      <c r="G146" s="5" t="n">
        <v>44</v>
      </c>
      <c r="H146" s="5" t="s">
        <v>710</v>
      </c>
      <c r="I146" s="4" t="s">
        <v>931</v>
      </c>
      <c r="J146" s="4" t="s">
        <v>114</v>
      </c>
    </row>
    <row r="147" customFormat="false" ht="15" hidden="false" customHeight="false" outlineLevel="0" collapsed="false">
      <c r="A147" s="5" t="n">
        <v>18207</v>
      </c>
      <c r="B147" s="5" t="s">
        <v>60</v>
      </c>
      <c r="C147" s="5" t="s">
        <v>932</v>
      </c>
      <c r="D147" s="4" t="s">
        <v>28</v>
      </c>
      <c r="E147" s="4" t="s">
        <v>708</v>
      </c>
      <c r="F147" s="4" t="s">
        <v>709</v>
      </c>
      <c r="G147" s="5" t="n">
        <v>86</v>
      </c>
      <c r="H147" s="5" t="s">
        <v>710</v>
      </c>
      <c r="I147" s="4" t="s">
        <v>933</v>
      </c>
      <c r="J147" s="4" t="s">
        <v>114</v>
      </c>
    </row>
    <row r="148" customFormat="false" ht="15" hidden="false" customHeight="false" outlineLevel="0" collapsed="false">
      <c r="A148" s="5" t="n">
        <v>41506</v>
      </c>
      <c r="B148" s="5" t="s">
        <v>60</v>
      </c>
      <c r="C148" s="5" t="s">
        <v>934</v>
      </c>
      <c r="D148" s="4" t="s">
        <v>28</v>
      </c>
      <c r="E148" s="4" t="s">
        <v>708</v>
      </c>
      <c r="F148" s="4" t="s">
        <v>709</v>
      </c>
      <c r="G148" s="5" t="n">
        <v>50</v>
      </c>
      <c r="H148" s="5" t="s">
        <v>710</v>
      </c>
      <c r="I148" s="4" t="s">
        <v>935</v>
      </c>
      <c r="J148" s="4" t="s">
        <v>114</v>
      </c>
    </row>
    <row r="149" customFormat="false" ht="15" hidden="false" customHeight="false" outlineLevel="0" collapsed="false">
      <c r="A149" s="5" t="n">
        <v>37135</v>
      </c>
      <c r="B149" s="5" t="s">
        <v>60</v>
      </c>
      <c r="C149" s="5" t="s">
        <v>936</v>
      </c>
      <c r="D149" s="4" t="s">
        <v>28</v>
      </c>
      <c r="E149" s="4" t="s">
        <v>708</v>
      </c>
      <c r="F149" s="4" t="s">
        <v>734</v>
      </c>
      <c r="G149" s="5" t="n">
        <v>59</v>
      </c>
      <c r="H149" s="5" t="s">
        <v>710</v>
      </c>
      <c r="I149" s="4" t="s">
        <v>937</v>
      </c>
      <c r="J149" s="4" t="s">
        <v>114</v>
      </c>
    </row>
    <row r="150" customFormat="false" ht="15" hidden="false" customHeight="false" outlineLevel="0" collapsed="false">
      <c r="A150" s="5" t="n">
        <v>35287</v>
      </c>
      <c r="B150" s="5" t="s">
        <v>60</v>
      </c>
      <c r="C150" s="5" t="s">
        <v>938</v>
      </c>
      <c r="D150" s="4" t="s">
        <v>28</v>
      </c>
      <c r="E150" s="4" t="s">
        <v>708</v>
      </c>
      <c r="F150" s="4" t="s">
        <v>734</v>
      </c>
      <c r="G150" s="5" t="n">
        <v>66</v>
      </c>
      <c r="H150" s="5" t="s">
        <v>710</v>
      </c>
      <c r="I150" s="4" t="s">
        <v>939</v>
      </c>
      <c r="J150" s="4" t="s">
        <v>114</v>
      </c>
    </row>
    <row r="151" customFormat="false" ht="15" hidden="false" customHeight="false" outlineLevel="0" collapsed="false">
      <c r="A151" s="5" t="n">
        <v>38113</v>
      </c>
      <c r="B151" s="5" t="s">
        <v>60</v>
      </c>
      <c r="C151" s="5" t="s">
        <v>940</v>
      </c>
      <c r="D151" s="4" t="s">
        <v>28</v>
      </c>
      <c r="E151" s="4" t="s">
        <v>708</v>
      </c>
      <c r="F151" s="4" t="s">
        <v>734</v>
      </c>
      <c r="G151" s="5" t="n">
        <v>51</v>
      </c>
      <c r="H151" s="5" t="s">
        <v>710</v>
      </c>
      <c r="I151" s="4" t="s">
        <v>941</v>
      </c>
      <c r="J151" s="4" t="s">
        <v>114</v>
      </c>
    </row>
    <row r="152" customFormat="false" ht="15" hidden="false" customHeight="false" outlineLevel="0" collapsed="false">
      <c r="A152" s="5" t="n">
        <v>9558</v>
      </c>
      <c r="B152" s="5" t="s">
        <v>60</v>
      </c>
      <c r="C152" s="5" t="s">
        <v>942</v>
      </c>
      <c r="D152" s="4" t="s">
        <v>28</v>
      </c>
      <c r="E152" s="4" t="s">
        <v>708</v>
      </c>
      <c r="F152" s="4" t="s">
        <v>734</v>
      </c>
      <c r="G152" s="5" t="n">
        <v>59</v>
      </c>
      <c r="H152" s="5" t="s">
        <v>710</v>
      </c>
      <c r="I152" s="4" t="s">
        <v>943</v>
      </c>
      <c r="J152" s="4" t="s">
        <v>114</v>
      </c>
    </row>
    <row r="153" customFormat="false" ht="15" hidden="false" customHeight="false" outlineLevel="0" collapsed="false">
      <c r="A153" s="5" t="n">
        <v>9505</v>
      </c>
      <c r="B153" s="5" t="s">
        <v>60</v>
      </c>
      <c r="C153" s="5" t="s">
        <v>944</v>
      </c>
      <c r="D153" s="4" t="s">
        <v>28</v>
      </c>
      <c r="E153" s="4" t="s">
        <v>708</v>
      </c>
      <c r="F153" s="4" t="s">
        <v>734</v>
      </c>
      <c r="G153" s="5" t="n">
        <v>64</v>
      </c>
      <c r="H153" s="5" t="s">
        <v>710</v>
      </c>
      <c r="I153" s="4" t="s">
        <v>945</v>
      </c>
      <c r="J153" s="4" t="s">
        <v>114</v>
      </c>
    </row>
    <row r="154" customFormat="false" ht="15" hidden="false" customHeight="false" outlineLevel="0" collapsed="false">
      <c r="A154" s="5" t="n">
        <v>35909</v>
      </c>
      <c r="B154" s="5" t="s">
        <v>60</v>
      </c>
      <c r="C154" s="5" t="s">
        <v>946</v>
      </c>
      <c r="D154" s="4" t="s">
        <v>28</v>
      </c>
      <c r="E154" s="4" t="s">
        <v>708</v>
      </c>
      <c r="F154" s="4" t="s">
        <v>734</v>
      </c>
      <c r="G154" s="5" t="n">
        <v>60</v>
      </c>
      <c r="H154" s="5" t="s">
        <v>710</v>
      </c>
      <c r="I154" s="4" t="s">
        <v>947</v>
      </c>
      <c r="J154" s="4" t="s">
        <v>114</v>
      </c>
    </row>
    <row r="155" customFormat="false" ht="15" hidden="false" customHeight="false" outlineLevel="0" collapsed="false">
      <c r="A155" s="5" t="n">
        <v>41661</v>
      </c>
      <c r="B155" s="5" t="s">
        <v>60</v>
      </c>
      <c r="C155" s="5" t="s">
        <v>948</v>
      </c>
      <c r="D155" s="4" t="s">
        <v>18</v>
      </c>
      <c r="E155" s="4" t="s">
        <v>708</v>
      </c>
      <c r="F155" s="4" t="s">
        <v>734</v>
      </c>
      <c r="G155" s="5" t="n">
        <v>109</v>
      </c>
      <c r="H155" s="5" t="s">
        <v>710</v>
      </c>
      <c r="I155" s="4" t="s">
        <v>949</v>
      </c>
      <c r="J155" s="4" t="s">
        <v>114</v>
      </c>
    </row>
    <row r="156" customFormat="false" ht="15" hidden="false" customHeight="false" outlineLevel="0" collapsed="false">
      <c r="A156" s="5" t="n">
        <v>41662</v>
      </c>
      <c r="B156" s="5" t="s">
        <v>60</v>
      </c>
      <c r="C156" s="5" t="s">
        <v>894</v>
      </c>
      <c r="D156" s="4" t="s">
        <v>18</v>
      </c>
      <c r="E156" s="4" t="s">
        <v>708</v>
      </c>
      <c r="F156" s="4" t="s">
        <v>734</v>
      </c>
      <c r="G156" s="5" t="n">
        <v>106</v>
      </c>
      <c r="H156" s="5" t="s">
        <v>710</v>
      </c>
      <c r="I156" s="4" t="s">
        <v>950</v>
      </c>
      <c r="J156" s="4" t="s">
        <v>114</v>
      </c>
    </row>
    <row r="157" customFormat="false" ht="15" hidden="false" customHeight="false" outlineLevel="0" collapsed="false">
      <c r="A157" s="5" t="n">
        <v>41486</v>
      </c>
      <c r="B157" s="5" t="s">
        <v>60</v>
      </c>
      <c r="C157" s="5" t="s">
        <v>816</v>
      </c>
      <c r="D157" s="4" t="s">
        <v>18</v>
      </c>
      <c r="E157" s="4" t="s">
        <v>708</v>
      </c>
      <c r="F157" s="4" t="s">
        <v>734</v>
      </c>
      <c r="G157" s="5" t="n">
        <v>111</v>
      </c>
      <c r="H157" s="5" t="s">
        <v>710</v>
      </c>
      <c r="I157" s="4" t="s">
        <v>951</v>
      </c>
      <c r="J157" s="4" t="s">
        <v>114</v>
      </c>
    </row>
    <row r="158" customFormat="false" ht="15" hidden="false" customHeight="false" outlineLevel="0" collapsed="false">
      <c r="A158" s="5" t="n">
        <v>41627</v>
      </c>
      <c r="B158" s="5" t="s">
        <v>60</v>
      </c>
      <c r="C158" s="5" t="s">
        <v>823</v>
      </c>
      <c r="D158" s="4" t="s">
        <v>18</v>
      </c>
      <c r="E158" s="4" t="s">
        <v>708</v>
      </c>
      <c r="F158" s="4" t="s">
        <v>734</v>
      </c>
      <c r="G158" s="5" t="n">
        <v>86</v>
      </c>
      <c r="H158" s="5" t="s">
        <v>710</v>
      </c>
      <c r="I158" s="4" t="s">
        <v>952</v>
      </c>
      <c r="J158" s="4" t="s">
        <v>114</v>
      </c>
    </row>
    <row r="159" customFormat="false" ht="15" hidden="false" customHeight="false" outlineLevel="0" collapsed="false">
      <c r="A159" s="5" t="n">
        <v>41664</v>
      </c>
      <c r="B159" s="5" t="s">
        <v>60</v>
      </c>
      <c r="C159" s="5" t="s">
        <v>393</v>
      </c>
      <c r="D159" s="4" t="s">
        <v>18</v>
      </c>
      <c r="E159" s="4" t="s">
        <v>708</v>
      </c>
      <c r="F159" s="4" t="s">
        <v>734</v>
      </c>
      <c r="G159" s="5" t="n">
        <v>37</v>
      </c>
      <c r="H159" s="5" t="s">
        <v>737</v>
      </c>
      <c r="I159" s="4" t="s">
        <v>953</v>
      </c>
      <c r="J159" s="4" t="s">
        <v>115</v>
      </c>
    </row>
    <row r="160" customFormat="false" ht="15" hidden="false" customHeight="false" outlineLevel="0" collapsed="false">
      <c r="A160" s="5" t="n">
        <v>37333</v>
      </c>
      <c r="B160" s="5" t="s">
        <v>62</v>
      </c>
      <c r="C160" s="5" t="s">
        <v>954</v>
      </c>
      <c r="D160" s="4" t="s">
        <v>32</v>
      </c>
      <c r="E160" s="4" t="s">
        <v>708</v>
      </c>
      <c r="F160" s="4" t="s">
        <v>709</v>
      </c>
      <c r="G160" s="5" t="n">
        <v>71</v>
      </c>
      <c r="H160" s="5" t="s">
        <v>710</v>
      </c>
      <c r="I160" s="4" t="s">
        <v>955</v>
      </c>
      <c r="J160" s="4" t="s">
        <v>114</v>
      </c>
    </row>
    <row r="161" customFormat="false" ht="15" hidden="false" customHeight="false" outlineLevel="0" collapsed="false">
      <c r="A161" s="5" t="n">
        <v>41667</v>
      </c>
      <c r="B161" s="5" t="s">
        <v>62</v>
      </c>
      <c r="C161" s="5" t="s">
        <v>956</v>
      </c>
      <c r="D161" s="4" t="s">
        <v>32</v>
      </c>
      <c r="E161" s="4" t="s">
        <v>708</v>
      </c>
      <c r="F161" s="4" t="s">
        <v>709</v>
      </c>
      <c r="G161" s="5" t="n">
        <v>91</v>
      </c>
      <c r="H161" s="5" t="s">
        <v>710</v>
      </c>
      <c r="I161" s="4" t="s">
        <v>957</v>
      </c>
      <c r="J161" s="4" t="s">
        <v>114</v>
      </c>
    </row>
    <row r="162" customFormat="false" ht="15" hidden="false" customHeight="false" outlineLevel="0" collapsed="false">
      <c r="A162" s="5" t="n">
        <v>41668</v>
      </c>
      <c r="B162" s="5" t="s">
        <v>62</v>
      </c>
      <c r="C162" s="5" t="s">
        <v>958</v>
      </c>
      <c r="D162" s="4" t="s">
        <v>32</v>
      </c>
      <c r="E162" s="4" t="s">
        <v>708</v>
      </c>
      <c r="F162" s="4" t="s">
        <v>709</v>
      </c>
      <c r="G162" s="5" t="n">
        <v>78</v>
      </c>
      <c r="H162" s="5" t="s">
        <v>710</v>
      </c>
      <c r="I162" s="4" t="s">
        <v>959</v>
      </c>
      <c r="J162" s="4" t="s">
        <v>114</v>
      </c>
    </row>
    <row r="163" customFormat="false" ht="15" hidden="false" customHeight="false" outlineLevel="0" collapsed="false">
      <c r="A163" s="5" t="n">
        <v>41677</v>
      </c>
      <c r="B163" s="5" t="s">
        <v>62</v>
      </c>
      <c r="C163" s="5" t="s">
        <v>215</v>
      </c>
      <c r="D163" s="4" t="s">
        <v>20</v>
      </c>
      <c r="E163" s="4" t="s">
        <v>708</v>
      </c>
      <c r="F163" s="4" t="s">
        <v>734</v>
      </c>
      <c r="G163" s="5" t="n">
        <v>92</v>
      </c>
      <c r="H163" s="5" t="s">
        <v>710</v>
      </c>
      <c r="I163" s="4" t="s">
        <v>960</v>
      </c>
      <c r="J163" s="4" t="s">
        <v>114</v>
      </c>
    </row>
    <row r="164" customFormat="false" ht="15" hidden="false" customHeight="false" outlineLevel="0" collapsed="false">
      <c r="A164" s="5" t="n">
        <v>41307</v>
      </c>
      <c r="B164" s="5" t="s">
        <v>62</v>
      </c>
      <c r="C164" s="5" t="s">
        <v>961</v>
      </c>
      <c r="D164" s="4" t="s">
        <v>32</v>
      </c>
      <c r="E164" s="4" t="s">
        <v>708</v>
      </c>
      <c r="F164" s="4" t="s">
        <v>734</v>
      </c>
      <c r="G164" s="5" t="n">
        <v>120</v>
      </c>
      <c r="H164" s="5" t="s">
        <v>710</v>
      </c>
      <c r="I164" s="4" t="s">
        <v>962</v>
      </c>
      <c r="J164" s="4" t="s">
        <v>114</v>
      </c>
    </row>
    <row r="165" customFormat="false" ht="15" hidden="false" customHeight="false" outlineLevel="0" collapsed="false">
      <c r="A165" s="5" t="n">
        <v>40644</v>
      </c>
      <c r="B165" s="5" t="s">
        <v>62</v>
      </c>
      <c r="C165" s="5" t="s">
        <v>963</v>
      </c>
      <c r="D165" s="4" t="s">
        <v>20</v>
      </c>
      <c r="E165" s="4" t="s">
        <v>708</v>
      </c>
      <c r="F165" s="4" t="s">
        <v>734</v>
      </c>
      <c r="G165" s="5" t="n">
        <v>64</v>
      </c>
      <c r="H165" s="5" t="s">
        <v>710</v>
      </c>
      <c r="I165" s="4" t="s">
        <v>964</v>
      </c>
      <c r="J165" s="4" t="s">
        <v>114</v>
      </c>
    </row>
    <row r="166" customFormat="false" ht="15" hidden="false" customHeight="false" outlineLevel="0" collapsed="false">
      <c r="A166" s="5" t="n">
        <v>41680</v>
      </c>
      <c r="B166" s="5" t="s">
        <v>62</v>
      </c>
      <c r="C166" s="5" t="s">
        <v>965</v>
      </c>
      <c r="D166" s="4" t="s">
        <v>18</v>
      </c>
      <c r="E166" s="4" t="s">
        <v>708</v>
      </c>
      <c r="F166" s="4" t="s">
        <v>734</v>
      </c>
      <c r="G166" s="5" t="n">
        <v>123</v>
      </c>
      <c r="H166" s="5" t="s">
        <v>710</v>
      </c>
      <c r="I166" s="4" t="s">
        <v>966</v>
      </c>
      <c r="J166" s="4" t="s">
        <v>114</v>
      </c>
    </row>
    <row r="167" customFormat="false" ht="15" hidden="false" customHeight="false" outlineLevel="0" collapsed="false">
      <c r="A167" s="5" t="n">
        <v>41681</v>
      </c>
      <c r="B167" s="5" t="s">
        <v>62</v>
      </c>
      <c r="C167" s="5" t="s">
        <v>967</v>
      </c>
      <c r="D167" s="4" t="s">
        <v>18</v>
      </c>
      <c r="E167" s="4" t="s">
        <v>708</v>
      </c>
      <c r="F167" s="4" t="s">
        <v>734</v>
      </c>
      <c r="G167" s="5" t="n">
        <v>88</v>
      </c>
      <c r="H167" s="5" t="s">
        <v>710</v>
      </c>
      <c r="I167" s="4" t="s">
        <v>968</v>
      </c>
      <c r="J167" s="4" t="s">
        <v>114</v>
      </c>
    </row>
    <row r="168" customFormat="false" ht="15" hidden="false" customHeight="false" outlineLevel="0" collapsed="false">
      <c r="A168" s="5" t="n">
        <v>40309</v>
      </c>
      <c r="B168" s="5" t="s">
        <v>62</v>
      </c>
      <c r="C168" s="5" t="s">
        <v>969</v>
      </c>
      <c r="D168" s="4" t="s">
        <v>18</v>
      </c>
      <c r="E168" s="4" t="s">
        <v>708</v>
      </c>
      <c r="F168" s="4" t="s">
        <v>734</v>
      </c>
      <c r="G168" s="5" t="n">
        <v>105</v>
      </c>
      <c r="H168" s="5" t="s">
        <v>710</v>
      </c>
      <c r="I168" s="4" t="s">
        <v>970</v>
      </c>
      <c r="J168" s="4" t="s">
        <v>114</v>
      </c>
    </row>
    <row r="169" customFormat="false" ht="15" hidden="false" customHeight="false" outlineLevel="0" collapsed="false">
      <c r="A169" s="5" t="n">
        <v>41650</v>
      </c>
      <c r="B169" s="5" t="s">
        <v>62</v>
      </c>
      <c r="C169" s="5" t="s">
        <v>971</v>
      </c>
      <c r="D169" s="4" t="s">
        <v>22</v>
      </c>
      <c r="E169" s="4" t="s">
        <v>708</v>
      </c>
      <c r="F169" s="4" t="s">
        <v>725</v>
      </c>
      <c r="G169" s="5" t="n">
        <v>104</v>
      </c>
      <c r="H169" s="5" t="s">
        <v>710</v>
      </c>
      <c r="I169" s="4" t="s">
        <v>972</v>
      </c>
      <c r="J169" s="4" t="s">
        <v>114</v>
      </c>
    </row>
    <row r="170" customFormat="false" ht="15" hidden="false" customHeight="false" outlineLevel="0" collapsed="false">
      <c r="A170" s="5" t="n">
        <v>41683</v>
      </c>
      <c r="B170" s="5" t="s">
        <v>62</v>
      </c>
      <c r="C170" s="5" t="s">
        <v>538</v>
      </c>
      <c r="D170" s="4" t="s">
        <v>22</v>
      </c>
      <c r="E170" s="4" t="s">
        <v>708</v>
      </c>
      <c r="F170" s="4" t="s">
        <v>725</v>
      </c>
      <c r="G170" s="5" t="n">
        <v>27</v>
      </c>
      <c r="H170" s="5" t="s">
        <v>737</v>
      </c>
      <c r="I170" s="4" t="s">
        <v>973</v>
      </c>
      <c r="J170" s="4" t="s">
        <v>115</v>
      </c>
    </row>
    <row r="171" customFormat="false" ht="15" hidden="false" customHeight="false" outlineLevel="0" collapsed="false">
      <c r="A171" s="5" t="n">
        <v>41684</v>
      </c>
      <c r="B171" s="5" t="s">
        <v>62</v>
      </c>
      <c r="C171" s="5" t="s">
        <v>974</v>
      </c>
      <c r="D171" s="4" t="s">
        <v>26</v>
      </c>
      <c r="E171" s="4" t="s">
        <v>708</v>
      </c>
      <c r="F171" s="4" t="s">
        <v>742</v>
      </c>
      <c r="G171" s="5" t="n">
        <v>160</v>
      </c>
      <c r="H171" s="5" t="s">
        <v>710</v>
      </c>
      <c r="I171" s="4" t="s">
        <v>975</v>
      </c>
      <c r="J171" s="4" t="s">
        <v>114</v>
      </c>
    </row>
    <row r="172" customFormat="false" ht="15" hidden="false" customHeight="false" outlineLevel="0" collapsed="false">
      <c r="A172" s="5" t="n">
        <v>41636</v>
      </c>
      <c r="B172" s="5" t="s">
        <v>62</v>
      </c>
      <c r="C172" s="5" t="s">
        <v>976</v>
      </c>
      <c r="D172" s="4" t="s">
        <v>26</v>
      </c>
      <c r="E172" s="4" t="s">
        <v>708</v>
      </c>
      <c r="F172" s="4" t="s">
        <v>725</v>
      </c>
      <c r="G172" s="5" t="n">
        <v>108</v>
      </c>
      <c r="H172" s="5" t="s">
        <v>710</v>
      </c>
      <c r="I172" s="4" t="s">
        <v>977</v>
      </c>
      <c r="J172" s="4" t="s">
        <v>114</v>
      </c>
    </row>
    <row r="173" customFormat="false" ht="15" hidden="false" customHeight="false" outlineLevel="0" collapsed="false">
      <c r="A173" s="5" t="n">
        <v>41685</v>
      </c>
      <c r="B173" s="5" t="s">
        <v>62</v>
      </c>
      <c r="C173" s="5" t="s">
        <v>445</v>
      </c>
      <c r="D173" s="4" t="s">
        <v>30</v>
      </c>
      <c r="E173" s="4" t="s">
        <v>869</v>
      </c>
      <c r="F173" s="4"/>
      <c r="G173" s="5" t="n">
        <v>0</v>
      </c>
      <c r="H173" s="5" t="s">
        <v>726</v>
      </c>
      <c r="I173" s="4"/>
      <c r="J173" s="4" t="s">
        <v>116</v>
      </c>
    </row>
    <row r="174" customFormat="false" ht="15" hidden="false" customHeight="false" outlineLevel="0" collapsed="false">
      <c r="A174" s="5" t="n">
        <v>41686</v>
      </c>
      <c r="B174" s="5" t="s">
        <v>62</v>
      </c>
      <c r="C174" s="5" t="s">
        <v>296</v>
      </c>
      <c r="D174" s="4" t="s">
        <v>30</v>
      </c>
      <c r="E174" s="4" t="s">
        <v>708</v>
      </c>
      <c r="F174" s="4" t="s">
        <v>734</v>
      </c>
      <c r="G174" s="5" t="n">
        <v>86</v>
      </c>
      <c r="H174" s="5" t="s">
        <v>710</v>
      </c>
      <c r="I174" s="4" t="s">
        <v>978</v>
      </c>
      <c r="J174" s="4" t="s">
        <v>114</v>
      </c>
    </row>
    <row r="175" customFormat="false" ht="15" hidden="false" customHeight="false" outlineLevel="0" collapsed="false">
      <c r="A175" s="5" t="n">
        <v>41687</v>
      </c>
      <c r="B175" s="5" t="s">
        <v>62</v>
      </c>
      <c r="C175" s="5" t="s">
        <v>299</v>
      </c>
      <c r="D175" s="4" t="s">
        <v>30</v>
      </c>
      <c r="E175" s="4" t="s">
        <v>708</v>
      </c>
      <c r="F175" s="4" t="s">
        <v>734</v>
      </c>
      <c r="G175" s="5" t="n">
        <v>56</v>
      </c>
      <c r="H175" s="5" t="s">
        <v>710</v>
      </c>
      <c r="I175" s="4" t="s">
        <v>979</v>
      </c>
      <c r="J175" s="4" t="s">
        <v>114</v>
      </c>
    </row>
    <row r="176" customFormat="false" ht="15" hidden="false" customHeight="false" outlineLevel="0" collapsed="false">
      <c r="A176" s="5" t="n">
        <v>41688</v>
      </c>
      <c r="B176" s="5" t="s">
        <v>62</v>
      </c>
      <c r="C176" s="5" t="s">
        <v>301</v>
      </c>
      <c r="D176" s="4" t="s">
        <v>30</v>
      </c>
      <c r="E176" s="4" t="s">
        <v>708</v>
      </c>
      <c r="F176" s="4" t="s">
        <v>734</v>
      </c>
      <c r="G176" s="5" t="n">
        <v>52</v>
      </c>
      <c r="H176" s="5" t="s">
        <v>710</v>
      </c>
      <c r="I176" s="4" t="s">
        <v>980</v>
      </c>
      <c r="J176" s="4" t="s">
        <v>114</v>
      </c>
    </row>
    <row r="177" customFormat="false" ht="15" hidden="false" customHeight="false" outlineLevel="0" collapsed="false">
      <c r="A177" s="5" t="n">
        <v>41689</v>
      </c>
      <c r="B177" s="5" t="s">
        <v>62</v>
      </c>
      <c r="C177" s="5" t="s">
        <v>915</v>
      </c>
      <c r="D177" s="4" t="s">
        <v>30</v>
      </c>
      <c r="E177" s="4" t="s">
        <v>708</v>
      </c>
      <c r="F177" s="4" t="s">
        <v>734</v>
      </c>
      <c r="G177" s="5" t="n">
        <v>57</v>
      </c>
      <c r="H177" s="5" t="s">
        <v>710</v>
      </c>
      <c r="I177" s="4" t="s">
        <v>981</v>
      </c>
      <c r="J177" s="4" t="s">
        <v>114</v>
      </c>
    </row>
    <row r="178" customFormat="false" ht="15" hidden="false" customHeight="false" outlineLevel="0" collapsed="false">
      <c r="A178" s="5" t="n">
        <v>41690</v>
      </c>
      <c r="B178" s="5" t="s">
        <v>62</v>
      </c>
      <c r="C178" s="5" t="s">
        <v>379</v>
      </c>
      <c r="D178" s="4" t="s">
        <v>30</v>
      </c>
      <c r="E178" s="4" t="s">
        <v>708</v>
      </c>
      <c r="F178" s="4" t="s">
        <v>709</v>
      </c>
      <c r="G178" s="5" t="n">
        <v>31</v>
      </c>
      <c r="H178" s="5" t="s">
        <v>737</v>
      </c>
      <c r="I178" s="4" t="s">
        <v>982</v>
      </c>
      <c r="J178" s="4" t="s">
        <v>115</v>
      </c>
    </row>
    <row r="179" customFormat="false" ht="15" hidden="false" customHeight="false" outlineLevel="0" collapsed="false">
      <c r="A179" s="5" t="n">
        <v>41691</v>
      </c>
      <c r="B179" s="5" t="s">
        <v>62</v>
      </c>
      <c r="C179" s="5" t="s">
        <v>307</v>
      </c>
      <c r="D179" s="4" t="s">
        <v>30</v>
      </c>
      <c r="E179" s="4" t="s">
        <v>708</v>
      </c>
      <c r="F179" s="4" t="s">
        <v>709</v>
      </c>
      <c r="G179" s="5" t="n">
        <v>58</v>
      </c>
      <c r="H179" s="5" t="s">
        <v>710</v>
      </c>
      <c r="I179" s="4" t="s">
        <v>983</v>
      </c>
      <c r="J179" s="4" t="s">
        <v>114</v>
      </c>
    </row>
    <row r="180" customFormat="false" ht="15" hidden="false" customHeight="false" outlineLevel="0" collapsed="false">
      <c r="A180" s="5" t="n">
        <v>41692</v>
      </c>
      <c r="B180" s="5" t="s">
        <v>62</v>
      </c>
      <c r="C180" s="5" t="s">
        <v>425</v>
      </c>
      <c r="D180" s="4" t="s">
        <v>30</v>
      </c>
      <c r="E180" s="4" t="s">
        <v>708</v>
      </c>
      <c r="F180" s="4" t="s">
        <v>734</v>
      </c>
      <c r="G180" s="5" t="n">
        <v>101</v>
      </c>
      <c r="H180" s="5" t="s">
        <v>710</v>
      </c>
      <c r="I180" s="4" t="s">
        <v>984</v>
      </c>
      <c r="J180" s="4" t="s">
        <v>114</v>
      </c>
    </row>
    <row r="181" customFormat="false" ht="15" hidden="false" customHeight="false" outlineLevel="0" collapsed="false">
      <c r="A181" s="5" t="n">
        <v>41693</v>
      </c>
      <c r="B181" s="5" t="s">
        <v>62</v>
      </c>
      <c r="C181" s="5" t="s">
        <v>384</v>
      </c>
      <c r="D181" s="4" t="s">
        <v>20</v>
      </c>
      <c r="E181" s="4" t="s">
        <v>708</v>
      </c>
      <c r="F181" s="4" t="s">
        <v>734</v>
      </c>
      <c r="G181" s="5" t="n">
        <v>53</v>
      </c>
      <c r="H181" s="5" t="s">
        <v>710</v>
      </c>
      <c r="I181" s="4" t="s">
        <v>985</v>
      </c>
      <c r="J181" s="4" t="s">
        <v>114</v>
      </c>
    </row>
    <row r="182" customFormat="false" ht="15" hidden="false" customHeight="false" outlineLevel="0" collapsed="false">
      <c r="A182" s="5" t="n">
        <v>41480</v>
      </c>
      <c r="B182" s="5" t="s">
        <v>62</v>
      </c>
      <c r="C182" s="5" t="s">
        <v>427</v>
      </c>
      <c r="D182" s="4" t="s">
        <v>20</v>
      </c>
      <c r="E182" s="4" t="s">
        <v>708</v>
      </c>
      <c r="F182" s="4" t="s">
        <v>734</v>
      </c>
      <c r="G182" s="5" t="n">
        <v>84</v>
      </c>
      <c r="H182" s="5" t="s">
        <v>710</v>
      </c>
      <c r="I182" s="4" t="s">
        <v>986</v>
      </c>
      <c r="J182" s="4" t="s">
        <v>114</v>
      </c>
    </row>
    <row r="183" customFormat="false" ht="15" hidden="false" customHeight="false" outlineLevel="0" collapsed="false">
      <c r="A183" s="5" t="n">
        <v>41017</v>
      </c>
      <c r="B183" s="5" t="s">
        <v>62</v>
      </c>
      <c r="C183" s="5" t="s">
        <v>176</v>
      </c>
      <c r="D183" s="4" t="s">
        <v>20</v>
      </c>
      <c r="E183" s="4" t="s">
        <v>708</v>
      </c>
      <c r="F183" s="4" t="s">
        <v>734</v>
      </c>
      <c r="G183" s="5" t="n">
        <v>74</v>
      </c>
      <c r="H183" s="5" t="s">
        <v>710</v>
      </c>
      <c r="I183" s="4" t="s">
        <v>987</v>
      </c>
      <c r="J183" s="4" t="s">
        <v>114</v>
      </c>
    </row>
    <row r="184" customFormat="false" ht="15" hidden="false" customHeight="false" outlineLevel="0" collapsed="false">
      <c r="A184" s="5" t="n">
        <v>41528</v>
      </c>
      <c r="B184" s="5" t="s">
        <v>62</v>
      </c>
      <c r="C184" s="5" t="s">
        <v>590</v>
      </c>
      <c r="D184" s="4" t="s">
        <v>26</v>
      </c>
      <c r="E184" s="4" t="s">
        <v>708</v>
      </c>
      <c r="F184" s="4" t="s">
        <v>742</v>
      </c>
      <c r="G184" s="5" t="n">
        <v>49</v>
      </c>
      <c r="H184" s="5" t="s">
        <v>710</v>
      </c>
      <c r="I184" s="4" t="s">
        <v>988</v>
      </c>
      <c r="J184" s="4" t="s">
        <v>114</v>
      </c>
    </row>
    <row r="185" customFormat="false" ht="15" hidden="false" customHeight="false" outlineLevel="0" collapsed="false">
      <c r="A185" s="5" t="n">
        <v>41126</v>
      </c>
      <c r="B185" s="5" t="s">
        <v>62</v>
      </c>
      <c r="C185" s="5" t="s">
        <v>989</v>
      </c>
      <c r="D185" s="4" t="s">
        <v>26</v>
      </c>
      <c r="E185" s="4" t="s">
        <v>708</v>
      </c>
      <c r="F185" s="4" t="s">
        <v>725</v>
      </c>
      <c r="G185" s="5" t="n">
        <v>86</v>
      </c>
      <c r="H185" s="5" t="s">
        <v>710</v>
      </c>
      <c r="I185" s="4" t="s">
        <v>990</v>
      </c>
      <c r="J185" s="4" t="s">
        <v>114</v>
      </c>
    </row>
    <row r="186" customFormat="false" ht="15" hidden="false" customHeight="false" outlineLevel="0" collapsed="false">
      <c r="A186" s="5" t="n">
        <v>41695</v>
      </c>
      <c r="B186" s="5" t="s">
        <v>62</v>
      </c>
      <c r="C186" s="5" t="s">
        <v>991</v>
      </c>
      <c r="D186" s="4" t="s">
        <v>26</v>
      </c>
      <c r="E186" s="4" t="s">
        <v>708</v>
      </c>
      <c r="F186" s="4" t="s">
        <v>734</v>
      </c>
      <c r="G186" s="5" t="n">
        <v>83</v>
      </c>
      <c r="H186" s="5" t="s">
        <v>710</v>
      </c>
      <c r="I186" s="4" t="s">
        <v>992</v>
      </c>
      <c r="J186" s="4" t="s">
        <v>114</v>
      </c>
    </row>
    <row r="187" customFormat="false" ht="15" hidden="false" customHeight="false" outlineLevel="0" collapsed="false">
      <c r="A187" s="5" t="n">
        <v>41583</v>
      </c>
      <c r="B187" s="5" t="s">
        <v>62</v>
      </c>
      <c r="C187" s="5" t="s">
        <v>993</v>
      </c>
      <c r="D187" s="4" t="s">
        <v>24</v>
      </c>
      <c r="E187" s="4" t="s">
        <v>708</v>
      </c>
      <c r="F187" s="4" t="s">
        <v>734</v>
      </c>
      <c r="G187" s="5" t="n">
        <v>84</v>
      </c>
      <c r="H187" s="5" t="s">
        <v>710</v>
      </c>
      <c r="I187" s="4" t="s">
        <v>994</v>
      </c>
      <c r="J187" s="4" t="s">
        <v>114</v>
      </c>
    </row>
    <row r="188" customFormat="false" ht="15" hidden="false" customHeight="false" outlineLevel="0" collapsed="false">
      <c r="A188" s="5" t="n">
        <v>41224</v>
      </c>
      <c r="B188" s="5" t="s">
        <v>62</v>
      </c>
      <c r="C188" s="5" t="s">
        <v>995</v>
      </c>
      <c r="D188" s="4" t="s">
        <v>24</v>
      </c>
      <c r="E188" s="4" t="s">
        <v>708</v>
      </c>
      <c r="F188" s="4" t="s">
        <v>734</v>
      </c>
      <c r="G188" s="5" t="n">
        <v>106</v>
      </c>
      <c r="H188" s="5" t="s">
        <v>710</v>
      </c>
      <c r="I188" s="4" t="s">
        <v>996</v>
      </c>
      <c r="J188" s="4" t="s">
        <v>114</v>
      </c>
    </row>
    <row r="189" customFormat="false" ht="15" hidden="false" customHeight="false" outlineLevel="0" collapsed="false">
      <c r="A189" s="5" t="n">
        <v>41700</v>
      </c>
      <c r="B189" s="5" t="s">
        <v>62</v>
      </c>
      <c r="C189" s="5" t="s">
        <v>892</v>
      </c>
      <c r="D189" s="4" t="s">
        <v>24</v>
      </c>
      <c r="E189" s="4" t="s">
        <v>708</v>
      </c>
      <c r="F189" s="4" t="s">
        <v>725</v>
      </c>
      <c r="G189" s="5" t="n">
        <v>62</v>
      </c>
      <c r="H189" s="5" t="s">
        <v>710</v>
      </c>
      <c r="I189" s="4" t="s">
        <v>997</v>
      </c>
      <c r="J189" s="4" t="s">
        <v>114</v>
      </c>
    </row>
    <row r="190" customFormat="false" ht="15" hidden="false" customHeight="false" outlineLevel="0" collapsed="false">
      <c r="A190" s="5" t="n">
        <v>41486</v>
      </c>
      <c r="B190" s="5" t="s">
        <v>62</v>
      </c>
      <c r="C190" s="5" t="s">
        <v>323</v>
      </c>
      <c r="D190" s="4" t="s">
        <v>18</v>
      </c>
      <c r="E190" s="4" t="s">
        <v>708</v>
      </c>
      <c r="F190" s="4" t="s">
        <v>734</v>
      </c>
      <c r="G190" s="5" t="n">
        <v>59</v>
      </c>
      <c r="H190" s="5" t="s">
        <v>710</v>
      </c>
      <c r="I190" s="4" t="s">
        <v>998</v>
      </c>
      <c r="J190" s="4" t="s">
        <v>114</v>
      </c>
    </row>
    <row r="191" customFormat="false" ht="15" hidden="false" customHeight="false" outlineLevel="0" collapsed="false">
      <c r="A191" s="5" t="n">
        <v>39563</v>
      </c>
      <c r="B191" s="5" t="s">
        <v>62</v>
      </c>
      <c r="C191" s="5" t="s">
        <v>948</v>
      </c>
      <c r="D191" s="4" t="s">
        <v>18</v>
      </c>
      <c r="E191" s="4" t="s">
        <v>708</v>
      </c>
      <c r="F191" s="4" t="s">
        <v>734</v>
      </c>
      <c r="G191" s="5" t="n">
        <v>85</v>
      </c>
      <c r="H191" s="5" t="s">
        <v>710</v>
      </c>
      <c r="I191" s="4" t="s">
        <v>999</v>
      </c>
      <c r="J191" s="4" t="s">
        <v>114</v>
      </c>
    </row>
    <row r="192" customFormat="false" ht="15" hidden="false" customHeight="false" outlineLevel="0" collapsed="false">
      <c r="A192" s="5" t="n">
        <v>41221</v>
      </c>
      <c r="B192" s="5" t="s">
        <v>62</v>
      </c>
      <c r="C192" s="5" t="s">
        <v>894</v>
      </c>
      <c r="D192" s="4" t="s">
        <v>18</v>
      </c>
      <c r="E192" s="4" t="s">
        <v>708</v>
      </c>
      <c r="F192" s="4" t="s">
        <v>734</v>
      </c>
      <c r="G192" s="5" t="n">
        <v>31</v>
      </c>
      <c r="H192" s="5" t="s">
        <v>737</v>
      </c>
      <c r="I192" s="4" t="s">
        <v>1000</v>
      </c>
      <c r="J192" s="4" t="s">
        <v>115</v>
      </c>
    </row>
    <row r="193" customFormat="false" ht="15" hidden="false" customHeight="false" outlineLevel="0" collapsed="false">
      <c r="A193" s="5" t="n">
        <v>41221</v>
      </c>
      <c r="B193" s="5" t="s">
        <v>62</v>
      </c>
      <c r="C193" s="5" t="s">
        <v>894</v>
      </c>
      <c r="D193" s="4" t="s">
        <v>18</v>
      </c>
      <c r="E193" s="4" t="s">
        <v>869</v>
      </c>
      <c r="F193" s="4"/>
      <c r="G193" s="5" t="n">
        <v>0</v>
      </c>
      <c r="H193" s="5" t="s">
        <v>726</v>
      </c>
      <c r="I193" s="4"/>
      <c r="J193" s="4" t="s">
        <v>116</v>
      </c>
    </row>
    <row r="194" customFormat="false" ht="15" hidden="false" customHeight="false" outlineLevel="0" collapsed="false">
      <c r="A194" s="5" t="n">
        <v>23212</v>
      </c>
      <c r="B194" s="5" t="s">
        <v>62</v>
      </c>
      <c r="C194" s="5" t="s">
        <v>819</v>
      </c>
      <c r="D194" s="4" t="s">
        <v>28</v>
      </c>
      <c r="E194" s="4" t="s">
        <v>708</v>
      </c>
      <c r="F194" s="4" t="s">
        <v>709</v>
      </c>
      <c r="G194" s="5" t="n">
        <v>97</v>
      </c>
      <c r="H194" s="5" t="s">
        <v>710</v>
      </c>
      <c r="I194" s="4" t="s">
        <v>1001</v>
      </c>
      <c r="J194" s="4" t="s">
        <v>114</v>
      </c>
    </row>
    <row r="195" customFormat="false" ht="15" hidden="false" customHeight="false" outlineLevel="0" collapsed="false">
      <c r="A195" s="5" t="n">
        <v>35321</v>
      </c>
      <c r="B195" s="5" t="s">
        <v>62</v>
      </c>
      <c r="C195" s="5" t="s">
        <v>207</v>
      </c>
      <c r="D195" s="4" t="s">
        <v>28</v>
      </c>
      <c r="E195" s="4" t="s">
        <v>708</v>
      </c>
      <c r="F195" s="4" t="s">
        <v>709</v>
      </c>
      <c r="G195" s="5" t="n">
        <v>71</v>
      </c>
      <c r="H195" s="5" t="s">
        <v>710</v>
      </c>
      <c r="I195" s="4" t="s">
        <v>1002</v>
      </c>
      <c r="J195" s="4" t="s">
        <v>114</v>
      </c>
    </row>
    <row r="196" customFormat="false" ht="15" hidden="false" customHeight="false" outlineLevel="0" collapsed="false">
      <c r="A196" s="5" t="n">
        <v>41701</v>
      </c>
      <c r="B196" s="5" t="s">
        <v>62</v>
      </c>
      <c r="C196" s="5" t="s">
        <v>1003</v>
      </c>
      <c r="D196" s="4" t="s">
        <v>28</v>
      </c>
      <c r="E196" s="4" t="s">
        <v>708</v>
      </c>
      <c r="F196" s="4" t="s">
        <v>709</v>
      </c>
      <c r="G196" s="5" t="n">
        <v>64</v>
      </c>
      <c r="H196" s="5" t="s">
        <v>710</v>
      </c>
      <c r="I196" s="4" t="s">
        <v>1004</v>
      </c>
      <c r="J196" s="4" t="s">
        <v>114</v>
      </c>
    </row>
    <row r="197" customFormat="false" ht="15" hidden="false" customHeight="false" outlineLevel="0" collapsed="false">
      <c r="A197" s="5" t="n">
        <v>37923</v>
      </c>
      <c r="B197" s="5" t="s">
        <v>62</v>
      </c>
      <c r="C197" s="5" t="s">
        <v>393</v>
      </c>
      <c r="D197" s="4" t="s">
        <v>28</v>
      </c>
      <c r="E197" s="4" t="s">
        <v>708</v>
      </c>
      <c r="F197" s="4" t="s">
        <v>709</v>
      </c>
      <c r="G197" s="5" t="n">
        <v>65</v>
      </c>
      <c r="H197" s="5" t="s">
        <v>710</v>
      </c>
      <c r="I197" s="4" t="s">
        <v>1005</v>
      </c>
      <c r="J197" s="4" t="s">
        <v>114</v>
      </c>
    </row>
    <row r="198" customFormat="false" ht="15" hidden="false" customHeight="false" outlineLevel="0" collapsed="false">
      <c r="A198" s="5" t="n">
        <v>41702</v>
      </c>
      <c r="B198" s="5" t="s">
        <v>62</v>
      </c>
      <c r="C198" s="5" t="s">
        <v>395</v>
      </c>
      <c r="D198" s="4" t="s">
        <v>28</v>
      </c>
      <c r="E198" s="4" t="s">
        <v>708</v>
      </c>
      <c r="F198" s="4" t="s">
        <v>734</v>
      </c>
      <c r="G198" s="5" t="n">
        <v>74</v>
      </c>
      <c r="H198" s="5" t="s">
        <v>710</v>
      </c>
      <c r="I198" s="4" t="s">
        <v>1006</v>
      </c>
      <c r="J198" s="4" t="s">
        <v>114</v>
      </c>
    </row>
    <row r="199" customFormat="false" ht="15" hidden="false" customHeight="false" outlineLevel="0" collapsed="false">
      <c r="A199" s="5" t="n">
        <v>41703</v>
      </c>
      <c r="B199" s="5" t="s">
        <v>62</v>
      </c>
      <c r="C199" s="5" t="s">
        <v>827</v>
      </c>
      <c r="D199" s="4" t="s">
        <v>28</v>
      </c>
      <c r="E199" s="4" t="s">
        <v>708</v>
      </c>
      <c r="F199" s="4" t="s">
        <v>734</v>
      </c>
      <c r="G199" s="5" t="n">
        <v>49</v>
      </c>
      <c r="H199" s="5" t="s">
        <v>710</v>
      </c>
      <c r="I199" s="4" t="s">
        <v>1007</v>
      </c>
      <c r="J199" s="4" t="s">
        <v>114</v>
      </c>
    </row>
    <row r="200" customFormat="false" ht="15" hidden="false" customHeight="false" outlineLevel="0" collapsed="false">
      <c r="A200" s="5" t="n">
        <v>35287</v>
      </c>
      <c r="B200" s="5" t="s">
        <v>62</v>
      </c>
      <c r="C200" s="5" t="s">
        <v>1008</v>
      </c>
      <c r="D200" s="4" t="s">
        <v>28</v>
      </c>
      <c r="E200" s="4" t="s">
        <v>708</v>
      </c>
      <c r="F200" s="4" t="s">
        <v>734</v>
      </c>
      <c r="G200" s="5" t="n">
        <v>75</v>
      </c>
      <c r="H200" s="5" t="s">
        <v>710</v>
      </c>
      <c r="I200" s="4" t="s">
        <v>1009</v>
      </c>
      <c r="J200" s="4" t="s">
        <v>114</v>
      </c>
    </row>
    <row r="201" customFormat="false" ht="15" hidden="false" customHeight="false" outlineLevel="0" collapsed="false">
      <c r="A201" s="5" t="n">
        <v>41397</v>
      </c>
      <c r="B201" s="5" t="s">
        <v>62</v>
      </c>
      <c r="C201" s="5" t="s">
        <v>1010</v>
      </c>
      <c r="D201" s="4" t="s">
        <v>28</v>
      </c>
      <c r="E201" s="4" t="s">
        <v>708</v>
      </c>
      <c r="F201" s="4" t="s">
        <v>734</v>
      </c>
      <c r="G201" s="5" t="n">
        <v>52</v>
      </c>
      <c r="H201" s="5" t="s">
        <v>710</v>
      </c>
      <c r="I201" s="4" t="s">
        <v>1011</v>
      </c>
      <c r="J201" s="4" t="s">
        <v>114</v>
      </c>
    </row>
    <row r="202" customFormat="false" ht="15" hidden="false" customHeight="false" outlineLevel="0" collapsed="false">
      <c r="A202" s="5" t="n">
        <v>41583</v>
      </c>
      <c r="B202" s="5" t="s">
        <v>64</v>
      </c>
      <c r="C202" s="5" t="s">
        <v>1012</v>
      </c>
      <c r="D202" s="4" t="s">
        <v>24</v>
      </c>
      <c r="E202" s="4" t="s">
        <v>708</v>
      </c>
      <c r="F202" s="4" t="s">
        <v>742</v>
      </c>
      <c r="G202" s="5" t="n">
        <v>80</v>
      </c>
      <c r="H202" s="5" t="s">
        <v>710</v>
      </c>
      <c r="I202" s="4" t="s">
        <v>1013</v>
      </c>
      <c r="J202" s="4" t="s">
        <v>114</v>
      </c>
    </row>
    <row r="203" customFormat="false" ht="15" hidden="false" customHeight="false" outlineLevel="0" collapsed="false">
      <c r="A203" s="5" t="n">
        <v>41322</v>
      </c>
      <c r="B203" s="5" t="s">
        <v>64</v>
      </c>
      <c r="C203" s="5" t="s">
        <v>1014</v>
      </c>
      <c r="D203" s="4" t="s">
        <v>24</v>
      </c>
      <c r="E203" s="4" t="s">
        <v>708</v>
      </c>
      <c r="F203" s="4" t="s">
        <v>734</v>
      </c>
      <c r="G203" s="5" t="n">
        <v>47</v>
      </c>
      <c r="H203" s="5" t="s">
        <v>710</v>
      </c>
      <c r="I203" s="4" t="s">
        <v>1015</v>
      </c>
      <c r="J203" s="4" t="s">
        <v>114</v>
      </c>
    </row>
    <row r="204" customFormat="false" ht="15" hidden="false" customHeight="false" outlineLevel="0" collapsed="false">
      <c r="A204" s="5" t="n">
        <v>40704</v>
      </c>
      <c r="B204" s="5" t="s">
        <v>64</v>
      </c>
      <c r="C204" s="5" t="s">
        <v>1016</v>
      </c>
      <c r="D204" s="4" t="s">
        <v>24</v>
      </c>
      <c r="E204" s="4" t="s">
        <v>708</v>
      </c>
      <c r="F204" s="4" t="s">
        <v>734</v>
      </c>
      <c r="G204" s="5" t="n">
        <v>89</v>
      </c>
      <c r="H204" s="5" t="s">
        <v>710</v>
      </c>
      <c r="I204" s="4" t="s">
        <v>1017</v>
      </c>
      <c r="J204" s="4" t="s">
        <v>114</v>
      </c>
    </row>
    <row r="205" customFormat="false" ht="15" hidden="false" customHeight="false" outlineLevel="0" collapsed="false">
      <c r="A205" s="5" t="n">
        <v>41720</v>
      </c>
      <c r="B205" s="5" t="s">
        <v>64</v>
      </c>
      <c r="C205" s="5" t="s">
        <v>293</v>
      </c>
      <c r="D205" s="4" t="s">
        <v>22</v>
      </c>
      <c r="E205" s="4" t="s">
        <v>708</v>
      </c>
      <c r="F205" s="4" t="s">
        <v>725</v>
      </c>
      <c r="G205" s="5" t="n">
        <v>58</v>
      </c>
      <c r="H205" s="5" t="s">
        <v>710</v>
      </c>
      <c r="I205" s="4" t="s">
        <v>1018</v>
      </c>
      <c r="J205" s="4" t="s">
        <v>114</v>
      </c>
    </row>
    <row r="206" customFormat="false" ht="15" hidden="false" customHeight="false" outlineLevel="0" collapsed="false">
      <c r="A206" s="5" t="n">
        <v>41721</v>
      </c>
      <c r="B206" s="5" t="s">
        <v>64</v>
      </c>
      <c r="C206" s="5" t="s">
        <v>301</v>
      </c>
      <c r="D206" s="4" t="s">
        <v>22</v>
      </c>
      <c r="E206" s="4" t="s">
        <v>708</v>
      </c>
      <c r="F206" s="4" t="s">
        <v>725</v>
      </c>
      <c r="G206" s="5" t="n">
        <v>55</v>
      </c>
      <c r="H206" s="5" t="s">
        <v>710</v>
      </c>
      <c r="I206" s="4" t="s">
        <v>1019</v>
      </c>
      <c r="J206" s="4" t="s">
        <v>114</v>
      </c>
    </row>
    <row r="207" customFormat="false" ht="15" hidden="false" customHeight="false" outlineLevel="0" collapsed="false">
      <c r="A207" s="5" t="n">
        <v>41723</v>
      </c>
      <c r="B207" s="5" t="s">
        <v>64</v>
      </c>
      <c r="C207" s="5" t="s">
        <v>915</v>
      </c>
      <c r="D207" s="4" t="s">
        <v>22</v>
      </c>
      <c r="E207" s="4" t="s">
        <v>708</v>
      </c>
      <c r="F207" s="4" t="s">
        <v>725</v>
      </c>
      <c r="G207" s="5" t="n">
        <v>25</v>
      </c>
      <c r="H207" s="5" t="s">
        <v>737</v>
      </c>
      <c r="I207" s="4" t="s">
        <v>1020</v>
      </c>
      <c r="J207" s="4" t="s">
        <v>115</v>
      </c>
    </row>
    <row r="208" customFormat="false" ht="15" hidden="false" customHeight="false" outlineLevel="0" collapsed="false">
      <c r="A208" s="5" t="n">
        <v>41724</v>
      </c>
      <c r="B208" s="5" t="s">
        <v>64</v>
      </c>
      <c r="C208" s="5" t="s">
        <v>307</v>
      </c>
      <c r="D208" s="4" t="s">
        <v>22</v>
      </c>
      <c r="E208" s="4" t="s">
        <v>708</v>
      </c>
      <c r="F208" s="4" t="s">
        <v>725</v>
      </c>
      <c r="G208" s="5" t="n">
        <v>33</v>
      </c>
      <c r="H208" s="5" t="s">
        <v>737</v>
      </c>
      <c r="I208" s="4" t="s">
        <v>1021</v>
      </c>
      <c r="J208" s="4" t="s">
        <v>115</v>
      </c>
    </row>
    <row r="209" customFormat="false" ht="15" hidden="false" customHeight="false" outlineLevel="0" collapsed="false">
      <c r="A209" s="5" t="n">
        <v>41725</v>
      </c>
      <c r="B209" s="5" t="s">
        <v>64</v>
      </c>
      <c r="C209" s="5" t="s">
        <v>382</v>
      </c>
      <c r="D209" s="4" t="s">
        <v>30</v>
      </c>
      <c r="E209" s="4" t="s">
        <v>708</v>
      </c>
      <c r="F209" s="4" t="s">
        <v>709</v>
      </c>
      <c r="G209" s="5" t="n">
        <v>67</v>
      </c>
      <c r="H209" s="5" t="s">
        <v>710</v>
      </c>
      <c r="I209" s="4" t="s">
        <v>1022</v>
      </c>
      <c r="J209" s="4" t="s">
        <v>114</v>
      </c>
    </row>
    <row r="210" customFormat="false" ht="15" hidden="false" customHeight="false" outlineLevel="0" collapsed="false">
      <c r="A210" s="5" t="n">
        <v>41726</v>
      </c>
      <c r="B210" s="5" t="s">
        <v>64</v>
      </c>
      <c r="C210" s="5" t="s">
        <v>425</v>
      </c>
      <c r="D210" s="4" t="s">
        <v>30</v>
      </c>
      <c r="E210" s="4" t="s">
        <v>708</v>
      </c>
      <c r="F210" s="4" t="s">
        <v>709</v>
      </c>
      <c r="G210" s="5" t="n">
        <v>84</v>
      </c>
      <c r="H210" s="5" t="s">
        <v>710</v>
      </c>
      <c r="I210" s="4" t="s">
        <v>1023</v>
      </c>
      <c r="J210" s="4" t="s">
        <v>114</v>
      </c>
    </row>
    <row r="211" customFormat="false" ht="15" hidden="false" customHeight="false" outlineLevel="0" collapsed="false">
      <c r="A211" s="5" t="n">
        <v>41727</v>
      </c>
      <c r="B211" s="5" t="s">
        <v>64</v>
      </c>
      <c r="C211" s="5" t="s">
        <v>384</v>
      </c>
      <c r="D211" s="4" t="s">
        <v>30</v>
      </c>
      <c r="E211" s="4" t="s">
        <v>708</v>
      </c>
      <c r="F211" s="4" t="s">
        <v>709</v>
      </c>
      <c r="G211" s="5" t="n">
        <v>89</v>
      </c>
      <c r="H211" s="5" t="s">
        <v>710</v>
      </c>
      <c r="I211" s="4" t="s">
        <v>1024</v>
      </c>
      <c r="J211" s="4" t="s">
        <v>114</v>
      </c>
    </row>
    <row r="212" customFormat="false" ht="15" hidden="false" customHeight="false" outlineLevel="0" collapsed="false">
      <c r="A212" s="5" t="n">
        <v>41728</v>
      </c>
      <c r="B212" s="5" t="s">
        <v>64</v>
      </c>
      <c r="C212" s="5" t="s">
        <v>1025</v>
      </c>
      <c r="D212" s="4" t="s">
        <v>30</v>
      </c>
      <c r="E212" s="4" t="s">
        <v>708</v>
      </c>
      <c r="F212" s="4" t="s">
        <v>709</v>
      </c>
      <c r="G212" s="5" t="n">
        <v>59</v>
      </c>
      <c r="H212" s="5" t="s">
        <v>710</v>
      </c>
      <c r="I212" s="4" t="s">
        <v>1026</v>
      </c>
      <c r="J212" s="4" t="s">
        <v>114</v>
      </c>
    </row>
    <row r="213" customFormat="false" ht="15" hidden="false" customHeight="false" outlineLevel="0" collapsed="false">
      <c r="A213" s="5" t="n">
        <v>41729</v>
      </c>
      <c r="B213" s="5" t="s">
        <v>64</v>
      </c>
      <c r="C213" s="5" t="s">
        <v>429</v>
      </c>
      <c r="D213" s="4" t="s">
        <v>30</v>
      </c>
      <c r="E213" s="4" t="s">
        <v>708</v>
      </c>
      <c r="F213" s="4" t="s">
        <v>734</v>
      </c>
      <c r="G213" s="5" t="n">
        <v>29</v>
      </c>
      <c r="H213" s="5" t="s">
        <v>737</v>
      </c>
      <c r="I213" s="4" t="s">
        <v>1027</v>
      </c>
      <c r="J213" s="4" t="s">
        <v>115</v>
      </c>
    </row>
    <row r="214" customFormat="false" ht="15" hidden="false" customHeight="false" outlineLevel="0" collapsed="false">
      <c r="A214" s="5" t="n">
        <v>41730</v>
      </c>
      <c r="B214" s="5" t="s">
        <v>64</v>
      </c>
      <c r="C214" s="5" t="s">
        <v>174</v>
      </c>
      <c r="D214" s="4" t="s">
        <v>30</v>
      </c>
      <c r="E214" s="4" t="s">
        <v>708</v>
      </c>
      <c r="F214" s="4" t="s">
        <v>734</v>
      </c>
      <c r="G214" s="5" t="n">
        <v>83</v>
      </c>
      <c r="H214" s="5" t="s">
        <v>710</v>
      </c>
      <c r="I214" s="4" t="s">
        <v>1028</v>
      </c>
      <c r="J214" s="4" t="s">
        <v>114</v>
      </c>
    </row>
    <row r="215" customFormat="false" ht="15" hidden="false" customHeight="false" outlineLevel="0" collapsed="false">
      <c r="A215" s="5" t="n">
        <v>41731</v>
      </c>
      <c r="B215" s="5" t="s">
        <v>64</v>
      </c>
      <c r="C215" s="5" t="s">
        <v>176</v>
      </c>
      <c r="D215" s="4" t="s">
        <v>30</v>
      </c>
      <c r="E215" s="4" t="s">
        <v>708</v>
      </c>
      <c r="F215" s="4" t="s">
        <v>734</v>
      </c>
      <c r="G215" s="5" t="n">
        <v>116</v>
      </c>
      <c r="H215" s="5" t="s">
        <v>710</v>
      </c>
      <c r="I215" s="4" t="s">
        <v>1029</v>
      </c>
      <c r="J215" s="4" t="s">
        <v>114</v>
      </c>
    </row>
    <row r="216" customFormat="false" ht="15" hidden="false" customHeight="false" outlineLevel="0" collapsed="false">
      <c r="A216" s="5" t="n">
        <v>41684</v>
      </c>
      <c r="B216" s="5" t="s">
        <v>64</v>
      </c>
      <c r="C216" s="5" t="s">
        <v>882</v>
      </c>
      <c r="D216" s="4" t="s">
        <v>26</v>
      </c>
      <c r="E216" s="4" t="s">
        <v>708</v>
      </c>
      <c r="F216" s="4" t="s">
        <v>734</v>
      </c>
      <c r="G216" s="5" t="n">
        <v>203</v>
      </c>
      <c r="H216" s="5" t="s">
        <v>710</v>
      </c>
      <c r="I216" s="4" t="s">
        <v>1030</v>
      </c>
      <c r="J216" s="4" t="s">
        <v>114</v>
      </c>
    </row>
    <row r="217" customFormat="false" ht="23.85" hidden="false" customHeight="false" outlineLevel="0" collapsed="false">
      <c r="A217" s="5" t="n">
        <v>41695</v>
      </c>
      <c r="B217" s="5" t="s">
        <v>64</v>
      </c>
      <c r="C217" s="5" t="s">
        <v>1031</v>
      </c>
      <c r="D217" s="4" t="s">
        <v>26</v>
      </c>
      <c r="E217" s="4" t="s">
        <v>708</v>
      </c>
      <c r="F217" s="4" t="s">
        <v>742</v>
      </c>
      <c r="G217" s="5" t="n">
        <v>9</v>
      </c>
      <c r="H217" s="5" t="s">
        <v>726</v>
      </c>
      <c r="I217" s="4" t="s">
        <v>745</v>
      </c>
      <c r="J217" s="4" t="s">
        <v>117</v>
      </c>
    </row>
    <row r="218" customFormat="false" ht="23.85" hidden="false" customHeight="false" outlineLevel="0" collapsed="false">
      <c r="A218" s="5" t="n">
        <v>41126</v>
      </c>
      <c r="B218" s="5" t="s">
        <v>64</v>
      </c>
      <c r="C218" s="5" t="s">
        <v>1032</v>
      </c>
      <c r="D218" s="4" t="s">
        <v>26</v>
      </c>
      <c r="E218" s="4" t="s">
        <v>708</v>
      </c>
      <c r="F218" s="4" t="s">
        <v>1033</v>
      </c>
      <c r="G218" s="5" t="n">
        <v>13</v>
      </c>
      <c r="H218" s="5" t="s">
        <v>726</v>
      </c>
      <c r="I218" s="4" t="s">
        <v>1034</v>
      </c>
      <c r="J218" s="4" t="s">
        <v>117</v>
      </c>
    </row>
    <row r="219" customFormat="false" ht="23.85" hidden="false" customHeight="false" outlineLevel="0" collapsed="false">
      <c r="A219" s="5" t="n">
        <v>41126</v>
      </c>
      <c r="B219" s="5" t="s">
        <v>64</v>
      </c>
      <c r="C219" s="5" t="s">
        <v>884</v>
      </c>
      <c r="D219" s="4" t="s">
        <v>26</v>
      </c>
      <c r="E219" s="4" t="s">
        <v>708</v>
      </c>
      <c r="F219" s="4" t="s">
        <v>725</v>
      </c>
      <c r="G219" s="5" t="n">
        <v>10</v>
      </c>
      <c r="H219" s="5" t="s">
        <v>726</v>
      </c>
      <c r="I219" s="4" t="s">
        <v>727</v>
      </c>
      <c r="J219" s="4" t="s">
        <v>117</v>
      </c>
    </row>
    <row r="220" customFormat="false" ht="23.85" hidden="false" customHeight="false" outlineLevel="0" collapsed="false">
      <c r="A220" s="5" t="n">
        <v>41126</v>
      </c>
      <c r="B220" s="5" t="s">
        <v>64</v>
      </c>
      <c r="C220" s="5" t="s">
        <v>1035</v>
      </c>
      <c r="D220" s="4" t="s">
        <v>26</v>
      </c>
      <c r="E220" s="4" t="s">
        <v>708</v>
      </c>
      <c r="F220" s="4" t="s">
        <v>742</v>
      </c>
      <c r="G220" s="5" t="n">
        <v>9</v>
      </c>
      <c r="H220" s="5" t="s">
        <v>726</v>
      </c>
      <c r="I220" s="4" t="s">
        <v>745</v>
      </c>
      <c r="J220" s="4" t="s">
        <v>117</v>
      </c>
    </row>
    <row r="221" customFormat="false" ht="15" hidden="false" customHeight="false" outlineLevel="0" collapsed="false">
      <c r="A221" s="5" t="n">
        <v>40640</v>
      </c>
      <c r="B221" s="5" t="s">
        <v>64</v>
      </c>
      <c r="C221" s="5" t="s">
        <v>1036</v>
      </c>
      <c r="D221" s="4" t="s">
        <v>20</v>
      </c>
      <c r="E221" s="4" t="s">
        <v>708</v>
      </c>
      <c r="F221" s="4" t="s">
        <v>734</v>
      </c>
      <c r="G221" s="5" t="n">
        <v>56</v>
      </c>
      <c r="H221" s="5" t="s">
        <v>710</v>
      </c>
      <c r="I221" s="4" t="s">
        <v>1037</v>
      </c>
      <c r="J221" s="4" t="s">
        <v>114</v>
      </c>
    </row>
    <row r="222" customFormat="false" ht="15" hidden="false" customHeight="false" outlineLevel="0" collapsed="false">
      <c r="A222" s="5" t="n">
        <v>39168</v>
      </c>
      <c r="B222" s="5" t="s">
        <v>64</v>
      </c>
      <c r="C222" s="5" t="s">
        <v>1038</v>
      </c>
      <c r="D222" s="4" t="s">
        <v>20</v>
      </c>
      <c r="E222" s="4" t="s">
        <v>708</v>
      </c>
      <c r="F222" s="4" t="s">
        <v>734</v>
      </c>
      <c r="G222" s="5" t="n">
        <v>58</v>
      </c>
      <c r="H222" s="5" t="s">
        <v>710</v>
      </c>
      <c r="I222" s="4" t="s">
        <v>1039</v>
      </c>
      <c r="J222" s="4" t="s">
        <v>114</v>
      </c>
    </row>
    <row r="223" customFormat="false" ht="15" hidden="false" customHeight="false" outlineLevel="0" collapsed="false">
      <c r="A223" s="5" t="n">
        <v>41737</v>
      </c>
      <c r="B223" s="5" t="s">
        <v>64</v>
      </c>
      <c r="C223" s="5" t="s">
        <v>653</v>
      </c>
      <c r="D223" s="4" t="s">
        <v>20</v>
      </c>
      <c r="E223" s="4" t="s">
        <v>708</v>
      </c>
      <c r="F223" s="4" t="s">
        <v>734</v>
      </c>
      <c r="G223" s="5" t="n">
        <v>57</v>
      </c>
      <c r="H223" s="5" t="s">
        <v>710</v>
      </c>
      <c r="I223" s="4" t="s">
        <v>1040</v>
      </c>
      <c r="J223" s="4" t="s">
        <v>114</v>
      </c>
    </row>
    <row r="224" customFormat="false" ht="15" hidden="false" customHeight="false" outlineLevel="0" collapsed="false">
      <c r="A224" s="5" t="n">
        <v>40514</v>
      </c>
      <c r="B224" s="5" t="s">
        <v>64</v>
      </c>
      <c r="C224" s="5" t="s">
        <v>653</v>
      </c>
      <c r="D224" s="4" t="s">
        <v>20</v>
      </c>
      <c r="E224" s="4" t="s">
        <v>708</v>
      </c>
      <c r="F224" s="4" t="s">
        <v>734</v>
      </c>
      <c r="G224" s="5" t="n">
        <v>47</v>
      </c>
      <c r="H224" s="5" t="s">
        <v>710</v>
      </c>
      <c r="I224" s="4" t="s">
        <v>1041</v>
      </c>
      <c r="J224" s="4" t="s">
        <v>114</v>
      </c>
    </row>
    <row r="225" customFormat="false" ht="15" hidden="false" customHeight="false" outlineLevel="0" collapsed="false">
      <c r="A225" s="5" t="n">
        <v>38151</v>
      </c>
      <c r="B225" s="5" t="s">
        <v>64</v>
      </c>
      <c r="C225" s="5" t="s">
        <v>1042</v>
      </c>
      <c r="D225" s="4" t="s">
        <v>20</v>
      </c>
      <c r="E225" s="4" t="s">
        <v>708</v>
      </c>
      <c r="F225" s="4" t="s">
        <v>734</v>
      </c>
      <c r="G225" s="5" t="n">
        <v>59</v>
      </c>
      <c r="H225" s="5" t="s">
        <v>710</v>
      </c>
      <c r="I225" s="4" t="s">
        <v>1043</v>
      </c>
      <c r="J225" s="4" t="s">
        <v>114</v>
      </c>
    </row>
    <row r="226" customFormat="false" ht="15" hidden="false" customHeight="false" outlineLevel="0" collapsed="false">
      <c r="A226" s="5" t="n">
        <v>40477</v>
      </c>
      <c r="B226" s="5" t="s">
        <v>64</v>
      </c>
      <c r="C226" s="5" t="s">
        <v>1044</v>
      </c>
      <c r="D226" s="4" t="s">
        <v>20</v>
      </c>
      <c r="E226" s="4" t="s">
        <v>708</v>
      </c>
      <c r="F226" s="4" t="s">
        <v>734</v>
      </c>
      <c r="G226" s="5" t="n">
        <v>48</v>
      </c>
      <c r="H226" s="5" t="s">
        <v>710</v>
      </c>
      <c r="I226" s="4" t="s">
        <v>1045</v>
      </c>
      <c r="J226" s="4" t="s">
        <v>114</v>
      </c>
    </row>
    <row r="227" customFormat="false" ht="15" hidden="false" customHeight="false" outlineLevel="0" collapsed="false">
      <c r="A227" s="5" t="n">
        <v>41486</v>
      </c>
      <c r="B227" s="5" t="s">
        <v>64</v>
      </c>
      <c r="C227" s="5" t="s">
        <v>936</v>
      </c>
      <c r="D227" s="4" t="s">
        <v>18</v>
      </c>
      <c r="E227" s="4" t="s">
        <v>708</v>
      </c>
      <c r="F227" s="4" t="s">
        <v>734</v>
      </c>
      <c r="G227" s="5" t="n">
        <v>46</v>
      </c>
      <c r="H227" s="5" t="s">
        <v>710</v>
      </c>
      <c r="I227" s="4" t="s">
        <v>1046</v>
      </c>
      <c r="J227" s="4" t="s">
        <v>114</v>
      </c>
    </row>
    <row r="228" customFormat="false" ht="15" hidden="false" customHeight="false" outlineLevel="0" collapsed="false">
      <c r="A228" s="5" t="n">
        <v>41387</v>
      </c>
      <c r="B228" s="5" t="s">
        <v>64</v>
      </c>
      <c r="C228" s="5" t="s">
        <v>940</v>
      </c>
      <c r="D228" s="4" t="s">
        <v>18</v>
      </c>
      <c r="E228" s="4" t="s">
        <v>708</v>
      </c>
      <c r="F228" s="4" t="s">
        <v>734</v>
      </c>
      <c r="G228" s="5" t="n">
        <v>99</v>
      </c>
      <c r="H228" s="5" t="s">
        <v>710</v>
      </c>
      <c r="I228" s="4" t="s">
        <v>1047</v>
      </c>
      <c r="J228" s="4" t="s">
        <v>114</v>
      </c>
    </row>
    <row r="229" customFormat="false" ht="15" hidden="false" customHeight="false" outlineLevel="0" collapsed="false">
      <c r="A229" s="5" t="n">
        <v>40310</v>
      </c>
      <c r="B229" s="5" t="s">
        <v>64</v>
      </c>
      <c r="C229" s="5" t="s">
        <v>942</v>
      </c>
      <c r="D229" s="4" t="s">
        <v>18</v>
      </c>
      <c r="E229" s="4" t="s">
        <v>708</v>
      </c>
      <c r="F229" s="4" t="s">
        <v>734</v>
      </c>
      <c r="G229" s="5" t="n">
        <v>121</v>
      </c>
      <c r="H229" s="5" t="s">
        <v>710</v>
      </c>
      <c r="I229" s="4" t="s">
        <v>1048</v>
      </c>
      <c r="J229" s="4" t="s">
        <v>114</v>
      </c>
    </row>
    <row r="230" customFormat="false" ht="15" hidden="false" customHeight="false" outlineLevel="0" collapsed="false">
      <c r="A230" s="5" t="n">
        <v>41220</v>
      </c>
      <c r="B230" s="5" t="s">
        <v>64</v>
      </c>
      <c r="C230" s="5" t="s">
        <v>435</v>
      </c>
      <c r="D230" s="4" t="s">
        <v>18</v>
      </c>
      <c r="E230" s="4" t="s">
        <v>708</v>
      </c>
      <c r="F230" s="4" t="s">
        <v>734</v>
      </c>
      <c r="G230" s="5" t="n">
        <v>66</v>
      </c>
      <c r="H230" s="5" t="s">
        <v>710</v>
      </c>
      <c r="I230" s="4" t="s">
        <v>1049</v>
      </c>
      <c r="J230" s="4" t="s">
        <v>114</v>
      </c>
    </row>
    <row r="231" customFormat="false" ht="15" hidden="false" customHeight="false" outlineLevel="0" collapsed="false">
      <c r="A231" s="5" t="n">
        <v>41738</v>
      </c>
      <c r="B231" s="5" t="s">
        <v>64</v>
      </c>
      <c r="C231" s="5" t="s">
        <v>1050</v>
      </c>
      <c r="D231" s="4" t="s">
        <v>18</v>
      </c>
      <c r="E231" s="4" t="s">
        <v>708</v>
      </c>
      <c r="F231" s="4" t="s">
        <v>734</v>
      </c>
      <c r="G231" s="5" t="n">
        <v>95</v>
      </c>
      <c r="H231" s="5" t="s">
        <v>710</v>
      </c>
      <c r="I231" s="4" t="s">
        <v>1051</v>
      </c>
      <c r="J231" s="4" t="s">
        <v>114</v>
      </c>
    </row>
    <row r="232" customFormat="false" ht="15" hidden="false" customHeight="false" outlineLevel="0" collapsed="false">
      <c r="A232" s="5" t="n">
        <v>39563</v>
      </c>
      <c r="B232" s="5" t="s">
        <v>64</v>
      </c>
      <c r="C232" s="5" t="s">
        <v>1052</v>
      </c>
      <c r="D232" s="4" t="s">
        <v>18</v>
      </c>
      <c r="E232" s="4" t="s">
        <v>708</v>
      </c>
      <c r="F232" s="4" t="s">
        <v>734</v>
      </c>
      <c r="G232" s="5" t="n">
        <v>82</v>
      </c>
      <c r="H232" s="5" t="s">
        <v>710</v>
      </c>
      <c r="I232" s="4" t="s">
        <v>1053</v>
      </c>
      <c r="J232" s="4" t="s">
        <v>114</v>
      </c>
    </row>
    <row r="233" customFormat="false" ht="15" hidden="false" customHeight="false" outlineLevel="0" collapsed="false">
      <c r="A233" s="5" t="n">
        <v>41739</v>
      </c>
      <c r="B233" s="5" t="s">
        <v>64</v>
      </c>
      <c r="C233" s="5" t="s">
        <v>437</v>
      </c>
      <c r="D233" s="4" t="s">
        <v>18</v>
      </c>
      <c r="E233" s="4" t="s">
        <v>708</v>
      </c>
      <c r="F233" s="4" t="s">
        <v>734</v>
      </c>
      <c r="G233" s="5" t="n">
        <v>33</v>
      </c>
      <c r="H233" s="5" t="s">
        <v>737</v>
      </c>
      <c r="I233" s="4" t="s">
        <v>1054</v>
      </c>
      <c r="J233" s="4" t="s">
        <v>115</v>
      </c>
    </row>
    <row r="234" customFormat="false" ht="15" hidden="false" customHeight="false" outlineLevel="0" collapsed="false">
      <c r="A234" s="5" t="n">
        <v>41221</v>
      </c>
      <c r="B234" s="5" t="s">
        <v>64</v>
      </c>
      <c r="C234" s="5" t="s">
        <v>1055</v>
      </c>
      <c r="D234" s="4" t="s">
        <v>18</v>
      </c>
      <c r="E234" s="4" t="s">
        <v>708</v>
      </c>
      <c r="F234" s="4" t="s">
        <v>734</v>
      </c>
      <c r="G234" s="5" t="n">
        <v>47</v>
      </c>
      <c r="H234" s="5" t="s">
        <v>710</v>
      </c>
      <c r="I234" s="4" t="s">
        <v>1056</v>
      </c>
      <c r="J234" s="4" t="s">
        <v>114</v>
      </c>
    </row>
    <row r="235" customFormat="false" ht="15" hidden="false" customHeight="false" outlineLevel="0" collapsed="false">
      <c r="A235" s="5" t="n">
        <v>37135</v>
      </c>
      <c r="B235" s="5" t="s">
        <v>64</v>
      </c>
      <c r="C235" s="5" t="s">
        <v>1057</v>
      </c>
      <c r="D235" s="4" t="s">
        <v>28</v>
      </c>
      <c r="E235" s="4" t="s">
        <v>708</v>
      </c>
      <c r="F235" s="4" t="s">
        <v>734</v>
      </c>
      <c r="G235" s="5" t="n">
        <v>71</v>
      </c>
      <c r="H235" s="5" t="s">
        <v>710</v>
      </c>
      <c r="I235" s="4" t="s">
        <v>1058</v>
      </c>
      <c r="J235" s="4" t="s">
        <v>114</v>
      </c>
    </row>
    <row r="236" customFormat="false" ht="15" hidden="false" customHeight="false" outlineLevel="0" collapsed="false">
      <c r="A236" s="5" t="n">
        <v>41551</v>
      </c>
      <c r="B236" s="5" t="s">
        <v>64</v>
      </c>
      <c r="C236" s="5" t="s">
        <v>1059</v>
      </c>
      <c r="D236" s="4" t="s">
        <v>28</v>
      </c>
      <c r="E236" s="4" t="s">
        <v>708</v>
      </c>
      <c r="F236" s="4" t="s">
        <v>709</v>
      </c>
      <c r="G236" s="5" t="n">
        <v>64</v>
      </c>
      <c r="H236" s="5" t="s">
        <v>710</v>
      </c>
      <c r="I236" s="4" t="s">
        <v>1060</v>
      </c>
      <c r="J236" s="4" t="s">
        <v>114</v>
      </c>
    </row>
    <row r="237" customFormat="false" ht="15" hidden="false" customHeight="false" outlineLevel="0" collapsed="false">
      <c r="A237" s="5" t="n">
        <v>1035</v>
      </c>
      <c r="B237" s="5" t="s">
        <v>64</v>
      </c>
      <c r="C237" s="5" t="s">
        <v>1059</v>
      </c>
      <c r="D237" s="4" t="s">
        <v>28</v>
      </c>
      <c r="E237" s="4" t="s">
        <v>708</v>
      </c>
      <c r="F237" s="4" t="s">
        <v>734</v>
      </c>
      <c r="G237" s="5" t="n">
        <v>67</v>
      </c>
      <c r="H237" s="5" t="s">
        <v>710</v>
      </c>
      <c r="I237" s="4" t="s">
        <v>1061</v>
      </c>
      <c r="J237" s="4" t="s">
        <v>114</v>
      </c>
    </row>
    <row r="238" customFormat="false" ht="15" hidden="false" customHeight="false" outlineLevel="0" collapsed="false">
      <c r="A238" s="5" t="n">
        <v>5960</v>
      </c>
      <c r="B238" s="5" t="s">
        <v>64</v>
      </c>
      <c r="C238" s="5" t="s">
        <v>1062</v>
      </c>
      <c r="D238" s="4" t="s">
        <v>28</v>
      </c>
      <c r="E238" s="4" t="s">
        <v>708</v>
      </c>
      <c r="F238" s="4" t="s">
        <v>734</v>
      </c>
      <c r="G238" s="5" t="n">
        <v>75</v>
      </c>
      <c r="H238" s="5" t="s">
        <v>710</v>
      </c>
      <c r="I238" s="4" t="s">
        <v>1063</v>
      </c>
      <c r="J238" s="4" t="s">
        <v>114</v>
      </c>
    </row>
    <row r="239" customFormat="false" ht="15" hidden="false" customHeight="false" outlineLevel="0" collapsed="false">
      <c r="A239" s="5" t="n">
        <v>41740</v>
      </c>
      <c r="B239" s="5" t="s">
        <v>64</v>
      </c>
      <c r="C239" s="5" t="s">
        <v>440</v>
      </c>
      <c r="D239" s="4" t="s">
        <v>28</v>
      </c>
      <c r="E239" s="4" t="s">
        <v>708</v>
      </c>
      <c r="F239" s="4" t="s">
        <v>734</v>
      </c>
      <c r="G239" s="5" t="n">
        <v>44</v>
      </c>
      <c r="H239" s="5" t="s">
        <v>710</v>
      </c>
      <c r="I239" s="4" t="s">
        <v>1064</v>
      </c>
      <c r="J239" s="4" t="s">
        <v>114</v>
      </c>
    </row>
    <row r="240" customFormat="false" ht="15" hidden="false" customHeight="false" outlineLevel="0" collapsed="false">
      <c r="A240" s="5" t="n">
        <v>9505</v>
      </c>
      <c r="B240" s="5" t="s">
        <v>64</v>
      </c>
      <c r="C240" s="5" t="s">
        <v>1065</v>
      </c>
      <c r="D240" s="4" t="s">
        <v>28</v>
      </c>
      <c r="E240" s="4" t="s">
        <v>708</v>
      </c>
      <c r="F240" s="4" t="s">
        <v>734</v>
      </c>
      <c r="G240" s="5" t="n">
        <v>50</v>
      </c>
      <c r="H240" s="5" t="s">
        <v>710</v>
      </c>
      <c r="I240" s="4" t="s">
        <v>1066</v>
      </c>
      <c r="J240" s="4" t="s">
        <v>114</v>
      </c>
    </row>
    <row r="241" customFormat="false" ht="15" hidden="false" customHeight="false" outlineLevel="0" collapsed="false">
      <c r="A241" s="5" t="n">
        <v>40742</v>
      </c>
      <c r="B241" s="5" t="s">
        <v>65</v>
      </c>
      <c r="C241" s="5" t="s">
        <v>829</v>
      </c>
      <c r="D241" s="4" t="s">
        <v>24</v>
      </c>
      <c r="E241" s="4" t="s">
        <v>708</v>
      </c>
      <c r="F241" s="4" t="s">
        <v>734</v>
      </c>
      <c r="G241" s="5" t="n">
        <v>52</v>
      </c>
      <c r="H241" s="5" t="s">
        <v>710</v>
      </c>
      <c r="I241" s="4" t="s">
        <v>1067</v>
      </c>
      <c r="J241" s="4" t="s">
        <v>114</v>
      </c>
    </row>
    <row r="242" customFormat="false" ht="15" hidden="false" customHeight="false" outlineLevel="0" collapsed="false">
      <c r="A242" s="5" t="n">
        <v>40688</v>
      </c>
      <c r="B242" s="5" t="s">
        <v>65</v>
      </c>
      <c r="C242" s="5" t="s">
        <v>1068</v>
      </c>
      <c r="D242" s="4" t="s">
        <v>24</v>
      </c>
      <c r="E242" s="4" t="s">
        <v>708</v>
      </c>
      <c r="F242" s="4" t="s">
        <v>734</v>
      </c>
      <c r="G242" s="5" t="n">
        <v>83</v>
      </c>
      <c r="H242" s="5" t="s">
        <v>710</v>
      </c>
      <c r="I242" s="4" t="s">
        <v>1069</v>
      </c>
      <c r="J242" s="4" t="s">
        <v>114</v>
      </c>
    </row>
    <row r="243" customFormat="false" ht="15" hidden="false" customHeight="false" outlineLevel="0" collapsed="false">
      <c r="A243" s="5" t="n">
        <v>39518</v>
      </c>
      <c r="B243" s="5" t="s">
        <v>65</v>
      </c>
      <c r="C243" s="5" t="s">
        <v>831</v>
      </c>
      <c r="D243" s="4" t="s">
        <v>24</v>
      </c>
      <c r="E243" s="4" t="s">
        <v>708</v>
      </c>
      <c r="F243" s="4" t="s">
        <v>734</v>
      </c>
      <c r="G243" s="5" t="n">
        <v>79</v>
      </c>
      <c r="H243" s="5" t="s">
        <v>710</v>
      </c>
      <c r="I243" s="4" t="s">
        <v>1070</v>
      </c>
      <c r="J243" s="4" t="s">
        <v>114</v>
      </c>
    </row>
    <row r="244" customFormat="false" ht="15" hidden="false" customHeight="false" outlineLevel="0" collapsed="false">
      <c r="A244" s="5" t="n">
        <v>41223</v>
      </c>
      <c r="B244" s="5" t="s">
        <v>65</v>
      </c>
      <c r="C244" s="5" t="s">
        <v>1071</v>
      </c>
      <c r="D244" s="4" t="s">
        <v>24</v>
      </c>
      <c r="E244" s="4" t="s">
        <v>708</v>
      </c>
      <c r="F244" s="4" t="s">
        <v>734</v>
      </c>
      <c r="G244" s="5" t="n">
        <v>54</v>
      </c>
      <c r="H244" s="5" t="s">
        <v>710</v>
      </c>
      <c r="I244" s="4" t="s">
        <v>1072</v>
      </c>
      <c r="J244" s="4" t="s">
        <v>114</v>
      </c>
    </row>
    <row r="245" customFormat="false" ht="15" hidden="false" customHeight="false" outlineLevel="0" collapsed="false">
      <c r="A245" s="5" t="n">
        <v>41351</v>
      </c>
      <c r="B245" s="5" t="s">
        <v>65</v>
      </c>
      <c r="C245" s="5" t="s">
        <v>1073</v>
      </c>
      <c r="D245" s="4" t="s">
        <v>24</v>
      </c>
      <c r="E245" s="4" t="s">
        <v>708</v>
      </c>
      <c r="F245" s="4" t="s">
        <v>734</v>
      </c>
      <c r="G245" s="5" t="n">
        <v>87</v>
      </c>
      <c r="H245" s="5" t="s">
        <v>710</v>
      </c>
      <c r="I245" s="4" t="s">
        <v>1074</v>
      </c>
      <c r="J245" s="4" t="s">
        <v>114</v>
      </c>
    </row>
    <row r="246" customFormat="false" ht="15" hidden="false" customHeight="false" outlineLevel="0" collapsed="false">
      <c r="A246" s="5" t="n">
        <v>41881</v>
      </c>
      <c r="B246" s="5" t="s">
        <v>65</v>
      </c>
      <c r="C246" s="5" t="s">
        <v>254</v>
      </c>
      <c r="D246" s="4" t="s">
        <v>30</v>
      </c>
      <c r="E246" s="4" t="s">
        <v>708</v>
      </c>
      <c r="F246" s="4" t="s">
        <v>709</v>
      </c>
      <c r="G246" s="5" t="n">
        <v>79</v>
      </c>
      <c r="H246" s="5" t="s">
        <v>710</v>
      </c>
      <c r="I246" s="4" t="s">
        <v>1075</v>
      </c>
      <c r="J246" s="4" t="s">
        <v>114</v>
      </c>
    </row>
    <row r="247" customFormat="false" ht="15" hidden="false" customHeight="false" outlineLevel="0" collapsed="false">
      <c r="A247" s="5" t="n">
        <v>41882</v>
      </c>
      <c r="B247" s="5" t="s">
        <v>65</v>
      </c>
      <c r="C247" s="5" t="s">
        <v>445</v>
      </c>
      <c r="D247" s="4" t="s">
        <v>30</v>
      </c>
      <c r="E247" s="4" t="s">
        <v>708</v>
      </c>
      <c r="F247" s="4" t="s">
        <v>709</v>
      </c>
      <c r="G247" s="5" t="n">
        <v>55</v>
      </c>
      <c r="H247" s="5" t="s">
        <v>710</v>
      </c>
      <c r="I247" s="4" t="s">
        <v>1076</v>
      </c>
      <c r="J247" s="4" t="s">
        <v>114</v>
      </c>
    </row>
    <row r="248" customFormat="false" ht="15" hidden="false" customHeight="false" outlineLevel="0" collapsed="false">
      <c r="A248" s="5" t="n">
        <v>41883</v>
      </c>
      <c r="B248" s="5" t="s">
        <v>65</v>
      </c>
      <c r="C248" s="5" t="s">
        <v>256</v>
      </c>
      <c r="D248" s="4" t="s">
        <v>30</v>
      </c>
      <c r="E248" s="4" t="s">
        <v>708</v>
      </c>
      <c r="F248" s="4" t="s">
        <v>709</v>
      </c>
      <c r="G248" s="5" t="n">
        <v>76</v>
      </c>
      <c r="H248" s="5" t="s">
        <v>710</v>
      </c>
      <c r="I248" s="4" t="s">
        <v>1077</v>
      </c>
      <c r="J248" s="4" t="s">
        <v>114</v>
      </c>
    </row>
    <row r="249" customFormat="false" ht="15" hidden="false" customHeight="false" outlineLevel="0" collapsed="false">
      <c r="A249" s="5" t="n">
        <v>41884</v>
      </c>
      <c r="B249" s="5" t="s">
        <v>65</v>
      </c>
      <c r="C249" s="5" t="s">
        <v>1078</v>
      </c>
      <c r="D249" s="4" t="s">
        <v>30</v>
      </c>
      <c r="E249" s="4" t="s">
        <v>708</v>
      </c>
      <c r="F249" s="4" t="s">
        <v>709</v>
      </c>
      <c r="G249" s="5" t="n">
        <v>49</v>
      </c>
      <c r="H249" s="5" t="s">
        <v>710</v>
      </c>
      <c r="I249" s="4" t="s">
        <v>1079</v>
      </c>
      <c r="J249" s="4" t="s">
        <v>114</v>
      </c>
    </row>
    <row r="250" customFormat="false" ht="15" hidden="false" customHeight="false" outlineLevel="0" collapsed="false">
      <c r="A250" s="5" t="n">
        <v>41885</v>
      </c>
      <c r="B250" s="5" t="s">
        <v>65</v>
      </c>
      <c r="C250" s="5" t="s">
        <v>450</v>
      </c>
      <c r="D250" s="4" t="s">
        <v>30</v>
      </c>
      <c r="E250" s="4" t="s">
        <v>708</v>
      </c>
      <c r="F250" s="4" t="s">
        <v>709</v>
      </c>
      <c r="G250" s="5" t="n">
        <v>72</v>
      </c>
      <c r="H250" s="5" t="s">
        <v>710</v>
      </c>
      <c r="I250" s="4" t="s">
        <v>1080</v>
      </c>
      <c r="J250" s="4" t="s">
        <v>114</v>
      </c>
    </row>
    <row r="251" customFormat="false" ht="15" hidden="false" customHeight="false" outlineLevel="0" collapsed="false">
      <c r="A251" s="5" t="n">
        <v>41886</v>
      </c>
      <c r="B251" s="5" t="s">
        <v>65</v>
      </c>
      <c r="C251" s="5" t="s">
        <v>450</v>
      </c>
      <c r="D251" s="4" t="s">
        <v>30</v>
      </c>
      <c r="E251" s="4" t="s">
        <v>708</v>
      </c>
      <c r="F251" s="4" t="s">
        <v>709</v>
      </c>
      <c r="G251" s="5" t="n">
        <v>41</v>
      </c>
      <c r="H251" s="5" t="s">
        <v>710</v>
      </c>
      <c r="I251" s="4" t="s">
        <v>1081</v>
      </c>
      <c r="J251" s="4" t="s">
        <v>114</v>
      </c>
    </row>
    <row r="252" customFormat="false" ht="15" hidden="false" customHeight="false" outlineLevel="0" collapsed="false">
      <c r="A252" s="5" t="n">
        <v>41887</v>
      </c>
      <c r="B252" s="5" t="s">
        <v>65</v>
      </c>
      <c r="C252" s="5" t="s">
        <v>452</v>
      </c>
      <c r="D252" s="4" t="s">
        <v>30</v>
      </c>
      <c r="E252" s="4" t="s">
        <v>708</v>
      </c>
      <c r="F252" s="4" t="s">
        <v>709</v>
      </c>
      <c r="G252" s="5" t="n">
        <v>48</v>
      </c>
      <c r="H252" s="5" t="s">
        <v>710</v>
      </c>
      <c r="I252" s="4" t="s">
        <v>1082</v>
      </c>
      <c r="J252" s="4" t="s">
        <v>114</v>
      </c>
    </row>
    <row r="253" customFormat="false" ht="15" hidden="false" customHeight="false" outlineLevel="0" collapsed="false">
      <c r="A253" s="5" t="n">
        <v>36866</v>
      </c>
      <c r="B253" s="5" t="s">
        <v>65</v>
      </c>
      <c r="C253" s="5" t="s">
        <v>1083</v>
      </c>
      <c r="D253" s="4" t="s">
        <v>32</v>
      </c>
      <c r="E253" s="4" t="s">
        <v>708</v>
      </c>
      <c r="F253" s="4" t="s">
        <v>734</v>
      </c>
      <c r="G253" s="5" t="n">
        <v>60</v>
      </c>
      <c r="H253" s="5" t="s">
        <v>710</v>
      </c>
      <c r="I253" s="4" t="s">
        <v>1084</v>
      </c>
      <c r="J253" s="4" t="s">
        <v>114</v>
      </c>
    </row>
    <row r="254" customFormat="false" ht="15" hidden="false" customHeight="false" outlineLevel="0" collapsed="false">
      <c r="A254" s="5" t="n">
        <v>36860</v>
      </c>
      <c r="B254" s="5" t="s">
        <v>65</v>
      </c>
      <c r="C254" s="5" t="s">
        <v>401</v>
      </c>
      <c r="D254" s="4" t="s">
        <v>32</v>
      </c>
      <c r="E254" s="4" t="s">
        <v>708</v>
      </c>
      <c r="F254" s="4" t="s">
        <v>734</v>
      </c>
      <c r="G254" s="5" t="n">
        <v>43</v>
      </c>
      <c r="H254" s="5" t="s">
        <v>710</v>
      </c>
      <c r="I254" s="4" t="s">
        <v>1085</v>
      </c>
      <c r="J254" s="4" t="s">
        <v>114</v>
      </c>
    </row>
    <row r="255" customFormat="false" ht="15" hidden="false" customHeight="false" outlineLevel="0" collapsed="false">
      <c r="A255" s="5" t="n">
        <v>36733</v>
      </c>
      <c r="B255" s="5" t="s">
        <v>65</v>
      </c>
      <c r="C255" s="5" t="s">
        <v>401</v>
      </c>
      <c r="D255" s="4" t="s">
        <v>32</v>
      </c>
      <c r="E255" s="4" t="s">
        <v>708</v>
      </c>
      <c r="F255" s="4" t="s">
        <v>734</v>
      </c>
      <c r="G255" s="5" t="n">
        <v>52</v>
      </c>
      <c r="H255" s="5" t="s">
        <v>710</v>
      </c>
      <c r="I255" s="4" t="s">
        <v>1086</v>
      </c>
      <c r="J255" s="4" t="s">
        <v>114</v>
      </c>
    </row>
    <row r="256" customFormat="false" ht="15" hidden="false" customHeight="false" outlineLevel="0" collapsed="false">
      <c r="A256" s="5" t="n">
        <v>36536</v>
      </c>
      <c r="B256" s="5" t="s">
        <v>65</v>
      </c>
      <c r="C256" s="5" t="s">
        <v>293</v>
      </c>
      <c r="D256" s="4" t="s">
        <v>32</v>
      </c>
      <c r="E256" s="4" t="s">
        <v>708</v>
      </c>
      <c r="F256" s="4" t="s">
        <v>734</v>
      </c>
      <c r="G256" s="5" t="n">
        <v>60</v>
      </c>
      <c r="H256" s="5" t="s">
        <v>710</v>
      </c>
      <c r="I256" s="4" t="s">
        <v>1087</v>
      </c>
      <c r="J256" s="4" t="s">
        <v>114</v>
      </c>
    </row>
    <row r="257" customFormat="false" ht="15" hidden="false" customHeight="false" outlineLevel="0" collapsed="false">
      <c r="A257" s="5" t="n">
        <v>40939</v>
      </c>
      <c r="B257" s="5" t="s">
        <v>65</v>
      </c>
      <c r="C257" s="5" t="s">
        <v>296</v>
      </c>
      <c r="D257" s="4" t="s">
        <v>32</v>
      </c>
      <c r="E257" s="4" t="s">
        <v>708</v>
      </c>
      <c r="F257" s="4" t="s">
        <v>709</v>
      </c>
      <c r="G257" s="5" t="n">
        <v>62</v>
      </c>
      <c r="H257" s="5" t="s">
        <v>710</v>
      </c>
      <c r="I257" s="4" t="s">
        <v>1088</v>
      </c>
      <c r="J257" s="4" t="s">
        <v>114</v>
      </c>
    </row>
    <row r="258" customFormat="false" ht="15" hidden="false" customHeight="false" outlineLevel="0" collapsed="false">
      <c r="A258" s="5" t="n">
        <v>40681</v>
      </c>
      <c r="B258" s="5" t="s">
        <v>65</v>
      </c>
      <c r="C258" s="5" t="s">
        <v>307</v>
      </c>
      <c r="D258" s="4" t="s">
        <v>32</v>
      </c>
      <c r="E258" s="4" t="s">
        <v>708</v>
      </c>
      <c r="F258" s="4" t="s">
        <v>709</v>
      </c>
      <c r="G258" s="5" t="n">
        <v>57</v>
      </c>
      <c r="H258" s="5" t="s">
        <v>710</v>
      </c>
      <c r="I258" s="4" t="s">
        <v>1089</v>
      </c>
      <c r="J258" s="4" t="s">
        <v>114</v>
      </c>
    </row>
    <row r="259" customFormat="false" ht="15" hidden="false" customHeight="false" outlineLevel="0" collapsed="false">
      <c r="A259" s="5" t="n">
        <v>41898</v>
      </c>
      <c r="B259" s="5" t="s">
        <v>65</v>
      </c>
      <c r="C259" s="5" t="s">
        <v>1090</v>
      </c>
      <c r="D259" s="4" t="s">
        <v>28</v>
      </c>
      <c r="E259" s="4" t="s">
        <v>708</v>
      </c>
      <c r="F259" s="4" t="s">
        <v>709</v>
      </c>
      <c r="G259" s="5" t="n">
        <v>96</v>
      </c>
      <c r="H259" s="5" t="s">
        <v>710</v>
      </c>
      <c r="I259" s="4" t="s">
        <v>1091</v>
      </c>
      <c r="J259" s="4" t="s">
        <v>114</v>
      </c>
    </row>
    <row r="260" customFormat="false" ht="15" hidden="false" customHeight="false" outlineLevel="0" collapsed="false">
      <c r="A260" s="5" t="n">
        <v>40983</v>
      </c>
      <c r="B260" s="5" t="s">
        <v>65</v>
      </c>
      <c r="C260" s="5" t="s">
        <v>1092</v>
      </c>
      <c r="D260" s="4" t="s">
        <v>28</v>
      </c>
      <c r="E260" s="4" t="s">
        <v>708</v>
      </c>
      <c r="F260" s="4" t="s">
        <v>709</v>
      </c>
      <c r="G260" s="5" t="n">
        <v>75</v>
      </c>
      <c r="H260" s="5" t="s">
        <v>710</v>
      </c>
      <c r="I260" s="4" t="s">
        <v>1093</v>
      </c>
      <c r="J260" s="4" t="s">
        <v>114</v>
      </c>
    </row>
    <row r="261" customFormat="false" ht="15" hidden="false" customHeight="false" outlineLevel="0" collapsed="false">
      <c r="A261" s="5" t="n">
        <v>41456</v>
      </c>
      <c r="B261" s="5" t="s">
        <v>65</v>
      </c>
      <c r="C261" s="5" t="s">
        <v>1094</v>
      </c>
      <c r="D261" s="4" t="s">
        <v>28</v>
      </c>
      <c r="E261" s="4" t="s">
        <v>708</v>
      </c>
      <c r="F261" s="4" t="s">
        <v>709</v>
      </c>
      <c r="G261" s="5" t="n">
        <v>59</v>
      </c>
      <c r="H261" s="5" t="s">
        <v>710</v>
      </c>
      <c r="I261" s="4" t="s">
        <v>1095</v>
      </c>
      <c r="J261" s="4" t="s">
        <v>114</v>
      </c>
    </row>
    <row r="262" customFormat="false" ht="15" hidden="false" customHeight="false" outlineLevel="0" collapsed="false">
      <c r="A262" s="5" t="n">
        <v>39116</v>
      </c>
      <c r="B262" s="5" t="s">
        <v>65</v>
      </c>
      <c r="C262" s="5" t="s">
        <v>1096</v>
      </c>
      <c r="D262" s="4" t="s">
        <v>28</v>
      </c>
      <c r="E262" s="4" t="s">
        <v>708</v>
      </c>
      <c r="F262" s="4" t="s">
        <v>734</v>
      </c>
      <c r="G262" s="5" t="n">
        <v>79</v>
      </c>
      <c r="H262" s="5" t="s">
        <v>710</v>
      </c>
      <c r="I262" s="4" t="s">
        <v>1011</v>
      </c>
      <c r="J262" s="4" t="s">
        <v>114</v>
      </c>
    </row>
    <row r="263" customFormat="false" ht="15" hidden="false" customHeight="false" outlineLevel="0" collapsed="false">
      <c r="A263" s="5" t="n">
        <v>40937</v>
      </c>
      <c r="B263" s="5" t="s">
        <v>65</v>
      </c>
      <c r="C263" s="5" t="s">
        <v>1097</v>
      </c>
      <c r="D263" s="4" t="s">
        <v>28</v>
      </c>
      <c r="E263" s="4" t="s">
        <v>708</v>
      </c>
      <c r="F263" s="4" t="s">
        <v>709</v>
      </c>
      <c r="G263" s="5" t="n">
        <v>75</v>
      </c>
      <c r="H263" s="5" t="s">
        <v>710</v>
      </c>
      <c r="I263" s="4" t="s">
        <v>1098</v>
      </c>
      <c r="J263" s="4" t="s">
        <v>114</v>
      </c>
    </row>
    <row r="264" customFormat="false" ht="23.85" hidden="false" customHeight="false" outlineLevel="0" collapsed="false">
      <c r="A264" s="5" t="n">
        <v>35890</v>
      </c>
      <c r="B264" s="5" t="s">
        <v>65</v>
      </c>
      <c r="C264" s="5" t="s">
        <v>1099</v>
      </c>
      <c r="D264" s="4" t="s">
        <v>26</v>
      </c>
      <c r="E264" s="4" t="s">
        <v>708</v>
      </c>
      <c r="F264" s="4" t="s">
        <v>725</v>
      </c>
      <c r="G264" s="5" t="n">
        <v>10</v>
      </c>
      <c r="H264" s="5" t="s">
        <v>726</v>
      </c>
      <c r="I264" s="4" t="s">
        <v>727</v>
      </c>
      <c r="J264" s="4" t="s">
        <v>117</v>
      </c>
    </row>
    <row r="265" customFormat="false" ht="15" hidden="false" customHeight="false" outlineLevel="0" collapsed="false">
      <c r="A265" s="5" t="n">
        <v>41901</v>
      </c>
      <c r="B265" s="5" t="s">
        <v>65</v>
      </c>
      <c r="C265" s="5" t="s">
        <v>888</v>
      </c>
      <c r="D265" s="4" t="s">
        <v>18</v>
      </c>
      <c r="E265" s="4" t="s">
        <v>708</v>
      </c>
      <c r="F265" s="4" t="s">
        <v>734</v>
      </c>
      <c r="G265" s="5" t="n">
        <v>149</v>
      </c>
      <c r="H265" s="5" t="s">
        <v>710</v>
      </c>
      <c r="I265" s="4" t="s">
        <v>1100</v>
      </c>
      <c r="J265" s="4" t="s">
        <v>114</v>
      </c>
    </row>
    <row r="266" customFormat="false" ht="15" hidden="false" customHeight="false" outlineLevel="0" collapsed="false">
      <c r="A266" s="5" t="n">
        <v>41902</v>
      </c>
      <c r="B266" s="5" t="s">
        <v>65</v>
      </c>
      <c r="C266" s="5" t="s">
        <v>1101</v>
      </c>
      <c r="D266" s="4" t="s">
        <v>18</v>
      </c>
      <c r="E266" s="4" t="s">
        <v>708</v>
      </c>
      <c r="F266" s="4" t="s">
        <v>734</v>
      </c>
      <c r="G266" s="5" t="n">
        <v>246</v>
      </c>
      <c r="H266" s="5" t="s">
        <v>710</v>
      </c>
      <c r="I266" s="4" t="s">
        <v>1102</v>
      </c>
      <c r="J266" s="4" t="s">
        <v>114</v>
      </c>
    </row>
    <row r="267" customFormat="false" ht="15" hidden="false" customHeight="false" outlineLevel="0" collapsed="false">
      <c r="A267" s="5" t="n">
        <v>41904</v>
      </c>
      <c r="B267" s="5" t="s">
        <v>65</v>
      </c>
      <c r="C267" s="5" t="s">
        <v>995</v>
      </c>
      <c r="D267" s="4" t="s">
        <v>18</v>
      </c>
      <c r="E267" s="4" t="s">
        <v>708</v>
      </c>
      <c r="F267" s="4" t="s">
        <v>734</v>
      </c>
      <c r="G267" s="5" t="n">
        <v>218</v>
      </c>
      <c r="H267" s="5" t="s">
        <v>710</v>
      </c>
      <c r="I267" s="4" t="s">
        <v>1103</v>
      </c>
      <c r="J267" s="4" t="s">
        <v>114</v>
      </c>
    </row>
    <row r="268" customFormat="false" ht="15" hidden="false" customHeight="false" outlineLevel="0" collapsed="false">
      <c r="A268" s="5" t="n">
        <v>41550</v>
      </c>
      <c r="B268" s="5" t="s">
        <v>65</v>
      </c>
      <c r="C268" s="5" t="s">
        <v>892</v>
      </c>
      <c r="D268" s="4" t="s">
        <v>18</v>
      </c>
      <c r="E268" s="4" t="s">
        <v>708</v>
      </c>
      <c r="F268" s="4" t="s">
        <v>734</v>
      </c>
      <c r="G268" s="5" t="n">
        <v>58</v>
      </c>
      <c r="H268" s="5" t="s">
        <v>710</v>
      </c>
      <c r="I268" s="4" t="s">
        <v>1104</v>
      </c>
      <c r="J268" s="4" t="s">
        <v>114</v>
      </c>
    </row>
    <row r="269" customFormat="false" ht="15" hidden="false" customHeight="false" outlineLevel="0" collapsed="false">
      <c r="A269" s="5" t="n">
        <v>41221</v>
      </c>
      <c r="B269" s="5" t="s">
        <v>65</v>
      </c>
      <c r="C269" s="5" t="s">
        <v>1105</v>
      </c>
      <c r="D269" s="4" t="s">
        <v>18</v>
      </c>
      <c r="E269" s="4" t="s">
        <v>708</v>
      </c>
      <c r="F269" s="4" t="s">
        <v>734</v>
      </c>
      <c r="G269" s="5" t="n">
        <v>60</v>
      </c>
      <c r="H269" s="5" t="s">
        <v>710</v>
      </c>
      <c r="I269" s="4" t="s">
        <v>1106</v>
      </c>
      <c r="J269" s="4" t="s">
        <v>114</v>
      </c>
    </row>
    <row r="270" customFormat="false" ht="15" hidden="false" customHeight="false" outlineLevel="0" collapsed="false">
      <c r="A270" s="5" t="n">
        <v>41221</v>
      </c>
      <c r="B270" s="5" t="s">
        <v>65</v>
      </c>
      <c r="C270" s="5" t="s">
        <v>1105</v>
      </c>
      <c r="D270" s="4" t="s">
        <v>18</v>
      </c>
      <c r="E270" s="4" t="s">
        <v>869</v>
      </c>
      <c r="F270" s="4"/>
      <c r="G270" s="5" t="n">
        <v>0</v>
      </c>
      <c r="H270" s="5" t="s">
        <v>726</v>
      </c>
      <c r="I270" s="4"/>
      <c r="J270" s="4" t="s">
        <v>116</v>
      </c>
    </row>
    <row r="271" customFormat="false" ht="15" hidden="false" customHeight="false" outlineLevel="0" collapsed="false">
      <c r="A271" s="5" t="n">
        <v>41700</v>
      </c>
      <c r="B271" s="5" t="s">
        <v>66</v>
      </c>
      <c r="C271" s="5" t="s">
        <v>1107</v>
      </c>
      <c r="D271" s="4" t="s">
        <v>24</v>
      </c>
      <c r="E271" s="4" t="s">
        <v>708</v>
      </c>
      <c r="F271" s="4" t="s">
        <v>725</v>
      </c>
      <c r="G271" s="5" t="n">
        <v>92</v>
      </c>
      <c r="H271" s="5" t="s">
        <v>710</v>
      </c>
      <c r="I271" s="4" t="s">
        <v>1108</v>
      </c>
      <c r="J271" s="4" t="s">
        <v>114</v>
      </c>
    </row>
    <row r="272" customFormat="false" ht="15" hidden="false" customHeight="false" outlineLevel="0" collapsed="false">
      <c r="A272" s="5" t="n">
        <v>35890</v>
      </c>
      <c r="B272" s="5" t="s">
        <v>66</v>
      </c>
      <c r="C272" s="5" t="s">
        <v>693</v>
      </c>
      <c r="D272" s="4" t="s">
        <v>26</v>
      </c>
      <c r="E272" s="4" t="s">
        <v>708</v>
      </c>
      <c r="F272" s="4" t="s">
        <v>725</v>
      </c>
      <c r="G272" s="5" t="n">
        <v>54</v>
      </c>
      <c r="H272" s="5" t="s">
        <v>710</v>
      </c>
      <c r="I272" s="4" t="s">
        <v>1109</v>
      </c>
      <c r="J272" s="4" t="s">
        <v>114</v>
      </c>
    </row>
    <row r="273" customFormat="false" ht="23.85" hidden="false" customHeight="false" outlineLevel="0" collapsed="false">
      <c r="A273" s="5" t="n">
        <v>41905</v>
      </c>
      <c r="B273" s="5" t="s">
        <v>66</v>
      </c>
      <c r="C273" s="5" t="s">
        <v>471</v>
      </c>
      <c r="D273" s="4" t="s">
        <v>26</v>
      </c>
      <c r="E273" s="4" t="s">
        <v>708</v>
      </c>
      <c r="F273" s="4" t="s">
        <v>725</v>
      </c>
      <c r="G273" s="5" t="n">
        <v>10</v>
      </c>
      <c r="H273" s="5" t="s">
        <v>726</v>
      </c>
      <c r="I273" s="4" t="s">
        <v>727</v>
      </c>
      <c r="J273" s="4" t="s">
        <v>117</v>
      </c>
    </row>
    <row r="274" customFormat="false" ht="23.85" hidden="false" customHeight="false" outlineLevel="0" collapsed="false">
      <c r="A274" s="5" t="n">
        <v>41905</v>
      </c>
      <c r="B274" s="5" t="s">
        <v>66</v>
      </c>
      <c r="C274" s="5" t="s">
        <v>1110</v>
      </c>
      <c r="D274" s="4" t="s">
        <v>26</v>
      </c>
      <c r="E274" s="4" t="s">
        <v>708</v>
      </c>
      <c r="F274" s="4" t="s">
        <v>742</v>
      </c>
      <c r="G274" s="5" t="n">
        <v>9</v>
      </c>
      <c r="H274" s="5" t="s">
        <v>726</v>
      </c>
      <c r="I274" s="4" t="s">
        <v>745</v>
      </c>
      <c r="J274" s="4" t="s">
        <v>117</v>
      </c>
    </row>
    <row r="275" customFormat="false" ht="23.85" hidden="false" customHeight="false" outlineLevel="0" collapsed="false">
      <c r="A275" s="5" t="n">
        <v>41905</v>
      </c>
      <c r="B275" s="5" t="s">
        <v>66</v>
      </c>
      <c r="C275" s="5" t="s">
        <v>1111</v>
      </c>
      <c r="D275" s="4" t="s">
        <v>26</v>
      </c>
      <c r="E275" s="4" t="s">
        <v>708</v>
      </c>
      <c r="F275" s="4" t="s">
        <v>725</v>
      </c>
      <c r="G275" s="5" t="n">
        <v>10</v>
      </c>
      <c r="H275" s="5" t="s">
        <v>726</v>
      </c>
      <c r="I275" s="4" t="s">
        <v>727</v>
      </c>
      <c r="J275" s="4" t="s">
        <v>117</v>
      </c>
    </row>
    <row r="276" customFormat="false" ht="15" hidden="false" customHeight="false" outlineLevel="0" collapsed="false">
      <c r="A276" s="5" t="n">
        <v>41907</v>
      </c>
      <c r="B276" s="5" t="s">
        <v>66</v>
      </c>
      <c r="C276" s="5" t="s">
        <v>144</v>
      </c>
      <c r="D276" s="4" t="s">
        <v>20</v>
      </c>
      <c r="E276" s="4" t="s">
        <v>708</v>
      </c>
      <c r="F276" s="4" t="s">
        <v>734</v>
      </c>
      <c r="G276" s="5" t="n">
        <v>75</v>
      </c>
      <c r="H276" s="5" t="s">
        <v>710</v>
      </c>
      <c r="I276" s="4" t="s">
        <v>1112</v>
      </c>
      <c r="J276" s="4" t="s">
        <v>114</v>
      </c>
    </row>
    <row r="277" customFormat="false" ht="15" hidden="false" customHeight="false" outlineLevel="0" collapsed="false">
      <c r="A277" s="5" t="n">
        <v>38816</v>
      </c>
      <c r="B277" s="5" t="s">
        <v>66</v>
      </c>
      <c r="C277" s="5" t="s">
        <v>717</v>
      </c>
      <c r="D277" s="4" t="s">
        <v>20</v>
      </c>
      <c r="E277" s="4" t="s">
        <v>708</v>
      </c>
      <c r="F277" s="4" t="s">
        <v>734</v>
      </c>
      <c r="G277" s="5" t="n">
        <v>68</v>
      </c>
      <c r="H277" s="5" t="s">
        <v>710</v>
      </c>
      <c r="I277" s="4" t="s">
        <v>1113</v>
      </c>
      <c r="J277" s="4" t="s">
        <v>114</v>
      </c>
    </row>
    <row r="278" customFormat="false" ht="15" hidden="false" customHeight="false" outlineLevel="0" collapsed="false">
      <c r="A278" s="5" t="n">
        <v>40582</v>
      </c>
      <c r="B278" s="5" t="s">
        <v>66</v>
      </c>
      <c r="C278" s="5" t="s">
        <v>1114</v>
      </c>
      <c r="D278" s="4" t="s">
        <v>20</v>
      </c>
      <c r="E278" s="4" t="s">
        <v>708</v>
      </c>
      <c r="F278" s="4" t="s">
        <v>734</v>
      </c>
      <c r="G278" s="5" t="n">
        <v>70</v>
      </c>
      <c r="H278" s="5" t="s">
        <v>710</v>
      </c>
      <c r="I278" s="4" t="s">
        <v>1115</v>
      </c>
      <c r="J278" s="4" t="s">
        <v>114</v>
      </c>
    </row>
    <row r="279" customFormat="false" ht="15" hidden="false" customHeight="false" outlineLevel="0" collapsed="false">
      <c r="A279" s="5" t="n">
        <v>40514</v>
      </c>
      <c r="B279" s="5" t="s">
        <v>66</v>
      </c>
      <c r="C279" s="5" t="s">
        <v>785</v>
      </c>
      <c r="D279" s="4" t="s">
        <v>20</v>
      </c>
      <c r="E279" s="4" t="s">
        <v>708</v>
      </c>
      <c r="F279" s="4" t="s">
        <v>734</v>
      </c>
      <c r="G279" s="5" t="n">
        <v>53</v>
      </c>
      <c r="H279" s="5" t="s">
        <v>710</v>
      </c>
      <c r="I279" s="4" t="s">
        <v>1116</v>
      </c>
      <c r="J279" s="4" t="s">
        <v>114</v>
      </c>
    </row>
    <row r="280" customFormat="false" ht="15" hidden="false" customHeight="false" outlineLevel="0" collapsed="false">
      <c r="A280" s="5" t="n">
        <v>37663</v>
      </c>
      <c r="B280" s="5" t="s">
        <v>66</v>
      </c>
      <c r="C280" s="5" t="s">
        <v>1117</v>
      </c>
      <c r="D280" s="4" t="s">
        <v>20</v>
      </c>
      <c r="E280" s="4" t="s">
        <v>708</v>
      </c>
      <c r="F280" s="4" t="s">
        <v>734</v>
      </c>
      <c r="G280" s="5" t="n">
        <v>33</v>
      </c>
      <c r="H280" s="5" t="s">
        <v>737</v>
      </c>
      <c r="I280" s="4" t="s">
        <v>1118</v>
      </c>
      <c r="J280" s="4" t="s">
        <v>115</v>
      </c>
    </row>
    <row r="281" customFormat="false" ht="15" hidden="false" customHeight="false" outlineLevel="0" collapsed="false">
      <c r="A281" s="5" t="n">
        <v>41910</v>
      </c>
      <c r="B281" s="5" t="s">
        <v>66</v>
      </c>
      <c r="C281" s="5" t="s">
        <v>741</v>
      </c>
      <c r="D281" s="4" t="s">
        <v>22</v>
      </c>
      <c r="E281" s="4" t="s">
        <v>708</v>
      </c>
      <c r="F281" s="4" t="s">
        <v>725</v>
      </c>
      <c r="G281" s="5" t="n">
        <v>38</v>
      </c>
      <c r="H281" s="5" t="s">
        <v>737</v>
      </c>
      <c r="I281" s="4" t="s">
        <v>1119</v>
      </c>
      <c r="J281" s="4" t="s">
        <v>115</v>
      </c>
    </row>
    <row r="282" customFormat="false" ht="15" hidden="false" customHeight="false" outlineLevel="0" collapsed="false">
      <c r="A282" s="5" t="n">
        <v>41911</v>
      </c>
      <c r="B282" s="5" t="s">
        <v>66</v>
      </c>
      <c r="C282" s="5" t="s">
        <v>1120</v>
      </c>
      <c r="D282" s="4" t="s">
        <v>22</v>
      </c>
      <c r="E282" s="4" t="s">
        <v>708</v>
      </c>
      <c r="F282" s="4" t="s">
        <v>725</v>
      </c>
      <c r="G282" s="5" t="n">
        <v>79</v>
      </c>
      <c r="H282" s="5" t="s">
        <v>710</v>
      </c>
      <c r="I282" s="4" t="s">
        <v>1121</v>
      </c>
      <c r="J282" s="4" t="s">
        <v>114</v>
      </c>
    </row>
    <row r="283" customFormat="false" ht="15" hidden="false" customHeight="false" outlineLevel="0" collapsed="false">
      <c r="A283" s="5" t="n">
        <v>41912</v>
      </c>
      <c r="B283" s="5" t="s">
        <v>66</v>
      </c>
      <c r="C283" s="5" t="s">
        <v>1122</v>
      </c>
      <c r="D283" s="4" t="s">
        <v>22</v>
      </c>
      <c r="E283" s="4" t="s">
        <v>708</v>
      </c>
      <c r="F283" s="4" t="s">
        <v>725</v>
      </c>
      <c r="G283" s="5" t="n">
        <v>61</v>
      </c>
      <c r="H283" s="5" t="s">
        <v>710</v>
      </c>
      <c r="I283" s="4" t="s">
        <v>1123</v>
      </c>
      <c r="J283" s="4" t="s">
        <v>114</v>
      </c>
    </row>
    <row r="284" customFormat="false" ht="15" hidden="false" customHeight="false" outlineLevel="0" collapsed="false">
      <c r="A284" s="5" t="n">
        <v>41913</v>
      </c>
      <c r="B284" s="5" t="s">
        <v>66</v>
      </c>
      <c r="C284" s="5" t="s">
        <v>1124</v>
      </c>
      <c r="D284" s="4" t="s">
        <v>22</v>
      </c>
      <c r="E284" s="4" t="s">
        <v>708</v>
      </c>
      <c r="F284" s="4" t="s">
        <v>725</v>
      </c>
      <c r="G284" s="5" t="n">
        <v>56</v>
      </c>
      <c r="H284" s="5" t="s">
        <v>710</v>
      </c>
      <c r="I284" s="4" t="s">
        <v>1125</v>
      </c>
      <c r="J284" s="4" t="s">
        <v>114</v>
      </c>
    </row>
    <row r="285" customFormat="false" ht="15" hidden="false" customHeight="false" outlineLevel="0" collapsed="false">
      <c r="A285" s="5" t="n">
        <v>41915</v>
      </c>
      <c r="B285" s="5" t="s">
        <v>66</v>
      </c>
      <c r="C285" s="5" t="s">
        <v>1126</v>
      </c>
      <c r="D285" s="4" t="s">
        <v>22</v>
      </c>
      <c r="E285" s="4" t="s">
        <v>708</v>
      </c>
      <c r="F285" s="4" t="s">
        <v>725</v>
      </c>
      <c r="G285" s="5" t="n">
        <v>52</v>
      </c>
      <c r="H285" s="5" t="s">
        <v>710</v>
      </c>
      <c r="I285" s="4" t="s">
        <v>1127</v>
      </c>
      <c r="J285" s="4" t="s">
        <v>114</v>
      </c>
    </row>
    <row r="286" customFormat="false" ht="15" hidden="false" customHeight="false" outlineLevel="0" collapsed="false">
      <c r="A286" s="5" t="n">
        <v>41916</v>
      </c>
      <c r="B286" s="5" t="s">
        <v>66</v>
      </c>
      <c r="C286" s="5" t="s">
        <v>792</v>
      </c>
      <c r="D286" s="4" t="s">
        <v>22</v>
      </c>
      <c r="E286" s="4" t="s">
        <v>708</v>
      </c>
      <c r="F286" s="4" t="s">
        <v>725</v>
      </c>
      <c r="G286" s="5" t="n">
        <v>50</v>
      </c>
      <c r="H286" s="5" t="s">
        <v>710</v>
      </c>
      <c r="I286" s="4" t="s">
        <v>1128</v>
      </c>
      <c r="J286" s="4" t="s">
        <v>114</v>
      </c>
    </row>
    <row r="287" customFormat="false" ht="15" hidden="false" customHeight="false" outlineLevel="0" collapsed="false">
      <c r="A287" s="5" t="n">
        <v>41917</v>
      </c>
      <c r="B287" s="5" t="s">
        <v>66</v>
      </c>
      <c r="C287" s="5" t="s">
        <v>1129</v>
      </c>
      <c r="D287" s="4" t="s">
        <v>22</v>
      </c>
      <c r="E287" s="4" t="s">
        <v>708</v>
      </c>
      <c r="F287" s="4" t="s">
        <v>725</v>
      </c>
      <c r="G287" s="5" t="n">
        <v>69</v>
      </c>
      <c r="H287" s="5" t="s">
        <v>710</v>
      </c>
      <c r="I287" s="4" t="s">
        <v>1130</v>
      </c>
      <c r="J287" s="4" t="s">
        <v>114</v>
      </c>
    </row>
    <row r="288" customFormat="false" ht="15" hidden="false" customHeight="false" outlineLevel="0" collapsed="false">
      <c r="A288" s="5" t="n">
        <v>41918</v>
      </c>
      <c r="B288" s="5" t="s">
        <v>66</v>
      </c>
      <c r="C288" s="5" t="s">
        <v>507</v>
      </c>
      <c r="D288" s="4" t="s">
        <v>22</v>
      </c>
      <c r="E288" s="4" t="s">
        <v>708</v>
      </c>
      <c r="F288" s="4" t="s">
        <v>725</v>
      </c>
      <c r="G288" s="5" t="n">
        <v>21</v>
      </c>
      <c r="H288" s="5" t="s">
        <v>737</v>
      </c>
      <c r="I288" s="4" t="s">
        <v>1131</v>
      </c>
      <c r="J288" s="4" t="s">
        <v>115</v>
      </c>
    </row>
    <row r="289" customFormat="false" ht="15" hidden="false" customHeight="false" outlineLevel="0" collapsed="false">
      <c r="A289" s="5" t="n">
        <v>41919</v>
      </c>
      <c r="B289" s="5" t="s">
        <v>66</v>
      </c>
      <c r="C289" s="5" t="s">
        <v>1132</v>
      </c>
      <c r="D289" s="4" t="s">
        <v>22</v>
      </c>
      <c r="E289" s="4" t="s">
        <v>708</v>
      </c>
      <c r="F289" s="4" t="s">
        <v>725</v>
      </c>
      <c r="G289" s="5" t="n">
        <v>32</v>
      </c>
      <c r="H289" s="5" t="s">
        <v>737</v>
      </c>
      <c r="I289" s="4" t="s">
        <v>1133</v>
      </c>
      <c r="J289" s="4" t="s">
        <v>115</v>
      </c>
    </row>
    <row r="290" customFormat="false" ht="15" hidden="false" customHeight="false" outlineLevel="0" collapsed="false">
      <c r="A290" s="5" t="n">
        <v>41920</v>
      </c>
      <c r="B290" s="5" t="s">
        <v>66</v>
      </c>
      <c r="C290" s="5" t="s">
        <v>515</v>
      </c>
      <c r="D290" s="4" t="s">
        <v>22</v>
      </c>
      <c r="E290" s="4" t="s">
        <v>708</v>
      </c>
      <c r="F290" s="4" t="s">
        <v>725</v>
      </c>
      <c r="G290" s="5" t="n">
        <v>57</v>
      </c>
      <c r="H290" s="5" t="s">
        <v>710</v>
      </c>
      <c r="I290" s="4" t="s">
        <v>1134</v>
      </c>
      <c r="J290" s="4" t="s">
        <v>114</v>
      </c>
    </row>
    <row r="291" customFormat="false" ht="23.85" hidden="false" customHeight="false" outlineLevel="0" collapsed="false">
      <c r="A291" s="5" t="n">
        <v>41921</v>
      </c>
      <c r="B291" s="5" t="s">
        <v>66</v>
      </c>
      <c r="C291" s="5" t="s">
        <v>1135</v>
      </c>
      <c r="D291" s="4" t="s">
        <v>22</v>
      </c>
      <c r="E291" s="4" t="s">
        <v>708</v>
      </c>
      <c r="F291" s="4" t="s">
        <v>725</v>
      </c>
      <c r="G291" s="5" t="n">
        <v>18</v>
      </c>
      <c r="H291" s="5" t="s">
        <v>726</v>
      </c>
      <c r="I291" s="4" t="s">
        <v>1136</v>
      </c>
      <c r="J291" s="4" t="s">
        <v>117</v>
      </c>
    </row>
    <row r="292" customFormat="false" ht="15" hidden="false" customHeight="false" outlineLevel="0" collapsed="false">
      <c r="A292" s="5" t="n">
        <v>41583</v>
      </c>
      <c r="B292" s="5" t="s">
        <v>66</v>
      </c>
      <c r="C292" s="5" t="s">
        <v>1137</v>
      </c>
      <c r="D292" s="4" t="s">
        <v>24</v>
      </c>
      <c r="E292" s="4" t="s">
        <v>708</v>
      </c>
      <c r="F292" s="4" t="s">
        <v>742</v>
      </c>
      <c r="G292" s="5" t="n">
        <v>99</v>
      </c>
      <c r="H292" s="5" t="s">
        <v>710</v>
      </c>
      <c r="I292" s="4" t="s">
        <v>1138</v>
      </c>
      <c r="J292" s="4" t="s">
        <v>114</v>
      </c>
    </row>
    <row r="293" customFormat="false" ht="15" hidden="false" customHeight="false" outlineLevel="0" collapsed="false">
      <c r="A293" s="5" t="n">
        <v>40275</v>
      </c>
      <c r="B293" s="5" t="s">
        <v>66</v>
      </c>
      <c r="C293" s="5" t="s">
        <v>1139</v>
      </c>
      <c r="D293" s="4" t="s">
        <v>24</v>
      </c>
      <c r="E293" s="4" t="s">
        <v>708</v>
      </c>
      <c r="F293" s="4" t="s">
        <v>734</v>
      </c>
      <c r="G293" s="5" t="n">
        <v>112</v>
      </c>
      <c r="H293" s="5" t="s">
        <v>710</v>
      </c>
      <c r="I293" s="4" t="s">
        <v>1140</v>
      </c>
      <c r="J293" s="4" t="s">
        <v>114</v>
      </c>
    </row>
    <row r="294" customFormat="false" ht="15" hidden="false" customHeight="false" outlineLevel="0" collapsed="false">
      <c r="A294" s="5" t="n">
        <v>39864</v>
      </c>
      <c r="B294" s="5" t="s">
        <v>66</v>
      </c>
      <c r="C294" s="5" t="s">
        <v>1141</v>
      </c>
      <c r="D294" s="4" t="s">
        <v>24</v>
      </c>
      <c r="E294" s="4" t="s">
        <v>708</v>
      </c>
      <c r="F294" s="4" t="s">
        <v>734</v>
      </c>
      <c r="G294" s="5" t="n">
        <v>80</v>
      </c>
      <c r="H294" s="5" t="s">
        <v>710</v>
      </c>
      <c r="I294" s="4" t="s">
        <v>1142</v>
      </c>
      <c r="J294" s="4" t="s">
        <v>114</v>
      </c>
    </row>
    <row r="295" customFormat="false" ht="15" hidden="false" customHeight="false" outlineLevel="0" collapsed="false">
      <c r="A295" s="5" t="n">
        <v>41929</v>
      </c>
      <c r="B295" s="5" t="s">
        <v>66</v>
      </c>
      <c r="C295" s="5" t="s">
        <v>524</v>
      </c>
      <c r="D295" s="4" t="s">
        <v>26</v>
      </c>
      <c r="E295" s="4" t="s">
        <v>869</v>
      </c>
      <c r="F295" s="4"/>
      <c r="G295" s="5" t="n">
        <v>0</v>
      </c>
      <c r="H295" s="5" t="s">
        <v>726</v>
      </c>
      <c r="I295" s="4"/>
      <c r="J295" s="4" t="s">
        <v>116</v>
      </c>
    </row>
    <row r="296" customFormat="false" ht="15" hidden="false" customHeight="false" outlineLevel="0" collapsed="false">
      <c r="A296" s="5" t="n">
        <v>41929</v>
      </c>
      <c r="B296" s="5" t="s">
        <v>66</v>
      </c>
      <c r="C296" s="5" t="s">
        <v>1143</v>
      </c>
      <c r="D296" s="4" t="s">
        <v>26</v>
      </c>
      <c r="E296" s="4" t="s">
        <v>708</v>
      </c>
      <c r="F296" s="4" t="s">
        <v>734</v>
      </c>
      <c r="G296" s="5" t="n">
        <v>125</v>
      </c>
      <c r="H296" s="5" t="s">
        <v>710</v>
      </c>
      <c r="I296" s="4" t="s">
        <v>1144</v>
      </c>
      <c r="J296" s="4" t="s">
        <v>114</v>
      </c>
    </row>
    <row r="297" customFormat="false" ht="15" hidden="false" customHeight="false" outlineLevel="0" collapsed="false">
      <c r="A297" s="5" t="n">
        <v>36940</v>
      </c>
      <c r="B297" s="5" t="s">
        <v>66</v>
      </c>
      <c r="C297" s="5" t="s">
        <v>1145</v>
      </c>
      <c r="D297" s="4" t="s">
        <v>26</v>
      </c>
      <c r="E297" s="4" t="s">
        <v>708</v>
      </c>
      <c r="F297" s="4" t="s">
        <v>734</v>
      </c>
      <c r="G297" s="5" t="n">
        <v>143</v>
      </c>
      <c r="H297" s="5" t="s">
        <v>710</v>
      </c>
      <c r="I297" s="4" t="s">
        <v>1146</v>
      </c>
      <c r="J297" s="4" t="s">
        <v>114</v>
      </c>
    </row>
    <row r="298" customFormat="false" ht="15" hidden="false" customHeight="false" outlineLevel="0" collapsed="false">
      <c r="A298" s="5" t="n">
        <v>35913</v>
      </c>
      <c r="B298" s="5" t="s">
        <v>66</v>
      </c>
      <c r="C298" s="5" t="s">
        <v>1147</v>
      </c>
      <c r="D298" s="4" t="s">
        <v>26</v>
      </c>
      <c r="E298" s="4" t="s">
        <v>708</v>
      </c>
      <c r="F298" s="4" t="s">
        <v>734</v>
      </c>
      <c r="G298" s="5" t="n">
        <v>120</v>
      </c>
      <c r="H298" s="5" t="s">
        <v>710</v>
      </c>
      <c r="I298" s="4" t="s">
        <v>1148</v>
      </c>
      <c r="J298" s="4" t="s">
        <v>114</v>
      </c>
    </row>
    <row r="299" customFormat="false" ht="15" hidden="false" customHeight="false" outlineLevel="0" collapsed="false">
      <c r="A299" s="5" t="n">
        <v>36576</v>
      </c>
      <c r="B299" s="5" t="s">
        <v>66</v>
      </c>
      <c r="C299" s="5" t="s">
        <v>833</v>
      </c>
      <c r="D299" s="4" t="s">
        <v>26</v>
      </c>
      <c r="E299" s="4" t="s">
        <v>708</v>
      </c>
      <c r="F299" s="4" t="s">
        <v>725</v>
      </c>
      <c r="G299" s="5" t="n">
        <v>119</v>
      </c>
      <c r="H299" s="5" t="s">
        <v>710</v>
      </c>
      <c r="I299" s="4" t="s">
        <v>1149</v>
      </c>
      <c r="J299" s="4" t="s">
        <v>114</v>
      </c>
    </row>
    <row r="300" customFormat="false" ht="15" hidden="false" customHeight="false" outlineLevel="0" collapsed="false">
      <c r="A300" s="5" t="n">
        <v>36093</v>
      </c>
      <c r="B300" s="5" t="s">
        <v>66</v>
      </c>
      <c r="C300" s="5" t="s">
        <v>829</v>
      </c>
      <c r="D300" s="4" t="s">
        <v>26</v>
      </c>
      <c r="E300" s="4" t="s">
        <v>708</v>
      </c>
      <c r="F300" s="4" t="s">
        <v>742</v>
      </c>
      <c r="G300" s="5" t="n">
        <v>76</v>
      </c>
      <c r="H300" s="5" t="s">
        <v>710</v>
      </c>
      <c r="I300" s="4" t="s">
        <v>1150</v>
      </c>
      <c r="J300" s="4" t="s">
        <v>114</v>
      </c>
    </row>
    <row r="301" customFormat="false" ht="15" hidden="false" customHeight="false" outlineLevel="0" collapsed="false">
      <c r="A301" s="5" t="n">
        <v>41936</v>
      </c>
      <c r="B301" s="5" t="s">
        <v>66</v>
      </c>
      <c r="C301" s="5" t="s">
        <v>1073</v>
      </c>
      <c r="D301" s="4" t="s">
        <v>26</v>
      </c>
      <c r="E301" s="4" t="s">
        <v>708</v>
      </c>
      <c r="F301" s="4" t="s">
        <v>742</v>
      </c>
      <c r="G301" s="5" t="n">
        <v>76</v>
      </c>
      <c r="H301" s="5" t="s">
        <v>710</v>
      </c>
      <c r="I301" s="4" t="s">
        <v>1151</v>
      </c>
      <c r="J301" s="4" t="s">
        <v>114</v>
      </c>
    </row>
    <row r="302" customFormat="false" ht="15" hidden="false" customHeight="false" outlineLevel="0" collapsed="false">
      <c r="A302" s="5" t="n">
        <v>41936</v>
      </c>
      <c r="B302" s="5" t="s">
        <v>66</v>
      </c>
      <c r="C302" s="5" t="s">
        <v>1152</v>
      </c>
      <c r="D302" s="4" t="s">
        <v>26</v>
      </c>
      <c r="E302" s="4" t="s">
        <v>869</v>
      </c>
      <c r="F302" s="4"/>
      <c r="G302" s="5" t="n">
        <v>0</v>
      </c>
      <c r="H302" s="5" t="s">
        <v>726</v>
      </c>
      <c r="I302" s="4"/>
      <c r="J302" s="4" t="s">
        <v>116</v>
      </c>
    </row>
    <row r="303" customFormat="false" ht="15" hidden="false" customHeight="false" outlineLevel="0" collapsed="false">
      <c r="A303" s="5" t="n">
        <v>41517</v>
      </c>
      <c r="B303" s="5" t="s">
        <v>66</v>
      </c>
      <c r="C303" s="5" t="s">
        <v>1153</v>
      </c>
      <c r="D303" s="4" t="s">
        <v>26</v>
      </c>
      <c r="E303" s="4" t="s">
        <v>708</v>
      </c>
      <c r="F303" s="4" t="s">
        <v>734</v>
      </c>
      <c r="G303" s="5" t="n">
        <v>176</v>
      </c>
      <c r="H303" s="5" t="s">
        <v>710</v>
      </c>
      <c r="I303" s="4" t="s">
        <v>1154</v>
      </c>
      <c r="J303" s="4" t="s">
        <v>114</v>
      </c>
    </row>
    <row r="304" customFormat="false" ht="15" hidden="false" customHeight="false" outlineLevel="0" collapsed="false">
      <c r="A304" s="5" t="n">
        <v>41684</v>
      </c>
      <c r="B304" s="5" t="s">
        <v>66</v>
      </c>
      <c r="C304" s="5" t="s">
        <v>1155</v>
      </c>
      <c r="D304" s="4" t="s">
        <v>26</v>
      </c>
      <c r="E304" s="4" t="s">
        <v>708</v>
      </c>
      <c r="F304" s="4" t="s">
        <v>742</v>
      </c>
      <c r="G304" s="5" t="n">
        <v>117</v>
      </c>
      <c r="H304" s="5" t="s">
        <v>710</v>
      </c>
      <c r="I304" s="4" t="s">
        <v>1156</v>
      </c>
      <c r="J304" s="4" t="s">
        <v>114</v>
      </c>
    </row>
    <row r="305" customFormat="false" ht="15" hidden="false" customHeight="false" outlineLevel="0" collapsed="false">
      <c r="A305" s="5" t="n">
        <v>41634</v>
      </c>
      <c r="B305" s="5" t="s">
        <v>66</v>
      </c>
      <c r="C305" s="5" t="s">
        <v>224</v>
      </c>
      <c r="D305" s="4" t="s">
        <v>26</v>
      </c>
      <c r="E305" s="4" t="s">
        <v>708</v>
      </c>
      <c r="F305" s="4" t="s">
        <v>725</v>
      </c>
      <c r="G305" s="5" t="n">
        <v>73</v>
      </c>
      <c r="H305" s="5" t="s">
        <v>710</v>
      </c>
      <c r="I305" s="4" t="s">
        <v>1157</v>
      </c>
      <c r="J305" s="4" t="s">
        <v>114</v>
      </c>
    </row>
    <row r="306" customFormat="false" ht="15" hidden="false" customHeight="false" outlineLevel="0" collapsed="false">
      <c r="A306" s="5" t="n">
        <v>41940</v>
      </c>
      <c r="B306" s="5" t="s">
        <v>66</v>
      </c>
      <c r="C306" s="5" t="s">
        <v>540</v>
      </c>
      <c r="D306" s="4" t="s">
        <v>30</v>
      </c>
      <c r="E306" s="4" t="s">
        <v>708</v>
      </c>
      <c r="F306" s="4" t="s">
        <v>709</v>
      </c>
      <c r="G306" s="5" t="n">
        <v>100</v>
      </c>
      <c r="H306" s="5" t="s">
        <v>710</v>
      </c>
      <c r="I306" s="4" t="s">
        <v>1158</v>
      </c>
      <c r="J306" s="4" t="s">
        <v>114</v>
      </c>
    </row>
    <row r="307" customFormat="false" ht="15" hidden="false" customHeight="false" outlineLevel="0" collapsed="false">
      <c r="A307" s="5" t="n">
        <v>41941</v>
      </c>
      <c r="B307" s="5" t="s">
        <v>66</v>
      </c>
      <c r="C307" s="5" t="s">
        <v>974</v>
      </c>
      <c r="D307" s="4" t="s">
        <v>30</v>
      </c>
      <c r="E307" s="4" t="s">
        <v>708</v>
      </c>
      <c r="F307" s="4" t="s">
        <v>709</v>
      </c>
      <c r="G307" s="5" t="n">
        <v>74</v>
      </c>
      <c r="H307" s="5" t="s">
        <v>710</v>
      </c>
      <c r="I307" s="4" t="s">
        <v>1159</v>
      </c>
      <c r="J307" s="4" t="s">
        <v>114</v>
      </c>
    </row>
    <row r="308" customFormat="false" ht="15" hidden="false" customHeight="false" outlineLevel="0" collapsed="false">
      <c r="A308" s="5" t="n">
        <v>41943</v>
      </c>
      <c r="B308" s="5" t="s">
        <v>66</v>
      </c>
      <c r="C308" s="5" t="s">
        <v>542</v>
      </c>
      <c r="D308" s="4" t="s">
        <v>30</v>
      </c>
      <c r="E308" s="4" t="s">
        <v>708</v>
      </c>
      <c r="F308" s="4" t="s">
        <v>709</v>
      </c>
      <c r="G308" s="5" t="n">
        <v>65</v>
      </c>
      <c r="H308" s="5" t="s">
        <v>710</v>
      </c>
      <c r="I308" s="4" t="s">
        <v>1160</v>
      </c>
      <c r="J308" s="4" t="s">
        <v>114</v>
      </c>
    </row>
    <row r="309" customFormat="false" ht="15" hidden="false" customHeight="false" outlineLevel="0" collapsed="false">
      <c r="A309" s="5" t="n">
        <v>41944</v>
      </c>
      <c r="B309" s="5" t="s">
        <v>66</v>
      </c>
      <c r="C309" s="5" t="s">
        <v>1161</v>
      </c>
      <c r="D309" s="4" t="s">
        <v>34</v>
      </c>
      <c r="E309" s="4" t="s">
        <v>708</v>
      </c>
      <c r="F309" s="4" t="s">
        <v>742</v>
      </c>
      <c r="G309" s="5" t="n">
        <v>67</v>
      </c>
      <c r="H309" s="5" t="s">
        <v>710</v>
      </c>
      <c r="I309" s="4" t="s">
        <v>1162</v>
      </c>
      <c r="J309" s="4" t="s">
        <v>114</v>
      </c>
    </row>
    <row r="310" customFormat="false" ht="15" hidden="false" customHeight="false" outlineLevel="0" collapsed="false">
      <c r="A310" s="5" t="n">
        <v>41945</v>
      </c>
      <c r="B310" s="5" t="s">
        <v>66</v>
      </c>
      <c r="C310" s="5" t="s">
        <v>1161</v>
      </c>
      <c r="D310" s="4" t="s">
        <v>30</v>
      </c>
      <c r="E310" s="4" t="s">
        <v>708</v>
      </c>
      <c r="F310" s="4" t="s">
        <v>709</v>
      </c>
      <c r="G310" s="5" t="n">
        <v>47</v>
      </c>
      <c r="H310" s="5" t="s">
        <v>710</v>
      </c>
      <c r="I310" s="4" t="s">
        <v>1163</v>
      </c>
      <c r="J310" s="4" t="s">
        <v>114</v>
      </c>
    </row>
    <row r="311" customFormat="false" ht="15" hidden="false" customHeight="false" outlineLevel="0" collapsed="false">
      <c r="A311" s="5" t="n">
        <v>41946</v>
      </c>
      <c r="B311" s="5" t="s">
        <v>66</v>
      </c>
      <c r="C311" s="5" t="s">
        <v>241</v>
      </c>
      <c r="D311" s="4" t="s">
        <v>30</v>
      </c>
      <c r="E311" s="4" t="s">
        <v>708</v>
      </c>
      <c r="F311" s="4" t="s">
        <v>709</v>
      </c>
      <c r="G311" s="5" t="n">
        <v>38</v>
      </c>
      <c r="H311" s="5" t="s">
        <v>737</v>
      </c>
      <c r="I311" s="4" t="s">
        <v>1164</v>
      </c>
      <c r="J311" s="4" t="s">
        <v>115</v>
      </c>
    </row>
    <row r="312" customFormat="false" ht="15" hidden="false" customHeight="false" outlineLevel="0" collapsed="false">
      <c r="A312" s="5" t="n">
        <v>41947</v>
      </c>
      <c r="B312" s="5" t="s">
        <v>66</v>
      </c>
      <c r="C312" s="5" t="s">
        <v>1165</v>
      </c>
      <c r="D312" s="4" t="s">
        <v>30</v>
      </c>
      <c r="E312" s="4" t="s">
        <v>708</v>
      </c>
      <c r="F312" s="4" t="s">
        <v>734</v>
      </c>
      <c r="G312" s="5" t="n">
        <v>54</v>
      </c>
      <c r="H312" s="5" t="s">
        <v>710</v>
      </c>
      <c r="I312" s="4" t="s">
        <v>1166</v>
      </c>
      <c r="J312" s="4" t="s">
        <v>114</v>
      </c>
    </row>
    <row r="313" customFormat="false" ht="15" hidden="false" customHeight="false" outlineLevel="0" collapsed="false">
      <c r="A313" s="5" t="n">
        <v>41069</v>
      </c>
      <c r="B313" s="5" t="s">
        <v>66</v>
      </c>
      <c r="C313" s="5" t="s">
        <v>1167</v>
      </c>
      <c r="D313" s="4" t="s">
        <v>26</v>
      </c>
      <c r="E313" s="4" t="s">
        <v>708</v>
      </c>
      <c r="F313" s="4" t="s">
        <v>734</v>
      </c>
      <c r="G313" s="5" t="n">
        <v>156</v>
      </c>
      <c r="H313" s="5" t="s">
        <v>710</v>
      </c>
      <c r="I313" s="4" t="s">
        <v>1168</v>
      </c>
      <c r="J313" s="4" t="s">
        <v>114</v>
      </c>
    </row>
    <row r="314" customFormat="false" ht="15" hidden="false" customHeight="false" outlineLevel="0" collapsed="false">
      <c r="A314" s="5" t="n">
        <v>41068</v>
      </c>
      <c r="B314" s="5" t="s">
        <v>66</v>
      </c>
      <c r="C314" s="5" t="s">
        <v>1169</v>
      </c>
      <c r="D314" s="4" t="s">
        <v>26</v>
      </c>
      <c r="E314" s="4" t="s">
        <v>708</v>
      </c>
      <c r="F314" s="4" t="s">
        <v>734</v>
      </c>
      <c r="G314" s="5" t="n">
        <v>79</v>
      </c>
      <c r="H314" s="5" t="s">
        <v>710</v>
      </c>
      <c r="I314" s="4" t="s">
        <v>1170</v>
      </c>
      <c r="J314" s="4" t="s">
        <v>114</v>
      </c>
    </row>
    <row r="315" customFormat="false" ht="15" hidden="false" customHeight="false" outlineLevel="0" collapsed="false">
      <c r="A315" s="5" t="n">
        <v>41948</v>
      </c>
      <c r="B315" s="5" t="s">
        <v>66</v>
      </c>
      <c r="C315" s="5" t="s">
        <v>299</v>
      </c>
      <c r="D315" s="4" t="s">
        <v>20</v>
      </c>
      <c r="E315" s="4" t="s">
        <v>708</v>
      </c>
      <c r="F315" s="4" t="s">
        <v>734</v>
      </c>
      <c r="G315" s="5" t="n">
        <v>99</v>
      </c>
      <c r="H315" s="5" t="s">
        <v>710</v>
      </c>
      <c r="I315" s="4" t="s">
        <v>1171</v>
      </c>
      <c r="J315" s="4" t="s">
        <v>114</v>
      </c>
    </row>
    <row r="316" customFormat="false" ht="15" hidden="false" customHeight="false" outlineLevel="0" collapsed="false">
      <c r="A316" s="5" t="n">
        <v>41949</v>
      </c>
      <c r="B316" s="5" t="s">
        <v>66</v>
      </c>
      <c r="C316" s="5" t="s">
        <v>309</v>
      </c>
      <c r="D316" s="4" t="s">
        <v>20</v>
      </c>
      <c r="E316" s="4" t="s">
        <v>708</v>
      </c>
      <c r="F316" s="4" t="s">
        <v>709</v>
      </c>
      <c r="G316" s="5" t="n">
        <v>70</v>
      </c>
      <c r="H316" s="5" t="s">
        <v>710</v>
      </c>
      <c r="I316" s="4" t="s">
        <v>1172</v>
      </c>
      <c r="J316" s="4" t="s">
        <v>114</v>
      </c>
    </row>
    <row r="317" customFormat="false" ht="15" hidden="false" customHeight="false" outlineLevel="0" collapsed="false">
      <c r="A317" s="5" t="n">
        <v>41949</v>
      </c>
      <c r="B317" s="5" t="s">
        <v>66</v>
      </c>
      <c r="C317" s="5" t="s">
        <v>309</v>
      </c>
      <c r="D317" s="4" t="s">
        <v>20</v>
      </c>
      <c r="E317" s="4" t="s">
        <v>869</v>
      </c>
      <c r="F317" s="4"/>
      <c r="G317" s="5" t="n">
        <v>0</v>
      </c>
      <c r="H317" s="5" t="s">
        <v>726</v>
      </c>
      <c r="I317" s="4"/>
      <c r="J317" s="4" t="s">
        <v>116</v>
      </c>
    </row>
    <row r="318" customFormat="false" ht="15" hidden="false" customHeight="false" outlineLevel="0" collapsed="false">
      <c r="A318" s="5" t="n">
        <v>41907</v>
      </c>
      <c r="B318" s="5" t="s">
        <v>66</v>
      </c>
      <c r="C318" s="5" t="s">
        <v>422</v>
      </c>
      <c r="D318" s="4" t="s">
        <v>20</v>
      </c>
      <c r="E318" s="4" t="s">
        <v>708</v>
      </c>
      <c r="F318" s="4" t="s">
        <v>709</v>
      </c>
      <c r="G318" s="5" t="n">
        <v>85</v>
      </c>
      <c r="H318" s="5" t="s">
        <v>710</v>
      </c>
      <c r="I318" s="4" t="s">
        <v>1172</v>
      </c>
      <c r="J318" s="4" t="s">
        <v>114</v>
      </c>
    </row>
    <row r="319" customFormat="false" ht="15" hidden="false" customHeight="false" outlineLevel="0" collapsed="false">
      <c r="A319" s="5" t="n">
        <v>41950</v>
      </c>
      <c r="B319" s="5" t="s">
        <v>66</v>
      </c>
      <c r="C319" s="5" t="s">
        <v>384</v>
      </c>
      <c r="D319" s="4" t="s">
        <v>20</v>
      </c>
      <c r="E319" s="4" t="s">
        <v>708</v>
      </c>
      <c r="F319" s="4" t="s">
        <v>734</v>
      </c>
      <c r="G319" s="5" t="n">
        <v>62</v>
      </c>
      <c r="H319" s="5" t="s">
        <v>710</v>
      </c>
      <c r="I319" s="4" t="s">
        <v>1173</v>
      </c>
      <c r="J319" s="4" t="s">
        <v>114</v>
      </c>
    </row>
    <row r="320" customFormat="false" ht="15" hidden="false" customHeight="false" outlineLevel="0" collapsed="false">
      <c r="A320" s="5" t="n">
        <v>41548</v>
      </c>
      <c r="B320" s="5" t="s">
        <v>66</v>
      </c>
      <c r="C320" s="5" t="s">
        <v>864</v>
      </c>
      <c r="D320" s="4" t="s">
        <v>20</v>
      </c>
      <c r="E320" s="4" t="s">
        <v>708</v>
      </c>
      <c r="F320" s="4" t="s">
        <v>734</v>
      </c>
      <c r="G320" s="5" t="n">
        <v>64</v>
      </c>
      <c r="H320" s="5" t="s">
        <v>710</v>
      </c>
      <c r="I320" s="4" t="s">
        <v>1174</v>
      </c>
      <c r="J320" s="4" t="s">
        <v>114</v>
      </c>
    </row>
    <row r="321" customFormat="false" ht="15" hidden="false" customHeight="false" outlineLevel="0" collapsed="false">
      <c r="A321" s="5" t="n">
        <v>41951</v>
      </c>
      <c r="B321" s="5" t="s">
        <v>66</v>
      </c>
      <c r="C321" s="5" t="s">
        <v>1175</v>
      </c>
      <c r="D321" s="4" t="s">
        <v>20</v>
      </c>
      <c r="E321" s="4" t="s">
        <v>708</v>
      </c>
      <c r="F321" s="4" t="s">
        <v>734</v>
      </c>
      <c r="G321" s="5" t="n">
        <v>68</v>
      </c>
      <c r="H321" s="5" t="s">
        <v>710</v>
      </c>
      <c r="I321" s="4" t="s">
        <v>1176</v>
      </c>
      <c r="J321" s="4" t="s">
        <v>114</v>
      </c>
    </row>
    <row r="322" customFormat="false" ht="15" hidden="false" customHeight="false" outlineLevel="0" collapsed="false">
      <c r="A322" s="5" t="n">
        <v>41952</v>
      </c>
      <c r="B322" s="5" t="s">
        <v>66</v>
      </c>
      <c r="C322" s="5" t="s">
        <v>568</v>
      </c>
      <c r="D322" s="4" t="s">
        <v>32</v>
      </c>
      <c r="E322" s="4" t="s">
        <v>708</v>
      </c>
      <c r="F322" s="4" t="s">
        <v>709</v>
      </c>
      <c r="G322" s="5" t="n">
        <v>86</v>
      </c>
      <c r="H322" s="5" t="s">
        <v>710</v>
      </c>
      <c r="I322" s="4" t="s">
        <v>1177</v>
      </c>
      <c r="J322" s="4" t="s">
        <v>114</v>
      </c>
    </row>
    <row r="323" customFormat="false" ht="15" hidden="false" customHeight="false" outlineLevel="0" collapsed="false">
      <c r="A323" s="5" t="n">
        <v>41953</v>
      </c>
      <c r="B323" s="5" t="s">
        <v>66</v>
      </c>
      <c r="C323" s="5" t="s">
        <v>1178</v>
      </c>
      <c r="D323" s="4" t="s">
        <v>32</v>
      </c>
      <c r="E323" s="4" t="s">
        <v>708</v>
      </c>
      <c r="F323" s="4" t="s">
        <v>725</v>
      </c>
      <c r="G323" s="5" t="n">
        <v>90</v>
      </c>
      <c r="H323" s="5" t="s">
        <v>710</v>
      </c>
      <c r="I323" s="4" t="s">
        <v>1179</v>
      </c>
      <c r="J323" s="4" t="s">
        <v>114</v>
      </c>
    </row>
    <row r="324" customFormat="false" ht="15" hidden="false" customHeight="false" outlineLevel="0" collapsed="false">
      <c r="A324" s="5" t="n">
        <v>9025</v>
      </c>
      <c r="B324" s="5" t="s">
        <v>66</v>
      </c>
      <c r="C324" s="5" t="s">
        <v>1180</v>
      </c>
      <c r="D324" s="4" t="s">
        <v>32</v>
      </c>
      <c r="E324" s="4" t="s">
        <v>708</v>
      </c>
      <c r="F324" s="4" t="s">
        <v>709</v>
      </c>
      <c r="G324" s="5" t="n">
        <v>97</v>
      </c>
      <c r="H324" s="5" t="s">
        <v>710</v>
      </c>
      <c r="I324" s="4" t="s">
        <v>1181</v>
      </c>
      <c r="J324" s="4" t="s">
        <v>114</v>
      </c>
    </row>
    <row r="325" customFormat="false" ht="15" hidden="false" customHeight="false" outlineLevel="0" collapsed="false">
      <c r="A325" s="5" t="n">
        <v>41954</v>
      </c>
      <c r="B325" s="5" t="s">
        <v>66</v>
      </c>
      <c r="C325" s="5" t="s">
        <v>1182</v>
      </c>
      <c r="D325" s="4" t="s">
        <v>32</v>
      </c>
      <c r="E325" s="4" t="s">
        <v>708</v>
      </c>
      <c r="F325" s="4" t="s">
        <v>709</v>
      </c>
      <c r="G325" s="5" t="n">
        <v>49</v>
      </c>
      <c r="H325" s="5" t="s">
        <v>710</v>
      </c>
      <c r="I325" s="4" t="s">
        <v>1183</v>
      </c>
      <c r="J325" s="4" t="s">
        <v>114</v>
      </c>
    </row>
    <row r="326" customFormat="false" ht="15" hidden="false" customHeight="false" outlineLevel="0" collapsed="false">
      <c r="A326" s="5" t="n">
        <v>41955</v>
      </c>
      <c r="B326" s="5" t="s">
        <v>66</v>
      </c>
      <c r="C326" s="5" t="s">
        <v>1184</v>
      </c>
      <c r="D326" s="4" t="s">
        <v>32</v>
      </c>
      <c r="E326" s="4" t="s">
        <v>708</v>
      </c>
      <c r="F326" s="4" t="s">
        <v>709</v>
      </c>
      <c r="G326" s="5" t="n">
        <v>111</v>
      </c>
      <c r="H326" s="5" t="s">
        <v>710</v>
      </c>
      <c r="I326" s="4" t="s">
        <v>1185</v>
      </c>
      <c r="J326" s="4" t="s">
        <v>114</v>
      </c>
    </row>
    <row r="327" customFormat="false" ht="15" hidden="false" customHeight="false" outlineLevel="0" collapsed="false">
      <c r="A327" s="5" t="n">
        <v>41956</v>
      </c>
      <c r="B327" s="5" t="s">
        <v>67</v>
      </c>
      <c r="C327" s="5" t="s">
        <v>597</v>
      </c>
      <c r="D327" s="4" t="s">
        <v>18</v>
      </c>
      <c r="E327" s="4" t="s">
        <v>708</v>
      </c>
      <c r="F327" s="4" t="s">
        <v>734</v>
      </c>
      <c r="G327" s="5" t="n">
        <v>196</v>
      </c>
      <c r="H327" s="5" t="s">
        <v>710</v>
      </c>
      <c r="I327" s="4" t="s">
        <v>1186</v>
      </c>
      <c r="J327" s="4" t="s">
        <v>114</v>
      </c>
    </row>
    <row r="328" customFormat="false" ht="15" hidden="false" customHeight="false" outlineLevel="0" collapsed="false">
      <c r="A328" s="5" t="n">
        <v>40016</v>
      </c>
      <c r="B328" s="5" t="s">
        <v>67</v>
      </c>
      <c r="C328" s="5" t="s">
        <v>1139</v>
      </c>
      <c r="D328" s="4" t="s">
        <v>18</v>
      </c>
      <c r="E328" s="4" t="s">
        <v>708</v>
      </c>
      <c r="F328" s="4" t="s">
        <v>734</v>
      </c>
      <c r="G328" s="5" t="n">
        <v>127</v>
      </c>
      <c r="H328" s="5" t="s">
        <v>710</v>
      </c>
      <c r="I328" s="4" t="s">
        <v>1187</v>
      </c>
      <c r="J328" s="4" t="s">
        <v>114</v>
      </c>
    </row>
    <row r="329" customFormat="false" ht="15" hidden="false" customHeight="false" outlineLevel="0" collapsed="false">
      <c r="A329" s="5" t="n">
        <v>39623</v>
      </c>
      <c r="B329" s="5" t="s">
        <v>67</v>
      </c>
      <c r="C329" s="5" t="s">
        <v>1141</v>
      </c>
      <c r="D329" s="4" t="s">
        <v>18</v>
      </c>
      <c r="E329" s="4" t="s">
        <v>708</v>
      </c>
      <c r="F329" s="4" t="s">
        <v>734</v>
      </c>
      <c r="G329" s="5" t="n">
        <v>75</v>
      </c>
      <c r="H329" s="5" t="s">
        <v>710</v>
      </c>
      <c r="I329" s="4" t="s">
        <v>1188</v>
      </c>
      <c r="J329" s="4" t="s">
        <v>114</v>
      </c>
    </row>
    <row r="330" customFormat="false" ht="15" hidden="false" customHeight="false" outlineLevel="0" collapsed="false">
      <c r="A330" s="5" t="n">
        <v>41957</v>
      </c>
      <c r="B330" s="5" t="s">
        <v>67</v>
      </c>
      <c r="C330" s="5" t="s">
        <v>583</v>
      </c>
      <c r="D330" s="4" t="s">
        <v>18</v>
      </c>
      <c r="E330" s="4" t="s">
        <v>708</v>
      </c>
      <c r="F330" s="4" t="s">
        <v>734</v>
      </c>
      <c r="G330" s="5" t="n">
        <v>30</v>
      </c>
      <c r="H330" s="5" t="s">
        <v>737</v>
      </c>
      <c r="I330" s="4" t="s">
        <v>1189</v>
      </c>
      <c r="J330" s="4" t="s">
        <v>115</v>
      </c>
    </row>
    <row r="331" customFormat="false" ht="15" hidden="false" customHeight="false" outlineLevel="0" collapsed="false">
      <c r="A331" s="5" t="n">
        <v>41739</v>
      </c>
      <c r="B331" s="5" t="s">
        <v>67</v>
      </c>
      <c r="C331" s="5" t="s">
        <v>1190</v>
      </c>
      <c r="D331" s="4" t="s">
        <v>18</v>
      </c>
      <c r="E331" s="4" t="s">
        <v>708</v>
      </c>
      <c r="F331" s="4" t="s">
        <v>734</v>
      </c>
      <c r="G331" s="5" t="n">
        <v>79</v>
      </c>
      <c r="H331" s="5" t="s">
        <v>710</v>
      </c>
      <c r="I331" s="4" t="s">
        <v>1191</v>
      </c>
      <c r="J331" s="4" t="s">
        <v>114</v>
      </c>
    </row>
    <row r="332" customFormat="false" ht="15" hidden="false" customHeight="false" outlineLevel="0" collapsed="false">
      <c r="A332" s="5" t="n">
        <v>41958</v>
      </c>
      <c r="B332" s="5" t="s">
        <v>67</v>
      </c>
      <c r="C332" s="5" t="s">
        <v>587</v>
      </c>
      <c r="D332" s="4" t="s">
        <v>18</v>
      </c>
      <c r="E332" s="4" t="s">
        <v>708</v>
      </c>
      <c r="F332" s="4" t="s">
        <v>734</v>
      </c>
      <c r="G332" s="5" t="n">
        <v>73</v>
      </c>
      <c r="H332" s="5" t="s">
        <v>710</v>
      </c>
      <c r="I332" s="4" t="s">
        <v>1192</v>
      </c>
      <c r="J332" s="4" t="s">
        <v>114</v>
      </c>
    </row>
    <row r="333" customFormat="false" ht="15" hidden="false" customHeight="false" outlineLevel="0" collapsed="false">
      <c r="A333" s="5" t="n">
        <v>41959</v>
      </c>
      <c r="B333" s="5" t="s">
        <v>67</v>
      </c>
      <c r="C333" s="5" t="s">
        <v>880</v>
      </c>
      <c r="D333" s="4" t="s">
        <v>28</v>
      </c>
      <c r="E333" s="4" t="s">
        <v>708</v>
      </c>
      <c r="F333" s="4" t="s">
        <v>734</v>
      </c>
      <c r="G333" s="5" t="n">
        <v>65</v>
      </c>
      <c r="H333" s="5" t="s">
        <v>710</v>
      </c>
      <c r="I333" s="4" t="s">
        <v>1193</v>
      </c>
      <c r="J333" s="4" t="s">
        <v>114</v>
      </c>
    </row>
    <row r="334" customFormat="false" ht="15" hidden="false" customHeight="false" outlineLevel="0" collapsed="false">
      <c r="A334" s="5" t="n">
        <v>34152</v>
      </c>
      <c r="B334" s="5" t="s">
        <v>67</v>
      </c>
      <c r="C334" s="5" t="s">
        <v>1194</v>
      </c>
      <c r="D334" s="4" t="s">
        <v>28</v>
      </c>
      <c r="E334" s="4" t="s">
        <v>708</v>
      </c>
      <c r="F334" s="4" t="s">
        <v>734</v>
      </c>
      <c r="G334" s="5" t="n">
        <v>81</v>
      </c>
      <c r="H334" s="5" t="s">
        <v>710</v>
      </c>
      <c r="I334" s="4" t="s">
        <v>1195</v>
      </c>
      <c r="J334" s="4" t="s">
        <v>114</v>
      </c>
    </row>
    <row r="335" customFormat="false" ht="15" hidden="false" customHeight="false" outlineLevel="0" collapsed="false">
      <c r="A335" s="5" t="n">
        <v>9505</v>
      </c>
      <c r="B335" s="5" t="s">
        <v>67</v>
      </c>
      <c r="C335" s="5" t="s">
        <v>882</v>
      </c>
      <c r="D335" s="4" t="s">
        <v>28</v>
      </c>
      <c r="E335" s="4" t="s">
        <v>708</v>
      </c>
      <c r="F335" s="4" t="s">
        <v>734</v>
      </c>
      <c r="G335" s="5" t="n">
        <v>107</v>
      </c>
      <c r="H335" s="5" t="s">
        <v>710</v>
      </c>
      <c r="I335" s="4" t="s">
        <v>1196</v>
      </c>
      <c r="J335" s="4" t="s">
        <v>114</v>
      </c>
    </row>
    <row r="336" customFormat="false" ht="15" hidden="false" customHeight="false" outlineLevel="0" collapsed="false">
      <c r="A336" s="5" t="n">
        <v>35287</v>
      </c>
      <c r="B336" s="5" t="s">
        <v>67</v>
      </c>
      <c r="C336" s="5" t="s">
        <v>1032</v>
      </c>
      <c r="D336" s="4" t="s">
        <v>28</v>
      </c>
      <c r="E336" s="4" t="s">
        <v>708</v>
      </c>
      <c r="F336" s="4" t="s">
        <v>734</v>
      </c>
      <c r="G336" s="5" t="n">
        <v>84</v>
      </c>
      <c r="H336" s="5" t="s">
        <v>710</v>
      </c>
      <c r="I336" s="4" t="s">
        <v>1197</v>
      </c>
      <c r="J336" s="4" t="s">
        <v>114</v>
      </c>
    </row>
    <row r="337" customFormat="false" ht="15" hidden="false" customHeight="false" outlineLevel="0" collapsed="false">
      <c r="A337" s="5" t="n">
        <v>41740</v>
      </c>
      <c r="B337" s="5" t="s">
        <v>67</v>
      </c>
      <c r="C337" s="5" t="s">
        <v>1198</v>
      </c>
      <c r="D337" s="4" t="s">
        <v>28</v>
      </c>
      <c r="E337" s="4" t="s">
        <v>708</v>
      </c>
      <c r="F337" s="4" t="s">
        <v>734</v>
      </c>
      <c r="G337" s="5" t="n">
        <v>61</v>
      </c>
      <c r="H337" s="5" t="s">
        <v>710</v>
      </c>
      <c r="I337" s="4" t="s">
        <v>1199</v>
      </c>
      <c r="J337" s="4" t="s">
        <v>114</v>
      </c>
    </row>
    <row r="338" customFormat="false" ht="15" hidden="false" customHeight="false" outlineLevel="0" collapsed="false">
      <c r="A338" s="5" t="n">
        <v>41397</v>
      </c>
      <c r="B338" s="5" t="s">
        <v>67</v>
      </c>
      <c r="C338" s="5" t="s">
        <v>1200</v>
      </c>
      <c r="D338" s="4" t="s">
        <v>28</v>
      </c>
      <c r="E338" s="4" t="s">
        <v>708</v>
      </c>
      <c r="F338" s="4" t="s">
        <v>734</v>
      </c>
      <c r="G338" s="5" t="n">
        <v>56</v>
      </c>
      <c r="H338" s="5" t="s">
        <v>710</v>
      </c>
      <c r="I338" s="4" t="s">
        <v>1201</v>
      </c>
      <c r="J338" s="4" t="s">
        <v>114</v>
      </c>
    </row>
    <row r="339" customFormat="false" ht="15" hidden="false" customHeight="false" outlineLevel="0" collapsed="false">
      <c r="A339" s="5" t="n">
        <v>41952</v>
      </c>
      <c r="B339" s="5" t="s">
        <v>68</v>
      </c>
      <c r="C339" s="5" t="s">
        <v>592</v>
      </c>
      <c r="D339" s="4" t="s">
        <v>32</v>
      </c>
      <c r="E339" s="4" t="s">
        <v>708</v>
      </c>
      <c r="F339" s="4" t="s">
        <v>709</v>
      </c>
      <c r="G339" s="5" t="n">
        <v>140</v>
      </c>
      <c r="H339" s="5" t="s">
        <v>710</v>
      </c>
      <c r="I339" s="4" t="s">
        <v>1202</v>
      </c>
      <c r="J339" s="4" t="s">
        <v>114</v>
      </c>
    </row>
    <row r="340" customFormat="false" ht="15" hidden="false" customHeight="false" outlineLevel="0" collapsed="false">
      <c r="A340" s="5" t="n">
        <v>41967</v>
      </c>
      <c r="B340" s="5" t="s">
        <v>68</v>
      </c>
      <c r="C340" s="5" t="s">
        <v>1203</v>
      </c>
      <c r="D340" s="4" t="s">
        <v>32</v>
      </c>
      <c r="E340" s="4" t="s">
        <v>708</v>
      </c>
      <c r="F340" s="4" t="s">
        <v>709</v>
      </c>
      <c r="G340" s="5" t="n">
        <v>79</v>
      </c>
      <c r="H340" s="5" t="s">
        <v>710</v>
      </c>
      <c r="I340" s="4" t="s">
        <v>1204</v>
      </c>
      <c r="J340" s="4" t="s">
        <v>114</v>
      </c>
    </row>
    <row r="341" customFormat="false" ht="15" hidden="false" customHeight="false" outlineLevel="0" collapsed="false">
      <c r="A341" s="5" t="n">
        <v>41968</v>
      </c>
      <c r="B341" s="5" t="s">
        <v>68</v>
      </c>
      <c r="C341" s="5" t="s">
        <v>579</v>
      </c>
      <c r="D341" s="4" t="s">
        <v>32</v>
      </c>
      <c r="E341" s="4" t="s">
        <v>708</v>
      </c>
      <c r="F341" s="4" t="s">
        <v>709</v>
      </c>
      <c r="G341" s="5" t="n">
        <v>96</v>
      </c>
      <c r="H341" s="5" t="s">
        <v>710</v>
      </c>
      <c r="I341" s="4" t="s">
        <v>1205</v>
      </c>
      <c r="J341" s="4" t="s">
        <v>114</v>
      </c>
    </row>
    <row r="342" customFormat="false" ht="15" hidden="false" customHeight="false" outlineLevel="0" collapsed="false">
      <c r="A342" s="5" t="n">
        <v>41969</v>
      </c>
      <c r="B342" s="5" t="s">
        <v>68</v>
      </c>
      <c r="C342" s="5" t="s">
        <v>1139</v>
      </c>
      <c r="D342" s="4" t="s">
        <v>32</v>
      </c>
      <c r="E342" s="4" t="s">
        <v>708</v>
      </c>
      <c r="F342" s="4" t="s">
        <v>709</v>
      </c>
      <c r="G342" s="5" t="n">
        <v>122</v>
      </c>
      <c r="H342" s="5" t="s">
        <v>710</v>
      </c>
      <c r="I342" s="4" t="s">
        <v>1206</v>
      </c>
      <c r="J342" s="4" t="s">
        <v>114</v>
      </c>
    </row>
    <row r="343" customFormat="false" ht="15" hidden="false" customHeight="false" outlineLevel="0" collapsed="false">
      <c r="A343" s="5" t="n">
        <v>41970</v>
      </c>
      <c r="B343" s="5" t="s">
        <v>68</v>
      </c>
      <c r="C343" s="5" t="s">
        <v>600</v>
      </c>
      <c r="D343" s="4" t="s">
        <v>32</v>
      </c>
      <c r="E343" s="4" t="s">
        <v>708</v>
      </c>
      <c r="F343" s="4" t="s">
        <v>709</v>
      </c>
      <c r="G343" s="5" t="n">
        <v>47</v>
      </c>
      <c r="H343" s="5" t="s">
        <v>710</v>
      </c>
      <c r="I343" s="4" t="s">
        <v>1207</v>
      </c>
      <c r="J343" s="4" t="s">
        <v>114</v>
      </c>
    </row>
    <row r="344" customFormat="false" ht="15" hidden="false" customHeight="false" outlineLevel="0" collapsed="false">
      <c r="A344" s="5" t="n">
        <v>41971</v>
      </c>
      <c r="B344" s="5" t="s">
        <v>68</v>
      </c>
      <c r="C344" s="5" t="s">
        <v>583</v>
      </c>
      <c r="D344" s="4" t="s">
        <v>32</v>
      </c>
      <c r="E344" s="4" t="s">
        <v>708</v>
      </c>
      <c r="F344" s="4" t="s">
        <v>709</v>
      </c>
      <c r="G344" s="5" t="n">
        <v>83</v>
      </c>
      <c r="H344" s="5" t="s">
        <v>710</v>
      </c>
      <c r="I344" s="4" t="s">
        <v>1208</v>
      </c>
      <c r="J344" s="4" t="s">
        <v>114</v>
      </c>
    </row>
    <row r="345" customFormat="false" ht="15" hidden="false" customHeight="false" outlineLevel="0" collapsed="false">
      <c r="A345" s="5" t="n">
        <v>41972</v>
      </c>
      <c r="B345" s="5" t="s">
        <v>68</v>
      </c>
      <c r="C345" s="5" t="s">
        <v>1209</v>
      </c>
      <c r="D345" s="4" t="s">
        <v>32</v>
      </c>
      <c r="E345" s="4" t="s">
        <v>708</v>
      </c>
      <c r="F345" s="4" t="s">
        <v>709</v>
      </c>
      <c r="G345" s="5" t="n">
        <v>106</v>
      </c>
      <c r="H345" s="5" t="s">
        <v>710</v>
      </c>
      <c r="I345" s="4" t="s">
        <v>1210</v>
      </c>
      <c r="J345" s="4" t="s">
        <v>114</v>
      </c>
    </row>
    <row r="346" customFormat="false" ht="15" hidden="false" customHeight="false" outlineLevel="0" collapsed="false">
      <c r="A346" s="5" t="n">
        <v>41936</v>
      </c>
      <c r="B346" s="5" t="s">
        <v>68</v>
      </c>
      <c r="C346" s="5" t="s">
        <v>1211</v>
      </c>
      <c r="D346" s="4" t="s">
        <v>26</v>
      </c>
      <c r="E346" s="4" t="s">
        <v>708</v>
      </c>
      <c r="F346" s="4" t="s">
        <v>734</v>
      </c>
      <c r="G346" s="5" t="n">
        <v>145</v>
      </c>
      <c r="H346" s="5" t="s">
        <v>710</v>
      </c>
      <c r="I346" s="4" t="s">
        <v>1212</v>
      </c>
      <c r="J346" s="4" t="s">
        <v>114</v>
      </c>
    </row>
    <row r="347" customFormat="false" ht="15" hidden="false" customHeight="false" outlineLevel="0" collapsed="false">
      <c r="A347" s="5" t="n">
        <v>41573</v>
      </c>
      <c r="B347" s="5" t="s">
        <v>68</v>
      </c>
      <c r="C347" s="5" t="s">
        <v>608</v>
      </c>
      <c r="D347" s="4" t="s">
        <v>18</v>
      </c>
      <c r="E347" s="4" t="s">
        <v>708</v>
      </c>
      <c r="F347" s="4" t="s">
        <v>734</v>
      </c>
      <c r="G347" s="5" t="n">
        <v>21</v>
      </c>
      <c r="H347" s="5" t="s">
        <v>737</v>
      </c>
      <c r="I347" s="4" t="s">
        <v>1213</v>
      </c>
      <c r="J347" s="4" t="s">
        <v>115</v>
      </c>
    </row>
    <row r="348" customFormat="false" ht="15" hidden="false" customHeight="false" outlineLevel="0" collapsed="false">
      <c r="A348" s="5" t="n">
        <v>41973</v>
      </c>
      <c r="B348" s="5" t="s">
        <v>68</v>
      </c>
      <c r="C348" s="5" t="s">
        <v>1155</v>
      </c>
      <c r="D348" s="4" t="s">
        <v>30</v>
      </c>
      <c r="E348" s="4" t="s">
        <v>708</v>
      </c>
      <c r="F348" s="4" t="s">
        <v>709</v>
      </c>
      <c r="G348" s="5" t="n">
        <v>72</v>
      </c>
      <c r="H348" s="5" t="s">
        <v>710</v>
      </c>
      <c r="I348" s="4" t="s">
        <v>1214</v>
      </c>
      <c r="J348" s="4" t="s">
        <v>114</v>
      </c>
    </row>
    <row r="349" customFormat="false" ht="15" hidden="false" customHeight="false" outlineLevel="0" collapsed="false">
      <c r="A349" s="5" t="n">
        <v>41973</v>
      </c>
      <c r="B349" s="5" t="s">
        <v>68</v>
      </c>
      <c r="C349" s="5" t="s">
        <v>1155</v>
      </c>
      <c r="D349" s="4" t="s">
        <v>30</v>
      </c>
      <c r="E349" s="4" t="s">
        <v>869</v>
      </c>
      <c r="F349" s="4"/>
      <c r="G349" s="5" t="n">
        <v>0</v>
      </c>
      <c r="H349" s="5" t="s">
        <v>726</v>
      </c>
      <c r="I349" s="4"/>
      <c r="J349" s="4" t="s">
        <v>116</v>
      </c>
    </row>
    <row r="350" customFormat="false" ht="15" hidden="false" customHeight="false" outlineLevel="0" collapsed="false">
      <c r="A350" s="5" t="n">
        <v>37924</v>
      </c>
      <c r="B350" s="5" t="s">
        <v>68</v>
      </c>
      <c r="C350" s="5" t="s">
        <v>1215</v>
      </c>
      <c r="D350" s="4" t="s">
        <v>28</v>
      </c>
      <c r="E350" s="4" t="s">
        <v>708</v>
      </c>
      <c r="F350" s="4" t="s">
        <v>709</v>
      </c>
      <c r="G350" s="5" t="n">
        <v>78</v>
      </c>
      <c r="H350" s="5" t="s">
        <v>710</v>
      </c>
      <c r="I350" s="4" t="s">
        <v>1216</v>
      </c>
      <c r="J350" s="4" t="s">
        <v>114</v>
      </c>
    </row>
    <row r="351" customFormat="false" ht="15" hidden="false" customHeight="false" outlineLevel="0" collapsed="false">
      <c r="A351" s="5" t="n">
        <v>37836</v>
      </c>
      <c r="B351" s="5" t="s">
        <v>68</v>
      </c>
      <c r="C351" s="5" t="s">
        <v>1169</v>
      </c>
      <c r="D351" s="4" t="s">
        <v>28</v>
      </c>
      <c r="E351" s="4" t="s">
        <v>708</v>
      </c>
      <c r="F351" s="4" t="s">
        <v>709</v>
      </c>
      <c r="G351" s="5" t="n">
        <v>92</v>
      </c>
      <c r="H351" s="5" t="s">
        <v>710</v>
      </c>
      <c r="I351" s="4" t="s">
        <v>1217</v>
      </c>
      <c r="J351" s="4" t="s">
        <v>114</v>
      </c>
    </row>
    <row r="352" customFormat="false" ht="15" hidden="false" customHeight="false" outlineLevel="0" collapsed="false">
      <c r="A352" s="5" t="n">
        <v>37836</v>
      </c>
      <c r="B352" s="5" t="s">
        <v>68</v>
      </c>
      <c r="C352" s="5" t="s">
        <v>760</v>
      </c>
      <c r="D352" s="4" t="s">
        <v>28</v>
      </c>
      <c r="E352" s="4" t="s">
        <v>869</v>
      </c>
      <c r="F352" s="4"/>
      <c r="G352" s="5" t="n">
        <v>0</v>
      </c>
      <c r="H352" s="5" t="s">
        <v>726</v>
      </c>
      <c r="I352" s="4"/>
      <c r="J352" s="4" t="s">
        <v>116</v>
      </c>
    </row>
    <row r="353" customFormat="false" ht="15" hidden="false" customHeight="false" outlineLevel="0" collapsed="false">
      <c r="A353" s="5" t="n">
        <v>41986</v>
      </c>
      <c r="B353" s="5" t="s">
        <v>68</v>
      </c>
      <c r="C353" s="5" t="s">
        <v>379</v>
      </c>
      <c r="D353" s="4" t="s">
        <v>30</v>
      </c>
      <c r="E353" s="4" t="s">
        <v>708</v>
      </c>
      <c r="F353" s="4" t="s">
        <v>709</v>
      </c>
      <c r="G353" s="5" t="n">
        <v>52</v>
      </c>
      <c r="H353" s="5" t="s">
        <v>710</v>
      </c>
      <c r="I353" s="4" t="s">
        <v>1218</v>
      </c>
      <c r="J353" s="4" t="s">
        <v>114</v>
      </c>
    </row>
    <row r="354" customFormat="false" ht="15" hidden="false" customHeight="false" outlineLevel="0" collapsed="false">
      <c r="A354" s="5" t="n">
        <v>41986</v>
      </c>
      <c r="B354" s="5" t="s">
        <v>68</v>
      </c>
      <c r="C354" s="5" t="s">
        <v>379</v>
      </c>
      <c r="D354" s="4" t="s">
        <v>30</v>
      </c>
      <c r="E354" s="4" t="s">
        <v>869</v>
      </c>
      <c r="F354" s="4"/>
      <c r="G354" s="5" t="n">
        <v>0</v>
      </c>
      <c r="H354" s="5" t="s">
        <v>726</v>
      </c>
      <c r="I354" s="4"/>
      <c r="J354" s="4" t="s">
        <v>116</v>
      </c>
    </row>
    <row r="355" customFormat="false" ht="15" hidden="false" customHeight="false" outlineLevel="0" collapsed="false">
      <c r="A355" s="5" t="n">
        <v>41985</v>
      </c>
      <c r="B355" s="5" t="s">
        <v>68</v>
      </c>
      <c r="C355" s="5" t="s">
        <v>307</v>
      </c>
      <c r="D355" s="4" t="s">
        <v>20</v>
      </c>
      <c r="E355" s="4" t="s">
        <v>708</v>
      </c>
      <c r="F355" s="4" t="s">
        <v>709</v>
      </c>
      <c r="G355" s="5" t="n">
        <v>60</v>
      </c>
      <c r="H355" s="5" t="s">
        <v>710</v>
      </c>
      <c r="I355" s="4" t="s">
        <v>1219</v>
      </c>
      <c r="J355" s="4" t="s">
        <v>114</v>
      </c>
    </row>
    <row r="356" customFormat="false" ht="15" hidden="false" customHeight="false" outlineLevel="0" collapsed="false">
      <c r="A356" s="5" t="n">
        <v>41985</v>
      </c>
      <c r="B356" s="5" t="s">
        <v>68</v>
      </c>
      <c r="C356" s="5" t="s">
        <v>307</v>
      </c>
      <c r="D356" s="4" t="s">
        <v>20</v>
      </c>
      <c r="E356" s="4" t="s">
        <v>869</v>
      </c>
      <c r="F356" s="4"/>
      <c r="G356" s="5" t="n">
        <v>0</v>
      </c>
      <c r="H356" s="5" t="s">
        <v>726</v>
      </c>
      <c r="I356" s="4"/>
      <c r="J356" s="4" t="s">
        <v>116</v>
      </c>
    </row>
    <row r="357" customFormat="false" ht="15" hidden="false" customHeight="false" outlineLevel="0" collapsed="false">
      <c r="A357" s="5" t="n">
        <v>41987</v>
      </c>
      <c r="B357" s="5" t="s">
        <v>68</v>
      </c>
      <c r="C357" s="5" t="s">
        <v>309</v>
      </c>
      <c r="D357" s="4" t="s">
        <v>30</v>
      </c>
      <c r="E357" s="4" t="s">
        <v>708</v>
      </c>
      <c r="F357" s="4" t="s">
        <v>709</v>
      </c>
      <c r="G357" s="5" t="n">
        <v>56</v>
      </c>
      <c r="H357" s="5" t="s">
        <v>710</v>
      </c>
      <c r="I357" s="4" t="s">
        <v>1220</v>
      </c>
      <c r="J357" s="4" t="s">
        <v>114</v>
      </c>
    </row>
    <row r="358" customFormat="false" ht="15" hidden="false" customHeight="false" outlineLevel="0" collapsed="false">
      <c r="A358" s="5" t="n">
        <v>41987</v>
      </c>
      <c r="B358" s="5" t="s">
        <v>68</v>
      </c>
      <c r="C358" s="5" t="s">
        <v>309</v>
      </c>
      <c r="D358" s="4" t="s">
        <v>30</v>
      </c>
      <c r="E358" s="4" t="s">
        <v>869</v>
      </c>
      <c r="F358" s="4"/>
      <c r="G358" s="5" t="n">
        <v>0</v>
      </c>
      <c r="H358" s="5" t="s">
        <v>726</v>
      </c>
      <c r="I358" s="4"/>
      <c r="J358" s="4" t="s">
        <v>116</v>
      </c>
    </row>
    <row r="359" customFormat="false" ht="15" hidden="false" customHeight="false" outlineLevel="0" collapsed="false">
      <c r="A359" s="5" t="n">
        <v>41988</v>
      </c>
      <c r="B359" s="5" t="s">
        <v>68</v>
      </c>
      <c r="C359" s="5" t="s">
        <v>382</v>
      </c>
      <c r="D359" s="4" t="s">
        <v>30</v>
      </c>
      <c r="E359" s="4" t="s">
        <v>708</v>
      </c>
      <c r="F359" s="4" t="s">
        <v>709</v>
      </c>
      <c r="G359" s="5" t="n">
        <v>51</v>
      </c>
      <c r="H359" s="5" t="s">
        <v>710</v>
      </c>
      <c r="I359" s="4" t="s">
        <v>1221</v>
      </c>
      <c r="J359" s="4" t="s">
        <v>114</v>
      </c>
    </row>
    <row r="360" customFormat="false" ht="15" hidden="false" customHeight="false" outlineLevel="0" collapsed="false">
      <c r="A360" s="5" t="n">
        <v>41988</v>
      </c>
      <c r="B360" s="5" t="s">
        <v>68</v>
      </c>
      <c r="C360" s="5" t="s">
        <v>425</v>
      </c>
      <c r="D360" s="4" t="s">
        <v>30</v>
      </c>
      <c r="E360" s="4" t="s">
        <v>869</v>
      </c>
      <c r="F360" s="4"/>
      <c r="G360" s="5" t="n">
        <v>0</v>
      </c>
      <c r="H360" s="5" t="s">
        <v>726</v>
      </c>
      <c r="I360" s="4"/>
      <c r="J360" s="4" t="s">
        <v>116</v>
      </c>
    </row>
    <row r="361" customFormat="false" ht="15" hidden="false" customHeight="false" outlineLevel="0" collapsed="false">
      <c r="A361" s="5" t="n">
        <v>41989</v>
      </c>
      <c r="B361" s="5" t="s">
        <v>68</v>
      </c>
      <c r="C361" s="5" t="s">
        <v>429</v>
      </c>
      <c r="D361" s="4" t="s">
        <v>20</v>
      </c>
      <c r="E361" s="4" t="s">
        <v>708</v>
      </c>
      <c r="F361" s="4" t="s">
        <v>709</v>
      </c>
      <c r="G361" s="5" t="n">
        <v>105</v>
      </c>
      <c r="H361" s="5" t="s">
        <v>710</v>
      </c>
      <c r="I361" s="4" t="s">
        <v>1222</v>
      </c>
      <c r="J361" s="4" t="s">
        <v>114</v>
      </c>
    </row>
    <row r="362" customFormat="false" ht="15" hidden="false" customHeight="false" outlineLevel="0" collapsed="false">
      <c r="A362" s="5" t="n">
        <v>41989</v>
      </c>
      <c r="B362" s="5" t="s">
        <v>68</v>
      </c>
      <c r="C362" s="5" t="s">
        <v>429</v>
      </c>
      <c r="D362" s="4" t="s">
        <v>20</v>
      </c>
      <c r="E362" s="4" t="s">
        <v>869</v>
      </c>
      <c r="F362" s="4"/>
      <c r="G362" s="5" t="n">
        <v>0</v>
      </c>
      <c r="H362" s="5" t="s">
        <v>726</v>
      </c>
      <c r="I362" s="4"/>
      <c r="J362" s="4" t="s">
        <v>116</v>
      </c>
    </row>
    <row r="363" customFormat="false" ht="15" hidden="false" customHeight="false" outlineLevel="0" collapsed="false">
      <c r="A363" s="5" t="n">
        <v>41990</v>
      </c>
      <c r="B363" s="5" t="s">
        <v>68</v>
      </c>
      <c r="C363" s="5" t="s">
        <v>566</v>
      </c>
      <c r="D363" s="4" t="s">
        <v>20</v>
      </c>
      <c r="E363" s="4" t="s">
        <v>708</v>
      </c>
      <c r="F363" s="4" t="s">
        <v>709</v>
      </c>
      <c r="G363" s="5" t="n">
        <v>49</v>
      </c>
      <c r="H363" s="5" t="s">
        <v>710</v>
      </c>
      <c r="I363" s="4" t="s">
        <v>1223</v>
      </c>
      <c r="J363" s="4" t="s">
        <v>114</v>
      </c>
    </row>
    <row r="364" customFormat="false" ht="15" hidden="false" customHeight="false" outlineLevel="0" collapsed="false">
      <c r="A364" s="5" t="n">
        <v>41990</v>
      </c>
      <c r="B364" s="5" t="s">
        <v>68</v>
      </c>
      <c r="C364" s="5" t="s">
        <v>566</v>
      </c>
      <c r="D364" s="4" t="s">
        <v>20</v>
      </c>
      <c r="E364" s="4" t="s">
        <v>869</v>
      </c>
      <c r="F364" s="4"/>
      <c r="G364" s="5" t="n">
        <v>0</v>
      </c>
      <c r="H364" s="5" t="s">
        <v>726</v>
      </c>
      <c r="I364" s="4"/>
      <c r="J364" s="4" t="s">
        <v>116</v>
      </c>
    </row>
    <row r="365" customFormat="false" ht="15" hidden="false" customHeight="false" outlineLevel="0" collapsed="false">
      <c r="A365" s="5" t="n">
        <v>41991</v>
      </c>
      <c r="B365" s="5" t="s">
        <v>68</v>
      </c>
      <c r="C365" s="5" t="s">
        <v>1224</v>
      </c>
      <c r="D365" s="4" t="s">
        <v>20</v>
      </c>
      <c r="E365" s="4" t="s">
        <v>708</v>
      </c>
      <c r="F365" s="4" t="s">
        <v>734</v>
      </c>
      <c r="G365" s="5" t="n">
        <v>62</v>
      </c>
      <c r="H365" s="5" t="s">
        <v>710</v>
      </c>
      <c r="I365" s="4" t="s">
        <v>1225</v>
      </c>
      <c r="J365" s="4" t="s">
        <v>114</v>
      </c>
    </row>
    <row r="366" customFormat="false" ht="15" hidden="false" customHeight="false" outlineLevel="0" collapsed="false">
      <c r="A366" s="5" t="n">
        <v>41991</v>
      </c>
      <c r="B366" s="5" t="s">
        <v>68</v>
      </c>
      <c r="C366" s="5" t="s">
        <v>1224</v>
      </c>
      <c r="D366" s="4" t="s">
        <v>20</v>
      </c>
      <c r="E366" s="4" t="s">
        <v>869</v>
      </c>
      <c r="F366" s="4"/>
      <c r="G366" s="5" t="n">
        <v>0</v>
      </c>
      <c r="H366" s="5" t="s">
        <v>726</v>
      </c>
      <c r="I366" s="4"/>
      <c r="J366" s="4" t="s">
        <v>116</v>
      </c>
    </row>
    <row r="367" customFormat="false" ht="15" hidden="false" customHeight="false" outlineLevel="0" collapsed="false">
      <c r="A367" s="5" t="n">
        <v>41992</v>
      </c>
      <c r="B367" s="5" t="s">
        <v>68</v>
      </c>
      <c r="C367" s="5" t="s">
        <v>767</v>
      </c>
      <c r="D367" s="4" t="s">
        <v>20</v>
      </c>
      <c r="E367" s="4" t="s">
        <v>708</v>
      </c>
      <c r="F367" s="4" t="s">
        <v>709</v>
      </c>
      <c r="G367" s="5" t="n">
        <v>103</v>
      </c>
      <c r="H367" s="5" t="s">
        <v>710</v>
      </c>
      <c r="I367" s="4" t="s">
        <v>1226</v>
      </c>
      <c r="J367" s="4" t="s">
        <v>114</v>
      </c>
    </row>
    <row r="368" customFormat="false" ht="15" hidden="false" customHeight="false" outlineLevel="0" collapsed="false">
      <c r="A368" s="5" t="n">
        <v>41992</v>
      </c>
      <c r="B368" s="5" t="s">
        <v>68</v>
      </c>
      <c r="C368" s="5" t="s">
        <v>767</v>
      </c>
      <c r="D368" s="4" t="s">
        <v>20</v>
      </c>
      <c r="E368" s="4" t="s">
        <v>869</v>
      </c>
      <c r="F368" s="4"/>
      <c r="G368" s="5" t="n">
        <v>0</v>
      </c>
      <c r="H368" s="5" t="s">
        <v>726</v>
      </c>
      <c r="I368" s="4"/>
      <c r="J368" s="4" t="s">
        <v>116</v>
      </c>
    </row>
    <row r="369" customFormat="false" ht="15" hidden="false" customHeight="false" outlineLevel="0" collapsed="false">
      <c r="A369" s="5" t="n">
        <v>41993</v>
      </c>
      <c r="B369" s="5" t="s">
        <v>68</v>
      </c>
      <c r="C369" s="5" t="s">
        <v>769</v>
      </c>
      <c r="D369" s="4" t="s">
        <v>20</v>
      </c>
      <c r="E369" s="4" t="s">
        <v>708</v>
      </c>
      <c r="F369" s="4" t="s">
        <v>709</v>
      </c>
      <c r="G369" s="5" t="n">
        <v>69</v>
      </c>
      <c r="H369" s="5" t="s">
        <v>710</v>
      </c>
      <c r="I369" s="4" t="s">
        <v>1227</v>
      </c>
      <c r="J369" s="4" t="s">
        <v>114</v>
      </c>
    </row>
    <row r="370" customFormat="false" ht="15" hidden="false" customHeight="false" outlineLevel="0" collapsed="false">
      <c r="A370" s="5" t="n">
        <v>41994</v>
      </c>
      <c r="B370" s="5" t="s">
        <v>68</v>
      </c>
      <c r="C370" s="5" t="s">
        <v>1228</v>
      </c>
      <c r="D370" s="4" t="s">
        <v>20</v>
      </c>
      <c r="E370" s="4" t="s">
        <v>708</v>
      </c>
      <c r="F370" s="4" t="s">
        <v>734</v>
      </c>
      <c r="G370" s="5" t="n">
        <v>44</v>
      </c>
      <c r="H370" s="5" t="s">
        <v>710</v>
      </c>
      <c r="I370" s="4" t="s">
        <v>1229</v>
      </c>
      <c r="J370" s="4" t="s">
        <v>114</v>
      </c>
    </row>
    <row r="371" customFormat="false" ht="15" hidden="false" customHeight="false" outlineLevel="0" collapsed="false">
      <c r="A371" s="5" t="n">
        <v>41994</v>
      </c>
      <c r="B371" s="5" t="s">
        <v>68</v>
      </c>
      <c r="C371" s="5" t="s">
        <v>1228</v>
      </c>
      <c r="D371" s="4" t="s">
        <v>20</v>
      </c>
      <c r="E371" s="4" t="s">
        <v>869</v>
      </c>
      <c r="F371" s="4"/>
      <c r="G371" s="5" t="n">
        <v>0</v>
      </c>
      <c r="H371" s="5" t="s">
        <v>726</v>
      </c>
      <c r="I371" s="4"/>
      <c r="J371" s="4" t="s">
        <v>116</v>
      </c>
    </row>
    <row r="372" customFormat="false" ht="15" hidden="false" customHeight="false" outlineLevel="0" collapsed="false">
      <c r="A372" s="5" t="n">
        <v>41995</v>
      </c>
      <c r="B372" s="5" t="s">
        <v>68</v>
      </c>
      <c r="C372" s="5" t="s">
        <v>1230</v>
      </c>
      <c r="D372" s="4" t="s">
        <v>20</v>
      </c>
      <c r="E372" s="4" t="s">
        <v>708</v>
      </c>
      <c r="F372" s="4" t="s">
        <v>709</v>
      </c>
      <c r="G372" s="5" t="n">
        <v>131</v>
      </c>
      <c r="H372" s="5" t="s">
        <v>710</v>
      </c>
      <c r="I372" s="4" t="s">
        <v>1231</v>
      </c>
      <c r="J372" s="4" t="s">
        <v>114</v>
      </c>
    </row>
    <row r="373" customFormat="false" ht="15" hidden="false" customHeight="false" outlineLevel="0" collapsed="false">
      <c r="A373" s="5" t="n">
        <v>42000</v>
      </c>
      <c r="B373" s="5" t="s">
        <v>68</v>
      </c>
      <c r="C373" s="5" t="s">
        <v>1044</v>
      </c>
      <c r="D373" s="4" t="s">
        <v>28</v>
      </c>
      <c r="E373" s="4" t="s">
        <v>708</v>
      </c>
      <c r="F373" s="4" t="s">
        <v>709</v>
      </c>
      <c r="G373" s="5" t="n">
        <v>62</v>
      </c>
      <c r="H373" s="5" t="s">
        <v>710</v>
      </c>
      <c r="I373" s="4" t="s">
        <v>1232</v>
      </c>
      <c r="J373" s="4" t="s">
        <v>114</v>
      </c>
    </row>
    <row r="374" customFormat="false" ht="15" hidden="false" customHeight="false" outlineLevel="0" collapsed="false">
      <c r="A374" s="5" t="n">
        <v>40169</v>
      </c>
      <c r="B374" s="5" t="s">
        <v>68</v>
      </c>
      <c r="C374" s="5" t="s">
        <v>1233</v>
      </c>
      <c r="D374" s="4" t="s">
        <v>28</v>
      </c>
      <c r="E374" s="4" t="s">
        <v>708</v>
      </c>
      <c r="F374" s="4" t="s">
        <v>709</v>
      </c>
      <c r="G374" s="5" t="n">
        <v>70</v>
      </c>
      <c r="H374" s="5" t="s">
        <v>710</v>
      </c>
      <c r="I374" s="4" t="s">
        <v>1234</v>
      </c>
      <c r="J374" s="4" t="s">
        <v>114</v>
      </c>
    </row>
    <row r="375" customFormat="false" ht="15" hidden="false" customHeight="false" outlineLevel="0" collapsed="false">
      <c r="A375" s="5" t="n">
        <v>41387</v>
      </c>
      <c r="B375" s="5" t="s">
        <v>68</v>
      </c>
      <c r="C375" s="5" t="s">
        <v>1059</v>
      </c>
      <c r="D375" s="4" t="s">
        <v>18</v>
      </c>
      <c r="E375" s="4" t="s">
        <v>708</v>
      </c>
      <c r="F375" s="4" t="s">
        <v>734</v>
      </c>
      <c r="G375" s="5" t="n">
        <v>78</v>
      </c>
      <c r="H375" s="5" t="s">
        <v>710</v>
      </c>
      <c r="I375" s="4" t="s">
        <v>1235</v>
      </c>
      <c r="J375" s="4" t="s">
        <v>114</v>
      </c>
    </row>
    <row r="376" customFormat="false" ht="15" hidden="false" customHeight="false" outlineLevel="0" collapsed="false">
      <c r="A376" s="5" t="n">
        <v>41490</v>
      </c>
      <c r="B376" s="5" t="s">
        <v>68</v>
      </c>
      <c r="C376" s="5" t="s">
        <v>440</v>
      </c>
      <c r="D376" s="4" t="s">
        <v>18</v>
      </c>
      <c r="E376" s="4" t="s">
        <v>708</v>
      </c>
      <c r="F376" s="4" t="s">
        <v>734</v>
      </c>
      <c r="G376" s="5" t="n">
        <v>113</v>
      </c>
      <c r="H376" s="5" t="s">
        <v>710</v>
      </c>
      <c r="I376" s="4" t="s">
        <v>1236</v>
      </c>
      <c r="J376" s="4" t="s">
        <v>114</v>
      </c>
    </row>
    <row r="377" customFormat="false" ht="15" hidden="false" customHeight="false" outlineLevel="0" collapsed="false">
      <c r="A377" s="5" t="n">
        <v>39563</v>
      </c>
      <c r="B377" s="5" t="s">
        <v>69</v>
      </c>
      <c r="C377" s="5" t="s">
        <v>1237</v>
      </c>
      <c r="D377" s="4" t="s">
        <v>18</v>
      </c>
      <c r="E377" s="4" t="s">
        <v>708</v>
      </c>
      <c r="F377" s="4" t="s">
        <v>734</v>
      </c>
      <c r="G377" s="5" t="n">
        <v>163</v>
      </c>
      <c r="H377" s="5" t="s">
        <v>710</v>
      </c>
      <c r="I377" s="4" t="s">
        <v>1238</v>
      </c>
      <c r="J377" s="4" t="s">
        <v>114</v>
      </c>
    </row>
    <row r="378" customFormat="false" ht="15" hidden="false" customHeight="false" outlineLevel="0" collapsed="false">
      <c r="A378" s="5" t="n">
        <v>42001</v>
      </c>
      <c r="B378" s="5" t="s">
        <v>69</v>
      </c>
      <c r="C378" s="5" t="s">
        <v>1239</v>
      </c>
      <c r="D378" s="4" t="s">
        <v>18</v>
      </c>
      <c r="E378" s="4" t="s">
        <v>708</v>
      </c>
      <c r="F378" s="4" t="s">
        <v>734</v>
      </c>
      <c r="G378" s="5" t="n">
        <v>106</v>
      </c>
      <c r="H378" s="5" t="s">
        <v>710</v>
      </c>
      <c r="I378" s="4" t="s">
        <v>1240</v>
      </c>
      <c r="J378" s="4" t="s">
        <v>114</v>
      </c>
    </row>
    <row r="379" customFormat="false" ht="15" hidden="false" customHeight="false" outlineLevel="0" collapsed="false">
      <c r="A379" s="5" t="n">
        <v>41221</v>
      </c>
      <c r="B379" s="5" t="s">
        <v>69</v>
      </c>
      <c r="C379" s="5" t="s">
        <v>1241</v>
      </c>
      <c r="D379" s="4" t="s">
        <v>18</v>
      </c>
      <c r="E379" s="4" t="s">
        <v>708</v>
      </c>
      <c r="F379" s="4" t="s">
        <v>734</v>
      </c>
      <c r="G379" s="5" t="n">
        <v>30</v>
      </c>
      <c r="H379" s="5" t="s">
        <v>737</v>
      </c>
      <c r="I379" s="4" t="s">
        <v>1242</v>
      </c>
      <c r="J379" s="4" t="s">
        <v>115</v>
      </c>
    </row>
    <row r="380" customFormat="false" ht="15" hidden="false" customHeight="false" outlineLevel="0" collapsed="false">
      <c r="A380" s="5" t="n">
        <v>41583</v>
      </c>
      <c r="B380" s="5" t="s">
        <v>69</v>
      </c>
      <c r="C380" s="5" t="s">
        <v>1243</v>
      </c>
      <c r="D380" s="4" t="s">
        <v>24</v>
      </c>
      <c r="E380" s="4" t="s">
        <v>708</v>
      </c>
      <c r="F380" s="4" t="s">
        <v>709</v>
      </c>
      <c r="G380" s="5" t="n">
        <v>82</v>
      </c>
      <c r="H380" s="5" t="s">
        <v>710</v>
      </c>
      <c r="I380" s="4" t="s">
        <v>1244</v>
      </c>
      <c r="J380" s="4" t="s">
        <v>114</v>
      </c>
    </row>
    <row r="381" customFormat="false" ht="15" hidden="false" customHeight="false" outlineLevel="0" collapsed="false">
      <c r="A381" s="5" t="n">
        <v>41583</v>
      </c>
      <c r="B381" s="5" t="s">
        <v>69</v>
      </c>
      <c r="C381" s="5" t="s">
        <v>1243</v>
      </c>
      <c r="D381" s="4" t="s">
        <v>24</v>
      </c>
      <c r="E381" s="4" t="s">
        <v>708</v>
      </c>
      <c r="F381" s="4" t="s">
        <v>734</v>
      </c>
      <c r="G381" s="5" t="n">
        <v>69</v>
      </c>
      <c r="H381" s="5" t="s">
        <v>710</v>
      </c>
      <c r="I381" s="4" t="s">
        <v>1245</v>
      </c>
      <c r="J381" s="4" t="s">
        <v>114</v>
      </c>
    </row>
    <row r="382" customFormat="false" ht="15" hidden="false" customHeight="false" outlineLevel="0" collapsed="false">
      <c r="A382" s="5" t="n">
        <v>42002</v>
      </c>
      <c r="B382" s="5" t="s">
        <v>69</v>
      </c>
      <c r="C382" s="5" t="s">
        <v>1246</v>
      </c>
      <c r="D382" s="4" t="s">
        <v>24</v>
      </c>
      <c r="E382" s="4" t="s">
        <v>708</v>
      </c>
      <c r="F382" s="4" t="s">
        <v>734</v>
      </c>
      <c r="G382" s="5" t="n">
        <v>57</v>
      </c>
      <c r="H382" s="5" t="s">
        <v>710</v>
      </c>
      <c r="I382" s="4" t="s">
        <v>1247</v>
      </c>
      <c r="J382" s="4" t="s">
        <v>114</v>
      </c>
    </row>
    <row r="383" customFormat="false" ht="15" hidden="false" customHeight="false" outlineLevel="0" collapsed="false">
      <c r="A383" s="5" t="n">
        <v>41700</v>
      </c>
      <c r="B383" s="5" t="s">
        <v>69</v>
      </c>
      <c r="C383" s="5" t="s">
        <v>1248</v>
      </c>
      <c r="D383" s="4" t="s">
        <v>24</v>
      </c>
      <c r="E383" s="4" t="s">
        <v>708</v>
      </c>
      <c r="F383" s="4" t="s">
        <v>725</v>
      </c>
      <c r="G383" s="5" t="n">
        <v>60</v>
      </c>
      <c r="H383" s="5" t="s">
        <v>710</v>
      </c>
      <c r="I383" s="4" t="s">
        <v>1249</v>
      </c>
      <c r="J383" s="4" t="s">
        <v>114</v>
      </c>
    </row>
    <row r="384" customFormat="false" ht="15" hidden="false" customHeight="false" outlineLevel="0" collapsed="false">
      <c r="A384" s="5" t="n">
        <v>41995</v>
      </c>
      <c r="B384" s="5" t="s">
        <v>69</v>
      </c>
      <c r="C384" s="5" t="s">
        <v>1250</v>
      </c>
      <c r="D384" s="4" t="s">
        <v>20</v>
      </c>
      <c r="E384" s="4" t="s">
        <v>869</v>
      </c>
      <c r="F384" s="4"/>
      <c r="G384" s="5" t="n">
        <v>0</v>
      </c>
      <c r="H384" s="5" t="s">
        <v>726</v>
      </c>
      <c r="I384" s="4"/>
      <c r="J384" s="4" t="s">
        <v>116</v>
      </c>
    </row>
    <row r="385" customFormat="false" ht="15" hidden="false" customHeight="false" outlineLevel="0" collapsed="false">
      <c r="A385" s="5" t="n">
        <v>35913</v>
      </c>
      <c r="B385" s="5" t="s">
        <v>69</v>
      </c>
      <c r="C385" s="5" t="s">
        <v>496</v>
      </c>
      <c r="D385" s="4" t="s">
        <v>26</v>
      </c>
      <c r="E385" s="4" t="s">
        <v>708</v>
      </c>
      <c r="F385" s="4" t="s">
        <v>734</v>
      </c>
      <c r="G385" s="5" t="n">
        <v>93</v>
      </c>
      <c r="H385" s="5" t="s">
        <v>710</v>
      </c>
      <c r="I385" s="4" t="s">
        <v>1251</v>
      </c>
      <c r="J385" s="4" t="s">
        <v>114</v>
      </c>
    </row>
    <row r="386" customFormat="false" ht="15" hidden="false" customHeight="false" outlineLevel="0" collapsed="false">
      <c r="A386" s="5" t="n">
        <v>41990</v>
      </c>
      <c r="B386" s="5" t="s">
        <v>69</v>
      </c>
      <c r="C386" s="5" t="s">
        <v>1252</v>
      </c>
      <c r="D386" s="4" t="s">
        <v>20</v>
      </c>
      <c r="E386" s="4" t="s">
        <v>869</v>
      </c>
      <c r="F386" s="4"/>
      <c r="G386" s="5" t="n">
        <v>0</v>
      </c>
      <c r="H386" s="5" t="s">
        <v>726</v>
      </c>
      <c r="I386" s="4"/>
      <c r="J386" s="4" t="s">
        <v>116</v>
      </c>
    </row>
    <row r="387" customFormat="false" ht="15" hidden="false" customHeight="false" outlineLevel="0" collapsed="false">
      <c r="A387" s="5" t="n">
        <v>20889</v>
      </c>
      <c r="B387" s="5" t="s">
        <v>69</v>
      </c>
      <c r="C387" s="5" t="s">
        <v>1253</v>
      </c>
      <c r="D387" s="4" t="s">
        <v>32</v>
      </c>
      <c r="E387" s="4" t="s">
        <v>708</v>
      </c>
      <c r="F387" s="4" t="s">
        <v>734</v>
      </c>
      <c r="G387" s="5" t="n">
        <v>68</v>
      </c>
      <c r="H387" s="5" t="s">
        <v>710</v>
      </c>
      <c r="I387" s="4" t="s">
        <v>1254</v>
      </c>
      <c r="J387" s="4" t="s">
        <v>114</v>
      </c>
    </row>
    <row r="388" customFormat="false" ht="15" hidden="false" customHeight="false" outlineLevel="0" collapsed="false">
      <c r="A388" s="5" t="n">
        <v>32001</v>
      </c>
      <c r="B388" s="5" t="s">
        <v>69</v>
      </c>
      <c r="C388" s="5" t="s">
        <v>1255</v>
      </c>
      <c r="D388" s="4" t="s">
        <v>32</v>
      </c>
      <c r="E388" s="4" t="s">
        <v>708</v>
      </c>
      <c r="F388" s="4" t="s">
        <v>734</v>
      </c>
      <c r="G388" s="5" t="n">
        <v>63</v>
      </c>
      <c r="H388" s="5" t="s">
        <v>710</v>
      </c>
      <c r="I388" s="4" t="s">
        <v>1256</v>
      </c>
      <c r="J388" s="4" t="s">
        <v>114</v>
      </c>
    </row>
    <row r="389" customFormat="false" ht="15" hidden="false" customHeight="false" outlineLevel="0" collapsed="false">
      <c r="A389" s="5" t="n">
        <v>42007</v>
      </c>
      <c r="B389" s="5" t="s">
        <v>69</v>
      </c>
      <c r="C389" s="5" t="s">
        <v>291</v>
      </c>
      <c r="D389" s="4" t="s">
        <v>32</v>
      </c>
      <c r="E389" s="4" t="s">
        <v>708</v>
      </c>
      <c r="F389" s="4" t="s">
        <v>734</v>
      </c>
      <c r="G389" s="5" t="n">
        <v>54</v>
      </c>
      <c r="H389" s="5" t="s">
        <v>710</v>
      </c>
      <c r="I389" s="4" t="s">
        <v>1257</v>
      </c>
      <c r="J389" s="4" t="s">
        <v>114</v>
      </c>
    </row>
    <row r="390" customFormat="false" ht="15" hidden="false" customHeight="false" outlineLevel="0" collapsed="false">
      <c r="A390" s="5" t="n">
        <v>42008</v>
      </c>
      <c r="B390" s="5" t="s">
        <v>69</v>
      </c>
      <c r="C390" s="5" t="s">
        <v>1203</v>
      </c>
      <c r="D390" s="4" t="s">
        <v>24</v>
      </c>
      <c r="E390" s="4" t="s">
        <v>708</v>
      </c>
      <c r="F390" s="4" t="s">
        <v>734</v>
      </c>
      <c r="G390" s="5" t="n">
        <v>82</v>
      </c>
      <c r="H390" s="5" t="s">
        <v>710</v>
      </c>
      <c r="I390" s="4" t="s">
        <v>1258</v>
      </c>
      <c r="J390" s="4" t="s">
        <v>114</v>
      </c>
    </row>
    <row r="391" customFormat="false" ht="15" hidden="false" customHeight="false" outlineLevel="0" collapsed="false">
      <c r="A391" s="5" t="n">
        <v>9025</v>
      </c>
      <c r="B391" s="5" t="s">
        <v>69</v>
      </c>
      <c r="C391" s="5" t="s">
        <v>583</v>
      </c>
      <c r="D391" s="4" t="s">
        <v>32</v>
      </c>
      <c r="E391" s="4" t="s">
        <v>708</v>
      </c>
      <c r="F391" s="4" t="s">
        <v>734</v>
      </c>
      <c r="G391" s="5" t="n">
        <v>34</v>
      </c>
      <c r="H391" s="5" t="s">
        <v>737</v>
      </c>
      <c r="I391" s="4" t="s">
        <v>1259</v>
      </c>
      <c r="J391" s="4" t="s">
        <v>115</v>
      </c>
    </row>
    <row r="392" customFormat="false" ht="15" hidden="false" customHeight="false" outlineLevel="0" collapsed="false">
      <c r="A392" s="5" t="n">
        <v>29382</v>
      </c>
      <c r="B392" s="5" t="s">
        <v>69</v>
      </c>
      <c r="C392" s="5" t="s">
        <v>583</v>
      </c>
      <c r="D392" s="4" t="s">
        <v>32</v>
      </c>
      <c r="E392" s="4" t="s">
        <v>708</v>
      </c>
      <c r="F392" s="4" t="s">
        <v>734</v>
      </c>
      <c r="G392" s="5" t="n">
        <v>51</v>
      </c>
      <c r="H392" s="5" t="s">
        <v>710</v>
      </c>
      <c r="I392" s="4" t="s">
        <v>1260</v>
      </c>
      <c r="J392" s="4" t="s">
        <v>114</v>
      </c>
    </row>
    <row r="393" customFormat="false" ht="15" hidden="false" customHeight="false" outlineLevel="0" collapsed="false">
      <c r="A393" s="5" t="n">
        <v>18101</v>
      </c>
      <c r="B393" s="5" t="s">
        <v>69</v>
      </c>
      <c r="C393" s="5" t="s">
        <v>1190</v>
      </c>
      <c r="D393" s="4" t="s">
        <v>32</v>
      </c>
      <c r="E393" s="4" t="s">
        <v>708</v>
      </c>
      <c r="F393" s="4" t="s">
        <v>734</v>
      </c>
      <c r="G393" s="5" t="n">
        <v>45</v>
      </c>
      <c r="H393" s="5" t="s">
        <v>710</v>
      </c>
      <c r="I393" s="4" t="s">
        <v>1261</v>
      </c>
      <c r="J393" s="4" t="s">
        <v>114</v>
      </c>
    </row>
    <row r="394" customFormat="false" ht="15" hidden="false" customHeight="false" outlineLevel="0" collapsed="false">
      <c r="A394" s="5" t="n">
        <v>37909</v>
      </c>
      <c r="B394" s="5" t="s">
        <v>69</v>
      </c>
      <c r="C394" s="5" t="s">
        <v>1262</v>
      </c>
      <c r="D394" s="4" t="s">
        <v>32</v>
      </c>
      <c r="E394" s="4" t="s">
        <v>708</v>
      </c>
      <c r="F394" s="4" t="s">
        <v>734</v>
      </c>
      <c r="G394" s="5" t="n">
        <v>58</v>
      </c>
      <c r="H394" s="5" t="s">
        <v>710</v>
      </c>
      <c r="I394" s="4" t="s">
        <v>1263</v>
      </c>
      <c r="J394" s="4" t="s">
        <v>114</v>
      </c>
    </row>
    <row r="395" customFormat="false" ht="15" hidden="false" customHeight="false" outlineLevel="0" collapsed="false">
      <c r="A395" s="5" t="n">
        <v>32658</v>
      </c>
      <c r="B395" s="5" t="s">
        <v>69</v>
      </c>
      <c r="C395" s="5" t="s">
        <v>1264</v>
      </c>
      <c r="D395" s="4" t="s">
        <v>32</v>
      </c>
      <c r="E395" s="4" t="s">
        <v>708</v>
      </c>
      <c r="F395" s="4" t="s">
        <v>734</v>
      </c>
      <c r="G395" s="5" t="n">
        <v>36</v>
      </c>
      <c r="H395" s="5" t="s">
        <v>737</v>
      </c>
      <c r="I395" s="4" t="s">
        <v>1265</v>
      </c>
      <c r="J395" s="4" t="s">
        <v>115</v>
      </c>
    </row>
    <row r="396" customFormat="false" ht="15" hidden="false" customHeight="false" outlineLevel="0" collapsed="false">
      <c r="A396" s="5" t="n">
        <v>40735</v>
      </c>
      <c r="B396" s="5" t="s">
        <v>69</v>
      </c>
      <c r="C396" s="5" t="s">
        <v>1266</v>
      </c>
      <c r="D396" s="4" t="s">
        <v>24</v>
      </c>
      <c r="E396" s="4" t="s">
        <v>708</v>
      </c>
      <c r="F396" s="4" t="s">
        <v>742</v>
      </c>
      <c r="G396" s="5" t="n">
        <v>90</v>
      </c>
      <c r="H396" s="5" t="s">
        <v>710</v>
      </c>
      <c r="I396" s="4" t="s">
        <v>1267</v>
      </c>
      <c r="J396" s="4" t="s">
        <v>114</v>
      </c>
    </row>
    <row r="397" customFormat="false" ht="15" hidden="false" customHeight="false" outlineLevel="0" collapsed="false">
      <c r="A397" s="5" t="n">
        <v>41322</v>
      </c>
      <c r="B397" s="5" t="s">
        <v>69</v>
      </c>
      <c r="C397" s="5" t="s">
        <v>1268</v>
      </c>
      <c r="D397" s="4" t="s">
        <v>24</v>
      </c>
      <c r="E397" s="4" t="s">
        <v>708</v>
      </c>
      <c r="F397" s="4" t="s">
        <v>734</v>
      </c>
      <c r="G397" s="5" t="n">
        <v>123</v>
      </c>
      <c r="H397" s="5" t="s">
        <v>710</v>
      </c>
      <c r="I397" s="4" t="s">
        <v>1269</v>
      </c>
      <c r="J397" s="4" t="s">
        <v>114</v>
      </c>
    </row>
    <row r="398" customFormat="false" ht="15" hidden="false" customHeight="false" outlineLevel="0" collapsed="false">
      <c r="A398" s="5" t="n">
        <v>40472</v>
      </c>
      <c r="B398" s="5" t="s">
        <v>69</v>
      </c>
      <c r="C398" s="5" t="s">
        <v>454</v>
      </c>
      <c r="D398" s="4" t="s">
        <v>20</v>
      </c>
      <c r="E398" s="4" t="s">
        <v>708</v>
      </c>
      <c r="F398" s="4" t="s">
        <v>734</v>
      </c>
      <c r="G398" s="5" t="n">
        <v>47</v>
      </c>
      <c r="H398" s="5" t="s">
        <v>710</v>
      </c>
      <c r="I398" s="4" t="s">
        <v>1270</v>
      </c>
      <c r="J398" s="4" t="s">
        <v>114</v>
      </c>
    </row>
    <row r="399" customFormat="false" ht="15" hidden="false" customHeight="false" outlineLevel="0" collapsed="false">
      <c r="A399" s="5" t="n">
        <v>42019</v>
      </c>
      <c r="B399" s="5" t="s">
        <v>69</v>
      </c>
      <c r="C399" s="5" t="s">
        <v>397</v>
      </c>
      <c r="D399" s="4" t="s">
        <v>30</v>
      </c>
      <c r="E399" s="4" t="s">
        <v>708</v>
      </c>
      <c r="F399" s="4" t="s">
        <v>709</v>
      </c>
      <c r="G399" s="5" t="n">
        <v>57</v>
      </c>
      <c r="H399" s="5" t="s">
        <v>710</v>
      </c>
      <c r="I399" s="4" t="s">
        <v>1271</v>
      </c>
      <c r="J399" s="4" t="s">
        <v>114</v>
      </c>
    </row>
    <row r="400" customFormat="false" ht="15" hidden="false" customHeight="false" outlineLevel="0" collapsed="false">
      <c r="A400" s="5" t="n">
        <v>42019</v>
      </c>
      <c r="B400" s="5" t="s">
        <v>69</v>
      </c>
      <c r="C400" s="5" t="s">
        <v>397</v>
      </c>
      <c r="D400" s="4" t="s">
        <v>30</v>
      </c>
      <c r="E400" s="4" t="s">
        <v>869</v>
      </c>
      <c r="F400" s="4"/>
      <c r="G400" s="5" t="n">
        <v>0</v>
      </c>
      <c r="H400" s="5" t="s">
        <v>726</v>
      </c>
      <c r="I400" s="4"/>
      <c r="J400" s="4" t="s">
        <v>116</v>
      </c>
    </row>
    <row r="401" customFormat="false" ht="15" hidden="false" customHeight="false" outlineLevel="0" collapsed="false">
      <c r="A401" s="5" t="n">
        <v>40776</v>
      </c>
      <c r="B401" s="5" t="s">
        <v>69</v>
      </c>
      <c r="C401" s="5" t="s">
        <v>1272</v>
      </c>
      <c r="D401" s="4" t="s">
        <v>20</v>
      </c>
      <c r="E401" s="4" t="s">
        <v>708</v>
      </c>
      <c r="F401" s="4" t="s">
        <v>725</v>
      </c>
      <c r="G401" s="5" t="n">
        <v>77</v>
      </c>
      <c r="H401" s="5" t="s">
        <v>710</v>
      </c>
      <c r="I401" s="4" t="s">
        <v>1273</v>
      </c>
      <c r="J401" s="4" t="s">
        <v>114</v>
      </c>
    </row>
    <row r="402" customFormat="false" ht="15" hidden="false" customHeight="false" outlineLevel="0" collapsed="false">
      <c r="A402" s="5" t="n">
        <v>42020</v>
      </c>
      <c r="B402" s="5" t="s">
        <v>69</v>
      </c>
      <c r="C402" s="5" t="s">
        <v>166</v>
      </c>
      <c r="D402" s="4" t="s">
        <v>30</v>
      </c>
      <c r="E402" s="4" t="s">
        <v>708</v>
      </c>
      <c r="F402" s="4" t="s">
        <v>709</v>
      </c>
      <c r="G402" s="5" t="n">
        <v>58</v>
      </c>
      <c r="H402" s="5" t="s">
        <v>710</v>
      </c>
      <c r="I402" s="4" t="s">
        <v>1274</v>
      </c>
      <c r="J402" s="4" t="s">
        <v>114</v>
      </c>
    </row>
    <row r="403" customFormat="false" ht="15" hidden="false" customHeight="false" outlineLevel="0" collapsed="false">
      <c r="A403" s="5" t="n">
        <v>42020</v>
      </c>
      <c r="B403" s="5" t="s">
        <v>69</v>
      </c>
      <c r="C403" s="5" t="s">
        <v>166</v>
      </c>
      <c r="D403" s="4" t="s">
        <v>30</v>
      </c>
      <c r="E403" s="4" t="s">
        <v>869</v>
      </c>
      <c r="F403" s="4"/>
      <c r="G403" s="5" t="n">
        <v>0</v>
      </c>
      <c r="H403" s="5" t="s">
        <v>726</v>
      </c>
      <c r="I403" s="4"/>
      <c r="J403" s="4" t="s">
        <v>116</v>
      </c>
    </row>
    <row r="404" customFormat="false" ht="15" hidden="false" customHeight="false" outlineLevel="0" collapsed="false">
      <c r="A404" s="5" t="n">
        <v>42022</v>
      </c>
      <c r="B404" s="5" t="s">
        <v>69</v>
      </c>
      <c r="C404" s="5" t="s">
        <v>401</v>
      </c>
      <c r="D404" s="4" t="s">
        <v>30</v>
      </c>
      <c r="E404" s="4" t="s">
        <v>708</v>
      </c>
      <c r="F404" s="4" t="s">
        <v>709</v>
      </c>
      <c r="G404" s="5" t="n">
        <v>31</v>
      </c>
      <c r="H404" s="5" t="s">
        <v>737</v>
      </c>
      <c r="I404" s="4" t="s">
        <v>982</v>
      </c>
      <c r="J404" s="4" t="s">
        <v>115</v>
      </c>
    </row>
    <row r="405" customFormat="false" ht="15" hidden="false" customHeight="false" outlineLevel="0" collapsed="false">
      <c r="A405" s="5" t="n">
        <v>42022</v>
      </c>
      <c r="B405" s="5" t="s">
        <v>69</v>
      </c>
      <c r="C405" s="5" t="s">
        <v>401</v>
      </c>
      <c r="D405" s="4" t="s">
        <v>30</v>
      </c>
      <c r="E405" s="4" t="s">
        <v>869</v>
      </c>
      <c r="F405" s="4"/>
      <c r="G405" s="5" t="n">
        <v>0</v>
      </c>
      <c r="H405" s="5" t="s">
        <v>726</v>
      </c>
      <c r="I405" s="4"/>
      <c r="J405" s="4" t="s">
        <v>116</v>
      </c>
    </row>
    <row r="406" customFormat="false" ht="15" hidden="false" customHeight="false" outlineLevel="0" collapsed="false">
      <c r="A406" s="5" t="n">
        <v>42021</v>
      </c>
      <c r="B406" s="5" t="s">
        <v>69</v>
      </c>
      <c r="C406" s="5" t="s">
        <v>401</v>
      </c>
      <c r="D406" s="4" t="s">
        <v>20</v>
      </c>
      <c r="E406" s="4" t="s">
        <v>708</v>
      </c>
      <c r="F406" s="4" t="s">
        <v>734</v>
      </c>
      <c r="G406" s="5" t="n">
        <v>88</v>
      </c>
      <c r="H406" s="5" t="s">
        <v>710</v>
      </c>
      <c r="I406" s="4" t="s">
        <v>1275</v>
      </c>
      <c r="J406" s="4" t="s">
        <v>114</v>
      </c>
    </row>
    <row r="407" customFormat="false" ht="15" hidden="false" customHeight="false" outlineLevel="0" collapsed="false">
      <c r="A407" s="5" t="n">
        <v>42021</v>
      </c>
      <c r="B407" s="5" t="s">
        <v>69</v>
      </c>
      <c r="C407" s="5" t="s">
        <v>372</v>
      </c>
      <c r="D407" s="4" t="s">
        <v>20</v>
      </c>
      <c r="E407" s="4" t="s">
        <v>869</v>
      </c>
      <c r="F407" s="4"/>
      <c r="G407" s="5" t="n">
        <v>0</v>
      </c>
      <c r="H407" s="5" t="s">
        <v>726</v>
      </c>
      <c r="I407" s="4"/>
      <c r="J407" s="4" t="s">
        <v>116</v>
      </c>
    </row>
    <row r="408" customFormat="false" ht="15" hidden="false" customHeight="false" outlineLevel="0" collapsed="false">
      <c r="A408" s="5" t="n">
        <v>42023</v>
      </c>
      <c r="B408" s="5" t="s">
        <v>69</v>
      </c>
      <c r="C408" s="5" t="s">
        <v>372</v>
      </c>
      <c r="D408" s="4" t="s">
        <v>30</v>
      </c>
      <c r="E408" s="4" t="s">
        <v>708</v>
      </c>
      <c r="F408" s="4" t="s">
        <v>709</v>
      </c>
      <c r="G408" s="5" t="n">
        <v>31</v>
      </c>
      <c r="H408" s="5" t="s">
        <v>737</v>
      </c>
      <c r="I408" s="4" t="s">
        <v>982</v>
      </c>
      <c r="J408" s="4" t="s">
        <v>115</v>
      </c>
    </row>
    <row r="409" customFormat="false" ht="15" hidden="false" customHeight="false" outlineLevel="0" collapsed="false">
      <c r="A409" s="5" t="n">
        <v>42023</v>
      </c>
      <c r="B409" s="5" t="s">
        <v>69</v>
      </c>
      <c r="C409" s="5" t="s">
        <v>372</v>
      </c>
      <c r="D409" s="4" t="s">
        <v>30</v>
      </c>
      <c r="E409" s="4" t="s">
        <v>869</v>
      </c>
      <c r="F409" s="4"/>
      <c r="G409" s="5" t="n">
        <v>0</v>
      </c>
      <c r="H409" s="5" t="s">
        <v>726</v>
      </c>
      <c r="I409" s="4"/>
      <c r="J409" s="4" t="s">
        <v>116</v>
      </c>
    </row>
    <row r="410" customFormat="false" ht="15" hidden="false" customHeight="false" outlineLevel="0" collapsed="false">
      <c r="A410" s="5" t="n">
        <v>42024</v>
      </c>
      <c r="B410" s="5" t="s">
        <v>69</v>
      </c>
      <c r="C410" s="5" t="s">
        <v>296</v>
      </c>
      <c r="D410" s="4" t="s">
        <v>30</v>
      </c>
      <c r="E410" s="4" t="s">
        <v>708</v>
      </c>
      <c r="F410" s="4" t="s">
        <v>709</v>
      </c>
      <c r="G410" s="5" t="n">
        <v>51</v>
      </c>
      <c r="H410" s="5" t="s">
        <v>710</v>
      </c>
      <c r="I410" s="4" t="s">
        <v>1221</v>
      </c>
      <c r="J410" s="4" t="s">
        <v>114</v>
      </c>
    </row>
    <row r="411" customFormat="false" ht="15" hidden="false" customHeight="false" outlineLevel="0" collapsed="false">
      <c r="A411" s="5" t="n">
        <v>42024</v>
      </c>
      <c r="B411" s="5" t="s">
        <v>69</v>
      </c>
      <c r="C411" s="5" t="s">
        <v>296</v>
      </c>
      <c r="D411" s="4" t="s">
        <v>30</v>
      </c>
      <c r="E411" s="4" t="s">
        <v>869</v>
      </c>
      <c r="F411" s="4"/>
      <c r="G411" s="5" t="n">
        <v>0</v>
      </c>
      <c r="H411" s="5" t="s">
        <v>726</v>
      </c>
      <c r="I411" s="4"/>
      <c r="J411" s="4" t="s">
        <v>116</v>
      </c>
    </row>
    <row r="412" customFormat="false" ht="15" hidden="false" customHeight="false" outlineLevel="0" collapsed="false">
      <c r="A412" s="5" t="n">
        <v>42025</v>
      </c>
      <c r="B412" s="5" t="s">
        <v>69</v>
      </c>
      <c r="C412" s="5" t="s">
        <v>305</v>
      </c>
      <c r="D412" s="4" t="s">
        <v>30</v>
      </c>
      <c r="E412" s="4" t="s">
        <v>869</v>
      </c>
      <c r="F412" s="4"/>
      <c r="G412" s="5" t="n">
        <v>0</v>
      </c>
      <c r="H412" s="5" t="s">
        <v>726</v>
      </c>
      <c r="I412" s="4"/>
      <c r="J412" s="4" t="s">
        <v>116</v>
      </c>
    </row>
    <row r="413" customFormat="false" ht="15" hidden="false" customHeight="false" outlineLevel="0" collapsed="false">
      <c r="A413" s="5" t="n">
        <v>42027</v>
      </c>
      <c r="B413" s="5" t="s">
        <v>69</v>
      </c>
      <c r="C413" s="5" t="s">
        <v>307</v>
      </c>
      <c r="D413" s="4" t="s">
        <v>30</v>
      </c>
      <c r="E413" s="4" t="s">
        <v>708</v>
      </c>
      <c r="F413" s="4" t="s">
        <v>734</v>
      </c>
      <c r="G413" s="5" t="n">
        <v>48</v>
      </c>
      <c r="H413" s="5" t="s">
        <v>710</v>
      </c>
      <c r="I413" s="4" t="s">
        <v>1276</v>
      </c>
      <c r="J413" s="4" t="s">
        <v>114</v>
      </c>
    </row>
    <row r="414" customFormat="false" ht="15" hidden="false" customHeight="false" outlineLevel="0" collapsed="false">
      <c r="A414" s="5" t="n">
        <v>33906</v>
      </c>
      <c r="B414" s="5" t="s">
        <v>69</v>
      </c>
      <c r="C414" s="5" t="s">
        <v>433</v>
      </c>
      <c r="D414" s="4" t="s">
        <v>28</v>
      </c>
      <c r="E414" s="4" t="s">
        <v>708</v>
      </c>
      <c r="F414" s="4" t="s">
        <v>709</v>
      </c>
      <c r="G414" s="5" t="n">
        <v>101</v>
      </c>
      <c r="H414" s="5" t="s">
        <v>710</v>
      </c>
      <c r="I414" s="4" t="s">
        <v>1277</v>
      </c>
      <c r="J414" s="4" t="s">
        <v>114</v>
      </c>
    </row>
    <row r="415" customFormat="false" ht="15" hidden="false" customHeight="false" outlineLevel="0" collapsed="false">
      <c r="A415" s="5" t="n">
        <v>21339</v>
      </c>
      <c r="B415" s="5" t="s">
        <v>69</v>
      </c>
      <c r="C415" s="5" t="s">
        <v>1044</v>
      </c>
      <c r="D415" s="4" t="s">
        <v>28</v>
      </c>
      <c r="E415" s="4" t="s">
        <v>708</v>
      </c>
      <c r="F415" s="4" t="s">
        <v>734</v>
      </c>
      <c r="G415" s="5" t="n">
        <v>32</v>
      </c>
      <c r="H415" s="5" t="s">
        <v>737</v>
      </c>
      <c r="I415" s="4" t="s">
        <v>1278</v>
      </c>
      <c r="J415" s="4" t="s">
        <v>115</v>
      </c>
    </row>
    <row r="416" customFormat="false" ht="15" hidden="false" customHeight="false" outlineLevel="0" collapsed="false">
      <c r="A416" s="5" t="n">
        <v>40744</v>
      </c>
      <c r="B416" s="5" t="s">
        <v>70</v>
      </c>
      <c r="C416" s="5" t="s">
        <v>1279</v>
      </c>
      <c r="D416" s="4" t="s">
        <v>18</v>
      </c>
      <c r="E416" s="4" t="s">
        <v>708</v>
      </c>
      <c r="F416" s="4" t="s">
        <v>734</v>
      </c>
      <c r="G416" s="5" t="n">
        <v>77</v>
      </c>
      <c r="H416" s="5" t="s">
        <v>710</v>
      </c>
      <c r="I416" s="4" t="s">
        <v>1280</v>
      </c>
      <c r="J416" s="4" t="s">
        <v>114</v>
      </c>
    </row>
    <row r="417" customFormat="false" ht="15" hidden="false" customHeight="false" outlineLevel="0" collapsed="false">
      <c r="A417" s="5" t="n">
        <v>42033</v>
      </c>
      <c r="B417" s="5" t="s">
        <v>70</v>
      </c>
      <c r="C417" s="5" t="s">
        <v>1281</v>
      </c>
      <c r="D417" s="4" t="s">
        <v>18</v>
      </c>
      <c r="E417" s="4" t="s">
        <v>708</v>
      </c>
      <c r="F417" s="4" t="s">
        <v>734</v>
      </c>
      <c r="G417" s="5" t="n">
        <v>77</v>
      </c>
      <c r="H417" s="5" t="s">
        <v>710</v>
      </c>
      <c r="I417" s="4" t="s">
        <v>1282</v>
      </c>
      <c r="J417" s="4" t="s">
        <v>114</v>
      </c>
    </row>
    <row r="418" customFormat="false" ht="15" hidden="false" customHeight="false" outlineLevel="0" collapsed="false">
      <c r="A418" s="5" t="n">
        <v>41216</v>
      </c>
      <c r="B418" s="5" t="s">
        <v>70</v>
      </c>
      <c r="C418" s="5" t="s">
        <v>1283</v>
      </c>
      <c r="D418" s="4" t="s">
        <v>18</v>
      </c>
      <c r="E418" s="4" t="s">
        <v>708</v>
      </c>
      <c r="F418" s="4" t="s">
        <v>734</v>
      </c>
      <c r="G418" s="5" t="n">
        <v>74</v>
      </c>
      <c r="H418" s="5" t="s">
        <v>710</v>
      </c>
      <c r="I418" s="4" t="s">
        <v>1284</v>
      </c>
      <c r="J418" s="4" t="s">
        <v>114</v>
      </c>
    </row>
    <row r="419" customFormat="false" ht="15" hidden="false" customHeight="false" outlineLevel="0" collapsed="false">
      <c r="A419" s="5" t="n">
        <v>42035</v>
      </c>
      <c r="B419" s="5" t="s">
        <v>70</v>
      </c>
      <c r="C419" s="5" t="s">
        <v>1285</v>
      </c>
      <c r="D419" s="4" t="s">
        <v>18</v>
      </c>
      <c r="E419" s="4" t="s">
        <v>708</v>
      </c>
      <c r="F419" s="4" t="s">
        <v>734</v>
      </c>
      <c r="G419" s="5" t="n">
        <v>136</v>
      </c>
      <c r="H419" s="5" t="s">
        <v>710</v>
      </c>
      <c r="I419" s="4" t="s">
        <v>1286</v>
      </c>
      <c r="J419" s="4" t="s">
        <v>114</v>
      </c>
    </row>
    <row r="420" customFormat="false" ht="15" hidden="false" customHeight="false" outlineLevel="0" collapsed="false">
      <c r="A420" s="5" t="n">
        <v>42036</v>
      </c>
      <c r="B420" s="5" t="s">
        <v>70</v>
      </c>
      <c r="C420" s="5" t="s">
        <v>1287</v>
      </c>
      <c r="D420" s="4" t="s">
        <v>18</v>
      </c>
      <c r="E420" s="4" t="s">
        <v>708</v>
      </c>
      <c r="F420" s="4" t="s">
        <v>734</v>
      </c>
      <c r="G420" s="5" t="n">
        <v>69</v>
      </c>
      <c r="H420" s="5" t="s">
        <v>710</v>
      </c>
      <c r="I420" s="4" t="s">
        <v>1288</v>
      </c>
      <c r="J420" s="4" t="s">
        <v>114</v>
      </c>
    </row>
    <row r="421" customFormat="false" ht="15" hidden="false" customHeight="false" outlineLevel="0" collapsed="false">
      <c r="A421" s="5" t="n">
        <v>42037</v>
      </c>
      <c r="B421" s="5" t="s">
        <v>70</v>
      </c>
      <c r="C421" s="5" t="s">
        <v>1289</v>
      </c>
      <c r="D421" s="4" t="s">
        <v>18</v>
      </c>
      <c r="E421" s="4" t="s">
        <v>708</v>
      </c>
      <c r="F421" s="4" t="s">
        <v>734</v>
      </c>
      <c r="G421" s="5" t="n">
        <v>50</v>
      </c>
      <c r="H421" s="5" t="s">
        <v>710</v>
      </c>
      <c r="I421" s="4" t="s">
        <v>1290</v>
      </c>
      <c r="J421" s="4" t="s">
        <v>114</v>
      </c>
    </row>
    <row r="422" customFormat="false" ht="15" hidden="false" customHeight="false" outlineLevel="0" collapsed="false">
      <c r="A422" s="5" t="n">
        <v>35884</v>
      </c>
      <c r="B422" s="5" t="s">
        <v>70</v>
      </c>
      <c r="C422" s="5" t="s">
        <v>1291</v>
      </c>
      <c r="D422" s="4" t="s">
        <v>18</v>
      </c>
      <c r="E422" s="4" t="s">
        <v>708</v>
      </c>
      <c r="F422" s="4" t="s">
        <v>734</v>
      </c>
      <c r="G422" s="5" t="n">
        <v>78</v>
      </c>
      <c r="H422" s="5" t="s">
        <v>710</v>
      </c>
      <c r="I422" s="4" t="s">
        <v>1292</v>
      </c>
      <c r="J422" s="4" t="s">
        <v>114</v>
      </c>
    </row>
  </sheetData>
  <autoFilter ref="A1:J422"/>
  <conditionalFormatting sqref="J2:J422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422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2026-07-27T05:51:23Z</dcterms:created>
  <dc:creator>openpyxl</dc:creator>
  <dc:description/>
  <dc:language>en-US</dc:language>
  <cp:lastModifiedBy/>
  <dcterms:modified xsi:type="dcterms:W3CDTF">2026-07-27T05:51:23Z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