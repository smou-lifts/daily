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الفرص'!$A$1:$Y$15</definedName>
    <definedName function="false" hidden="true" localSheetId="4" name="_xlnm._FilterDatabase" vbProcedure="false">'سجل الأكشنات'!$A$1:$J$57</definedName>
    <definedName function="false" hidden="true" localSheetId="1" name="_xlnm._FilterDatabase" vbProcedure="false">'متابعة يومية'!$A$3:$I$213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<sst xmlns="http://schemas.openxmlformats.org/spreadsheetml/2006/main" count="1489" uniqueCount="331">
  <si>
    <t xml:space="preserve">شيت المتابعة اليومية للمناديب — Smou Lifts (Odoo CRM)</t>
  </si>
  <si>
    <t xml:space="preserve">الفترة: 01/09/2026 حتى 30/09/2026   |   البيانات متاحة فعلياً حتى 2026-09-02   |   المصدر: crm.lead   |   آخر تحديث: 03/09/2026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</si>
  <si>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</si>
  <si>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</si>
  <si>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</si>
  <si>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</si>
  <si>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</si>
  <si>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</si>
  <si>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</si>
  <si>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</si>
  <si>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</si>
  <si>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</si>
  <si>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</si>
  <si>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</si>
  <si>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</si>
  <si>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</si>
  <si>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</si>
  <si>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</si>
  <si>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</si>
  <si>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Plot Number، مرفقات، Source (في كل الـ3 فرصة) · كثيراً ما يترك فارغاً: الاستشاري (2/3)، المقاول (2/3)، ملاحظات (2/3) · الأكشنات: 8 أكشن كلها مكتوبة بتفاصيل ✔</t>
  </si>
  <si>
    <t xml:space="preserve">Ahmed Alattar</t>
  </si>
  <si>
    <t xml:space="preserve">لا يكتب إطلاقاً: Plot Number، مرفقات، Source (في كل الـ2 فرصة) · كثيراً ما يترك فارغاً: ملاحظات (1/2)، الاستشاري (1/2)، المقاول (1/2) · الأكشنات: 7 أكشن منها 1 مختصر/بدون نص</t>
  </si>
  <si>
    <t xml:space="preserve">Ahmed Salah</t>
  </si>
  <si>
    <t xml:space="preserve">لم ينشئ أي فرصة في الفترة · الأكشنات: 6 أكشن كلها مكتوبة بتفاصيل ✔</t>
  </si>
  <si>
    <t xml:space="preserve">Hossam Radi</t>
  </si>
  <si>
    <t xml:space="preserve">لم ينشئ أي فرصة في الفترة · الأكشنات: 12 أكشن كلها مكتوبة بتفاصيل ✔</t>
  </si>
  <si>
    <t xml:space="preserve">Mohammed Jamal</t>
  </si>
  <si>
    <t xml:space="preserve">لا يكتب إطلاقاً: Plot Number، المقاول، مرفقات، ملاحظات (في كل الـ5 فرصة) · الأكشنات: 5 أكشن منها 2 مختصر/بدون نص</t>
  </si>
  <si>
    <t xml:space="preserve">Ramy Moussa</t>
  </si>
  <si>
    <t xml:space="preserve">لم ينشئ أي فرصة في الفترة · الأكشنات: 2 أكشن كلها مكتوبة بتفاصيل ✔</t>
  </si>
  <si>
    <t xml:space="preserve">Yossry Fayez</t>
  </si>
  <si>
    <t xml:space="preserve">لا يكتب إطلاقاً: Plot Number، مرفقات، ملاحظات (في كل الـ4 فرصة) · الأكشنات: 16 أكشن منها 2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</si>
  <si>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</si>
  <si>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</si>
  <si>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</si>
  <si>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</si>
  <si>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</si>
  <si>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</si>
  <si>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</si>
  <si>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03/09/2026 — آخر يوم به نشاط مسجّل هو 2026-09-02.</t>
  </si>
  <si>
    <t xml:space="preserve">• المناديب المستبعدون من الشيت: Sayed Samak.</t>
  </si>
  <si>
    <t xml:space="preserve">المتابعة اليومية لكل مندوب — 01/09/2026 إلى 30/09/2026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</si>
  <si>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</si>
  <si>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</si>
  <si>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</si>
  <si>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</si>
  <si>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</si>
  <si>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الثلاثاء</t>
  </si>
  <si>
    <t xml:space="preserve">2026-09-01</t>
  </si>
  <si>
    <t xml:space="preserve">الأربعاء</t>
  </si>
  <si>
    <t xml:space="preserve">2026-09-02</t>
  </si>
  <si>
    <t xml:space="preserve">الخميس</t>
  </si>
  <si>
    <t xml:space="preserve">2026-09-03</t>
  </si>
  <si>
    <t xml:space="preserve">الجمعة</t>
  </si>
  <si>
    <t xml:space="preserve">2026-09-04</t>
  </si>
  <si>
    <t xml:space="preserve">السبت</t>
  </si>
  <si>
    <t xml:space="preserve">2026-09-05</t>
  </si>
  <si>
    <t xml:space="preserve">الأحد</t>
  </si>
  <si>
    <t xml:space="preserve">2026-09-06</t>
  </si>
  <si>
    <t xml:space="preserve">الإثنين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</si>
  <si>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</si>
  <si>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</si>
  <si>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</si>
  <si>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</si>
  <si>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</si>
  <si>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</si>
  <si>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</si>
  <si>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</si>
  <si>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</si>
  <si>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</si>
  <si>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</si>
  <si>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</si>
  <si>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</si>
  <si>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</si>
  <si>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</si>
  <si>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</si>
  <si>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</si>
  <si>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</si>
  <si>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</si>
  <si>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</si>
  <si>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</si>
  <si>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</si>
  <si>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2026-09-29</t>
  </si>
  <si>
    <t xml:space="preserve">2026-09-30</t>
  </si>
  <si>
    <t xml:space="preserve">الملاحظات المتكررة ومدى تكرارها</t>
  </si>
  <si>
    <t xml:space="preserve">إجمالي الفرص المفحوصة: 14   |   إجمالي الأكشنات المفحوصة: 56   |   الفترة 01/09 – 30/09/2026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</si>
  <si>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</si>
  <si>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</si>
  <si>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</si>
  <si>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</si>
  <si>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</si>
  <si>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</si>
  <si>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</si>
  <si>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</si>
  <si>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</si>
  <si>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—</t>
  </si>
  <si>
    <t xml:space="preserve">المندوب لم يكتب «Plot Number» في الفرصة</t>
  </si>
  <si>
    <t xml:space="preserve">Mohammed Jamal (5)</t>
  </si>
  <si>
    <t xml:space="preserve">المندوب لم يكتب «الاستشاري» في الفرصة</t>
  </si>
  <si>
    <t xml:space="preserve">Abdullhadi AlHariri (2)</t>
  </si>
  <si>
    <t xml:space="preserve">المندوب لم يكتب «المقاول» في الفرصة</t>
  </si>
  <si>
    <t xml:space="preserve">المندوب لم يكتب «Tags» في الفرصة</t>
  </si>
  <si>
    <t xml:space="preserve">Mohammed Jamal (2)</t>
  </si>
  <si>
    <t xml:space="preserve">المندوب لم يكتب «مرفقات» في الفرصة</t>
  </si>
  <si>
    <t xml:space="preserve">المندوب لم يكتب «Source» في الفرصة</t>
  </si>
  <si>
    <t xml:space="preserve">Abdullhadi AlHariri (3)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</si>
  <si>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</si>
  <si>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</si>
  <si>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</si>
  <si>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</si>
  <si>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ملاحظات</t>
  </si>
  <si>
    <t xml:space="preserve">ناقص: Plot Number، الاستشاري، المقاول، Tags، مرفقات، Source، ملاحظات</t>
  </si>
  <si>
    <t xml:space="preserve">ناقص: Plot Number، المقاول، مرفقات، ملاحظات</t>
  </si>
  <si>
    <t xml:space="preserve">ناقص: Plot Number، مرفقات، Source، ملاحظات</t>
  </si>
  <si>
    <t xml:space="preserve">ناقص: Plot Number، الاستشاري، المقاول، مرفقات، Source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</si>
  <si>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</si>
  <si>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</si>
  <si>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</si>
  <si>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</si>
  <si>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</si>
  <si>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ملاحظة مسجّلة بدون أي نص</t>
  </si>
  <si>
    <t xml:space="preserve">أكشن مختصر جداً — النص تلقائي/عام بدون تفاصيل الزيارة أو نتيجتها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</si>
  <si>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</si>
  <si>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</si>
  <si>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</si>
  <si>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</si>
  <si>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</si>
  <si>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</si>
  <si>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</si>
  <si>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</si>
  <si>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</si>
  <si>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</si>
  <si>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</si>
  <si>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</si>
  <si>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</si>
  <si>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</si>
  <si>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</si>
  <si>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</si>
  <si>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</si>
  <si>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</si>
  <si>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09:55</t>
  </si>
  <si>
    <t xml:space="preserve">Abu Dhabi, and Al Ain 1</t>
  </si>
  <si>
    <t xml:space="preserve">فرصة</t>
  </si>
  <si>
    <t xml:space="preserve">مكتب تربل زيرو للاستشارات الهندسية- جيان</t>
  </si>
  <si>
    <t xml:space="preserve">مكتب تربل زيرو للاستشارات الهندسية</t>
  </si>
  <si>
    <t xml:space="preserve">نعم</t>
  </si>
  <si>
    <t xml:space="preserve">لا</t>
  </si>
  <si>
    <t xml:space="preserve">تربل زيرو للاستشارات الهندسية</t>
  </si>
  <si>
    <t xml:space="preserve">جيانكم للمقاولات</t>
  </si>
  <si>
    <t xml:space="preserve">مواقع</t>
  </si>
  <si>
    <t xml:space="preserve">المندوب لم يكتب: Plot Number، مرفقات، ملاحظات  (3 خانة ناقصة)</t>
  </si>
  <si>
    <t xml:space="preserve">11:08</t>
  </si>
  <si>
    <t xml:space="preserve">السلمانية للمقاولات والعقارات</t>
  </si>
  <si>
    <t xml:space="preserve">مكتب فراس للاستشارات الهندسية</t>
  </si>
  <si>
    <t xml:space="preserve">مصعد, مواقع</t>
  </si>
  <si>
    <t xml:space="preserve">17:20</t>
  </si>
  <si>
    <t xml:space="preserve">Abu Dhabi, and Al Ain</t>
  </si>
  <si>
    <t xml:space="preserve">الدوام اليوم's opportunity</t>
  </si>
  <si>
    <t xml:space="preserve">الدوام اليوم</t>
  </si>
  <si>
    <t xml:space="preserve">المندوب لم يكتب: Plot Number، الاستشاري، المقاول، Tags، مرفقات، Source، ملاحظات  (7 خانة ناقصة)</t>
  </si>
  <si>
    <t xml:space="preserve">21:02</t>
  </si>
  <si>
    <t xml:space="preserve">ADMIN</t>
  </si>
  <si>
    <t xml:space="preserve">مكتب اوتاد للاستشارات والمقاولات's oppor</t>
  </si>
  <si>
    <t xml:space="preserve">مكتب اوتاد للاستشارات والمقاولات</t>
  </si>
  <si>
    <t xml:space="preserve">مكتب اوتاد للاستشارات الهندسية</t>
  </si>
  <si>
    <t xml:space="preserve">اوتاد للمقاولات</t>
  </si>
  <si>
    <t xml:space="preserve">مكتب استشارات, مكتب مقاولات</t>
  </si>
  <si>
    <t xml:space="preserve">المندوب لم يكتب: Plot Number، مرفقات، Source، ملاحظات  (4 خانة ناقصة)</t>
  </si>
  <si>
    <t xml:space="preserve">10:59</t>
  </si>
  <si>
    <t xml:space="preserve">النشمي للاستشارات الهندسية- دلة البنيان </t>
  </si>
  <si>
    <t xml:space="preserve">النشمي للاستشارات</t>
  </si>
  <si>
    <t xml:space="preserve">النشمي للاستشارت الهندسية</t>
  </si>
  <si>
    <t xml:space="preserve">دلة البنيان للمقاولات العامة</t>
  </si>
  <si>
    <t xml:space="preserve">مكاتب</t>
  </si>
  <si>
    <t xml:space="preserve">13:04</t>
  </si>
  <si>
    <t xml:space="preserve">فرصة محمد الحارثي</t>
  </si>
  <si>
    <t xml:space="preserve">محمد الحارثي</t>
  </si>
  <si>
    <t xml:space="preserve">مصعد</t>
  </si>
  <si>
    <t xml:space="preserve">المندوب لم يكتب: Plot Number، الاستشاري، المقاول، مرفقات، Source  (5 خانة ناقصة)</t>
  </si>
  <si>
    <t xml:space="preserve">13:46</t>
  </si>
  <si>
    <t xml:space="preserve">فرصة ابوسلطان \\\\ خال بدر الكندي</t>
  </si>
  <si>
    <t xml:space="preserve">ابوسلطان \\\\ خال بدر الكندي</t>
  </si>
  <si>
    <t xml:space="preserve">13:57</t>
  </si>
  <si>
    <t xml:space="preserve">فرصة محمد احمد بن عمرو</t>
  </si>
  <si>
    <t xml:space="preserve">محمد احمد بن عمرو</t>
  </si>
  <si>
    <t xml:space="preserve">اركال</t>
  </si>
  <si>
    <t xml:space="preserve">كيس ديا كواليتي</t>
  </si>
  <si>
    <t xml:space="preserve">14:02</t>
  </si>
  <si>
    <t xml:space="preserve">مكتب بلديانو للعقارات's opportunity</t>
  </si>
  <si>
    <t xml:space="preserve">مكتب بلديانو للعقارات</t>
  </si>
  <si>
    <t xml:space="preserve">مكتب مقاولات</t>
  </si>
  <si>
    <t xml:space="preserve">15:29</t>
  </si>
  <si>
    <t xml:space="preserve">النهضة الذهبية للمقاولات- سبوكس للاستثما</t>
  </si>
  <si>
    <t xml:space="preserve">النهضة الذهبية للمقاولات</t>
  </si>
  <si>
    <t xml:space="preserve">رويال دوم للاستشارات الهندسية</t>
  </si>
  <si>
    <t xml:space="preserve">النهضة الذهبية</t>
  </si>
  <si>
    <t xml:space="preserve">عملاء مكاتب</t>
  </si>
  <si>
    <t xml:space="preserve">19:29</t>
  </si>
  <si>
    <t xml:space="preserve">لاميزون للمقاولات العامة's opportunity</t>
  </si>
  <si>
    <t xml:space="preserve">لاميزون للمقاولات العامة</t>
  </si>
  <si>
    <t xml:space="preserve">كالتشر للاستشارات الهندسية</t>
  </si>
  <si>
    <t xml:space="preserve">المندوب لم يكتب: Plot Number، المقاول، مرفقات، ملاحظات  (4 خانة ناقصة)</t>
  </si>
  <si>
    <t xml:space="preserve">19:30</t>
  </si>
  <si>
    <t xml:space="preserve">الكفاءات للمقاولات العامة's opportunity</t>
  </si>
  <si>
    <t xml:space="preserve">الكفاءات للمقاولات العامة</t>
  </si>
  <si>
    <t xml:space="preserve">فريد دزاين للاستشارات</t>
  </si>
  <si>
    <t xml:space="preserve">19:32</t>
  </si>
  <si>
    <t xml:space="preserve">ايجبيان للمقاولات العامة's opportunity</t>
  </si>
  <si>
    <t xml:space="preserve">ايجبيان للمقاولات العامة</t>
  </si>
  <si>
    <t xml:space="preserve">بارين للمقاولات العامة</t>
  </si>
  <si>
    <t xml:space="preserve">19:33</t>
  </si>
  <si>
    <t xml:space="preserve">معرض العين's opportunity</t>
  </si>
  <si>
    <t xml:space="preserve">معرض العين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</si>
  <si>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</si>
  <si>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</si>
  <si>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</si>
  <si>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</si>
  <si>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</si>
  <si>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09:58</t>
  </si>
  <si>
    <t xml:space="preserve">نشاط منفذ</t>
  </si>
  <si>
    <t xml:space="preserve">Site Visit</t>
  </si>
  <si>
    <t xml:space="preserve">تفصيلي</t>
  </si>
  <si>
    <t xml:space="preserve">تم زيارة الموقع في مرحلة الخرسانة ويوجد مصعد وتم ا</t>
  </si>
  <si>
    <t xml:space="preserve">10:21</t>
  </si>
  <si>
    <t xml:space="preserve">Meeting</t>
  </si>
  <si>
    <t xml:space="preserve">تم زيارة المكتب ومقابلة المدير وتم مناقشة احد المش</t>
  </si>
  <si>
    <t xml:space="preserve">11:09</t>
  </si>
  <si>
    <t xml:space="preserve">تم زيار ة الموقع ومقابلة المقاول وهو نفسه المالك و</t>
  </si>
  <si>
    <t xml:space="preserve">11:29</t>
  </si>
  <si>
    <t xml:space="preserve">تم زيارة الموقع للمتابعة والمشروع شبه متوقف وتم ال</t>
  </si>
  <si>
    <t xml:space="preserve">11:42</t>
  </si>
  <si>
    <t xml:space="preserve">الاجتماع تم : تم التواصل واتس اب والاستفسار عن سما</t>
  </si>
  <si>
    <t xml:space="preserve">11:56</t>
  </si>
  <si>
    <t xml:space="preserve">تم زيارة المكتب ومقابلة السكريتير وقال المدير مساف</t>
  </si>
  <si>
    <t xml:space="preserve">11:58</t>
  </si>
  <si>
    <t xml:space="preserve">تم زيارة المكتب ومقابلة المنندس عمر وقال مهندس محم</t>
  </si>
  <si>
    <t xml:space="preserve">13:36</t>
  </si>
  <si>
    <t xml:space="preserve">Call</t>
  </si>
  <si>
    <t xml:space="preserve">تم الاتصال بمكتب الاستشاري وقال لسه المطورن موقف ا</t>
  </si>
  <si>
    <t xml:space="preserve">14:07</t>
  </si>
  <si>
    <t xml:space="preserve">WhatsApp</t>
  </si>
  <si>
    <t xml:space="preserve">WhatsApp done Original note: تم النتهاء من التؤكيب</t>
  </si>
  <si>
    <t xml:space="preserve">14:09</t>
  </si>
  <si>
    <t xml:space="preserve">Call done Original note: تم التواصل والمتابعه وقال</t>
  </si>
  <si>
    <t xml:space="preserve">14:12</t>
  </si>
  <si>
    <t xml:space="preserve">Call done Original note: تم التواصل ولم يرد وسيت م</t>
  </si>
  <si>
    <t xml:space="preserve">14:14</t>
  </si>
  <si>
    <t xml:space="preserve">To Do</t>
  </si>
  <si>
    <t xml:space="preserve">To Do done Original note: تم دفع 5000 ودا الايصال</t>
  </si>
  <si>
    <t xml:space="preserve">14:15</t>
  </si>
  <si>
    <t xml:space="preserve">Call done Original note: تم التواصل والمتابعه مع ا</t>
  </si>
  <si>
    <t xml:space="preserve">14:17</t>
  </si>
  <si>
    <t xml:space="preserve">To Do done Original note: تم تسليم المصعد</t>
  </si>
  <si>
    <t xml:space="preserve">14:18</t>
  </si>
  <si>
    <t xml:space="preserve">تم الاتصال بالمقاول وقال المالك وقع مع شركة اخري و</t>
  </si>
  <si>
    <t xml:space="preserve">14:26</t>
  </si>
  <si>
    <t xml:space="preserve">WhatsApp done Original note: تم التواصل عن طريق ال</t>
  </si>
  <si>
    <t xml:space="preserve">14:30</t>
  </si>
  <si>
    <t xml:space="preserve">تم المقابله ودفع 4000 درهم من باقي قيمه المصعد وهي</t>
  </si>
  <si>
    <t xml:space="preserve">14:31</t>
  </si>
  <si>
    <t xml:space="preserve">Call done Original note: تم اعتماد الديكور من دون</t>
  </si>
  <si>
    <t xml:space="preserve">14:36</t>
  </si>
  <si>
    <t xml:space="preserve">Call done Original note: تم اعتماد مواصفات التصنيع</t>
  </si>
  <si>
    <t xml:space="preserve">14:40</t>
  </si>
  <si>
    <t xml:space="preserve">WhatsApp done Original note: تم التواصل ع الواتس ا</t>
  </si>
  <si>
    <t xml:space="preserve">14:41</t>
  </si>
  <si>
    <t xml:space="preserve">WhatsApp done Original note: تم التواصل وقال لسه م</t>
  </si>
  <si>
    <t xml:space="preserve">15:27</t>
  </si>
  <si>
    <t xml:space="preserve">الاجتماع تم : تم التواصل ووعد ان خلال الشهر بيتم ا</t>
  </si>
  <si>
    <t xml:space="preserve">الاجتماع تم : تم التواصل لمتابعه عرض سعر المصعد وت</t>
  </si>
  <si>
    <t xml:space="preserve">17:21</t>
  </si>
  <si>
    <t xml:space="preserve">مختصر</t>
  </si>
  <si>
    <t xml:space="preserve">الدوام من المكتب لمتابعة عروض الاسعار</t>
  </si>
  <si>
    <t xml:space="preserve">18:32</t>
  </si>
  <si>
    <t xml:space="preserve">تم عمل ملحق عقد بقيمة 10000 درهم لزيادة 4 طن</t>
  </si>
  <si>
    <t xml:space="preserve">18:33</t>
  </si>
  <si>
    <t xml:space="preserve">المالك مسافر وسيتم التواصل بعد الرجوع</t>
  </si>
  <si>
    <t xml:space="preserve">18:34</t>
  </si>
  <si>
    <t xml:space="preserve">تم التواصل مع المالك وستتم المتابعة مع مهندس شريف</t>
  </si>
  <si>
    <t xml:space="preserve">18:35</t>
  </si>
  <si>
    <t xml:space="preserve">تم عمل تعديل بعد مكالمة جماعية مع مهندس اسلام ومهن</t>
  </si>
  <si>
    <t xml:space="preserve">20:03</t>
  </si>
  <si>
    <t xml:space="preserve">زياره الموقع ومقابله المالك ومهندس سيد والكهربائي</t>
  </si>
  <si>
    <t xml:space="preserve">21:05</t>
  </si>
  <si>
    <t xml:space="preserve">تم مقابلة مهندس سام وتم ارسال اللينك واتساب</t>
  </si>
  <si>
    <t xml:space="preserve">21:45</t>
  </si>
  <si>
    <t xml:space="preserve">الاجتماع تم : تم زياره للمكتب وانتظار م ياسر وعدم</t>
  </si>
  <si>
    <t xml:space="preserve">21:49</t>
  </si>
  <si>
    <t xml:space="preserve">الاجتماع تم : نم زياره للمكتب ومقابله م عمر وعدم ت</t>
  </si>
  <si>
    <t xml:space="preserve">21:50</t>
  </si>
  <si>
    <t xml:space="preserve">الاجتماع تم : تم زياره للمكتب ومقابله م عمر وتم بح</t>
  </si>
  <si>
    <t xml:space="preserve">10:06</t>
  </si>
  <si>
    <t xml:space="preserve">تم زيارة الموقع للتاكد من جاهزية الموقع ولكن الباي</t>
  </si>
  <si>
    <t xml:space="preserve">ملاحظة</t>
  </si>
  <si>
    <t xml:space="preserve">مختصر جداً / فارغ</t>
  </si>
  <si>
    <t xml:space="preserve">10:36</t>
  </si>
  <si>
    <t xml:space="preserve">تم زيارة الموقع لمتابعة عروض الاسعار وتم توقيع عقد</t>
  </si>
  <si>
    <t xml:space="preserve">11:01</t>
  </si>
  <si>
    <t xml:space="preserve">تم زيارة الموقع في مرحلة الاساسات وتم الاتصال بالم</t>
  </si>
  <si>
    <t xml:space="preserve">12:30</t>
  </si>
  <si>
    <t xml:space="preserve">تم الاتصال من المالك طلب اجتماع غدا بالموقع لمقابل</t>
  </si>
  <si>
    <t xml:space="preserve">تم الاتصال بالمالك وقال محتاج يعمل معاينة لمصعد فو</t>
  </si>
  <si>
    <t xml:space="preserve">To Do done</t>
  </si>
  <si>
    <t xml:space="preserve">13:09</t>
  </si>
  <si>
    <t xml:space="preserve">الاجتماع تم : عميل من داتا استاذ فراس تم التواصل و</t>
  </si>
  <si>
    <t xml:space="preserve">13:11</t>
  </si>
  <si>
    <t xml:space="preserve">الاجتماع تم : تمت زياره للمكتب وعدم تواجد م حسن وم</t>
  </si>
  <si>
    <t xml:space="preserve">13:13</t>
  </si>
  <si>
    <t xml:space="preserve">الاجتماع تم : تمت زياره للمكتب ومقابله م ياسر ومنا</t>
  </si>
  <si>
    <t xml:space="preserve">13:17</t>
  </si>
  <si>
    <t xml:space="preserve">الاجتماع تم : تمت زياره للمكتب لمتابعه التحصيل وعم</t>
  </si>
  <si>
    <t xml:space="preserve">13:48</t>
  </si>
  <si>
    <t xml:space="preserve">الاجتماع تم : عميل خال العميل بدر الكندي بيستفسر ع</t>
  </si>
  <si>
    <t xml:space="preserve">13:49</t>
  </si>
  <si>
    <t xml:space="preserve">الاجتماع تم : تم زياره الموقع اليوم لمتابعه الموقع</t>
  </si>
  <si>
    <t xml:space="preserve">13:52</t>
  </si>
  <si>
    <t xml:space="preserve">الاجتماع تم : تم زياره الموقع ومقابله المقاول لمتا</t>
  </si>
  <si>
    <t xml:space="preserve">تم زيارة المكتب ومقابلة استاذ مصطفى .. حاج رمضان ف</t>
  </si>
  <si>
    <t xml:space="preserve">14:04</t>
  </si>
  <si>
    <t xml:space="preserve">تم مقابلة مهندس محمد الفاتح وارسال البروفايل واتسا</t>
  </si>
  <si>
    <t xml:space="preserve">14:11</t>
  </si>
  <si>
    <t xml:space="preserve">الاجتماع تم : زياره الموقع لملاحظات والارسال للعمي</t>
  </si>
  <si>
    <t xml:space="preserve">15:31</t>
  </si>
  <si>
    <t xml:space="preserve">تم التواصل بالواتس اب مع المقاول وارسل عرض سعر تكي</t>
  </si>
  <si>
    <t xml:space="preserve">18:21</t>
  </si>
  <si>
    <t xml:space="preserve">تم ارسال ٣ مخططات ٣ عروض اسعار تكيف و ٣ عروض اسعار</t>
  </si>
  <si>
    <t xml:space="preserve">زيارة الموقع وتم الاتصال على مهندس عبدالله متابعة</t>
  </si>
  <si>
    <t xml:space="preserve">زيارة الموقع ومقابلة المهندس عمر متابعة موقع العمي</t>
  </si>
  <si>
    <t xml:space="preserve">زيارة الموقع للمعاينة موقع صالح الكعبي</t>
  </si>
  <si>
    <t xml:space="preserve">19:34</t>
  </si>
  <si>
    <t xml:space="preserve">مقابله الاستاذ صالح الكعبي وتم توقيع عقد مصعد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</si>
</sst>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الفرص'!$D$2:$D$15,$A5)</f>
        <v>3</v>
      </c>
      <c r="C5" s="5" t="n">
        <f aca="false">COUNTIFS('تفاصيل الفرص'!$D$2:$D$15,$A5,'تفاصيل الفرص'!$I$2:$I$15,"نعم")</f>
        <v>3</v>
      </c>
      <c r="D5" s="5" t="n">
        <f aca="false">COUNTIFS('تفاصيل الفرص'!$D$2:$D$15,$A5,'تفاصيل الفرص'!$K$2:$K$15,"نعم")</f>
        <v>0</v>
      </c>
      <c r="E5" s="5" t="n">
        <f aca="false">COUNTIFS('تفاصيل الفرص'!$D$2:$D$15,$A5,'تفاصيل الفرص'!$M$2:$M$15,"نعم")</f>
        <v>1</v>
      </c>
      <c r="F5" s="5" t="n">
        <f aca="false">COUNTIFS('تفاصيل الفرص'!$D$2:$D$15,$A5,'تفاصيل الفرص'!$O$2:$O$15,"نعم")</f>
        <v>1</v>
      </c>
      <c r="G5" s="5" t="n">
        <f aca="false">COUNTIFS('تفاصيل الفرص'!$D$2:$D$15,$A5,'تفاصيل الفرص'!$Q$2:$Q$15,"نعم")</f>
        <v>2</v>
      </c>
      <c r="H5" s="5" t="n">
        <f aca="false">COUNTIFS('تفاصيل الفرص'!$D$2:$D$15,$A5,'تفاصيل الفرص'!$S$2:$S$15,"نعم")</f>
        <v>0</v>
      </c>
      <c r="I5" s="5" t="n">
        <f aca="false">COUNTIFS('تفاصيل الفرص'!$D$2:$D$15,$A5,'تفاصيل الفرص'!$U$2:$U$15,"نعم")</f>
        <v>0</v>
      </c>
      <c r="J5" s="5" t="n">
        <f aca="false">COUNTIFS('تفاصيل الفرص'!$D$2:$D$15,$A5,'تفاصيل الفرص'!$W$2:$W$15,"نعم")</f>
        <v>1</v>
      </c>
      <c r="K5" s="6" t="n">
        <f aca="false">IF($B5=0,0,SUM(C5:J5)/($B5*8))</f>
        <v>0.333333333333333</v>
      </c>
      <c r="L5" s="5" t="n">
        <f aca="false">COUNTIF('سجل الأكشنات'!$D$2:$D$57,$A5)</f>
        <v>8</v>
      </c>
      <c r="M5" s="5" t="n">
        <f aca="false">COUNTIFS('سجل الأكشنات'!$D$2:$D$57,$A5,'سجل الأكشنات'!$H$2:$H$57,"تفصيلي")</f>
        <v>8</v>
      </c>
      <c r="N5" s="5" t="n">
        <f aca="false">L5-M5</f>
        <v>0</v>
      </c>
      <c r="O5" s="6" t="n">
        <f aca="false">IF($L5=0,0,M5/L5)</f>
        <v>1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الفرص'!$D$2:$D$15,$A6)</f>
        <v>2</v>
      </c>
      <c r="C6" s="5" t="n">
        <f aca="false">COUNTIFS('تفاصيل الفرص'!$D$2:$D$15,$A6,'تفاصيل الفرص'!$I$2:$I$15,"نعم")</f>
        <v>2</v>
      </c>
      <c r="D6" s="5" t="n">
        <f aca="false">COUNTIFS('تفاصيل الفرص'!$D$2:$D$15,$A6,'تفاصيل الفرص'!$K$2:$K$15,"نعم")</f>
        <v>0</v>
      </c>
      <c r="E6" s="5" t="n">
        <f aca="false">COUNTIFS('تفاصيل الفرص'!$D$2:$D$15,$A6,'تفاصيل الفرص'!$M$2:$M$15,"نعم")</f>
        <v>1</v>
      </c>
      <c r="F6" s="5" t="n">
        <f aca="false">COUNTIFS('تفاصيل الفرص'!$D$2:$D$15,$A6,'تفاصيل الفرص'!$O$2:$O$15,"نعم")</f>
        <v>1</v>
      </c>
      <c r="G6" s="5" t="n">
        <f aca="false">COUNTIFS('تفاصيل الفرص'!$D$2:$D$15,$A6,'تفاصيل الفرص'!$Q$2:$Q$15,"نعم")</f>
        <v>2</v>
      </c>
      <c r="H6" s="5" t="n">
        <f aca="false">COUNTIFS('تفاصيل الفرص'!$D$2:$D$15,$A6,'تفاصيل الفرص'!$S$2:$S$15,"نعم")</f>
        <v>0</v>
      </c>
      <c r="I6" s="5" t="n">
        <f aca="false">COUNTIFS('تفاصيل الفرص'!$D$2:$D$15,$A6,'تفاصيل الفرص'!$U$2:$U$15,"نعم")</f>
        <v>0</v>
      </c>
      <c r="J6" s="5" t="n">
        <f aca="false">COUNTIFS('تفاصيل الفرص'!$D$2:$D$15,$A6,'تفاصيل الفرص'!$W$2:$W$15,"نعم")</f>
        <v>1</v>
      </c>
      <c r="K6" s="6" t="n">
        <f aca="false">IF($B6=0,0,SUM(C6:J6)/($B6*8))</f>
        <v>0.4375</v>
      </c>
      <c r="L6" s="5" t="n">
        <f aca="false">COUNTIF('سجل الأكشنات'!$D$2:$D$57,$A6)</f>
        <v>7</v>
      </c>
      <c r="M6" s="5" t="n">
        <f aca="false">COUNTIFS('سجل الأكشنات'!$D$2:$D$57,$A6,'سجل الأكشنات'!$H$2:$H$57,"تفصيلي")</f>
        <v>6</v>
      </c>
      <c r="N6" s="5" t="n">
        <f aca="false">L6-M6</f>
        <v>1</v>
      </c>
      <c r="O6" s="6" t="n">
        <f aca="false">IF($L6=0,0,M6/L6)</f>
        <v>0.857142857142857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الفرص'!$D$2:$D$15,$A7)</f>
        <v>0</v>
      </c>
      <c r="C7" s="5" t="n">
        <f aca="false">COUNTIFS('تفاصيل الفرص'!$D$2:$D$15,$A7,'تفاصيل الفرص'!$I$2:$I$15,"نعم")</f>
        <v>0</v>
      </c>
      <c r="D7" s="5" t="n">
        <f aca="false">COUNTIFS('تفاصيل الفرص'!$D$2:$D$15,$A7,'تفاصيل الفرص'!$K$2:$K$15,"نعم")</f>
        <v>0</v>
      </c>
      <c r="E7" s="5" t="n">
        <f aca="false">COUNTIFS('تفاصيل الفرص'!$D$2:$D$15,$A7,'تفاصيل الفرص'!$M$2:$M$15,"نعم")</f>
        <v>0</v>
      </c>
      <c r="F7" s="5" t="n">
        <f aca="false">COUNTIFS('تفاصيل الفرص'!$D$2:$D$15,$A7,'تفاصيل الفرص'!$O$2:$O$15,"نعم")</f>
        <v>0</v>
      </c>
      <c r="G7" s="5" t="n">
        <f aca="false">COUNTIFS('تفاصيل الفرص'!$D$2:$D$15,$A7,'تفاصيل الفرص'!$Q$2:$Q$15,"نعم")</f>
        <v>0</v>
      </c>
      <c r="H7" s="5" t="n">
        <f aca="false">COUNTIFS('تفاصيل الفرص'!$D$2:$D$15,$A7,'تفاصيل الفرص'!$S$2:$S$15,"نعم")</f>
        <v>0</v>
      </c>
      <c r="I7" s="5" t="n">
        <f aca="false">COUNTIFS('تفاصيل الفرص'!$D$2:$D$15,$A7,'تفاصيل الفرص'!$U$2:$U$15,"نعم")</f>
        <v>0</v>
      </c>
      <c r="J7" s="5" t="n">
        <f aca="false">COUNTIFS('تفاصيل الفرص'!$D$2:$D$15,$A7,'تفاصيل الفرص'!$W$2:$W$15,"نعم")</f>
        <v>0</v>
      </c>
      <c r="K7" s="6" t="n">
        <f aca="false">IF($B7=0,0,SUM(C7:J7)/($B7*8))</f>
        <v>0</v>
      </c>
      <c r="L7" s="5" t="n">
        <f aca="false">COUNTIF('سجل الأكشنات'!$D$2:$D$57,$A7)</f>
        <v>6</v>
      </c>
      <c r="M7" s="5" t="n">
        <f aca="false">COUNTIFS('سجل الأكشنات'!$D$2:$D$57,$A7,'سجل الأكشنات'!$H$2:$H$57,"تفصيلي")</f>
        <v>6</v>
      </c>
      <c r="N7" s="5" t="n">
        <f aca="false">L7-M7</f>
        <v>0</v>
      </c>
      <c r="O7" s="6" t="n">
        <f aca="false">IF($L7=0,0,M7/L7)</f>
        <v>1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الفرص'!$D$2:$D$15,$A8)</f>
        <v>0</v>
      </c>
      <c r="C8" s="5" t="n">
        <f aca="false">COUNTIFS('تفاصيل الفرص'!$D$2:$D$15,$A8,'تفاصيل الفرص'!$I$2:$I$15,"نعم")</f>
        <v>0</v>
      </c>
      <c r="D8" s="5" t="n">
        <f aca="false">COUNTIFS('تفاصيل الفرص'!$D$2:$D$15,$A8,'تفاصيل الفرص'!$K$2:$K$15,"نعم")</f>
        <v>0</v>
      </c>
      <c r="E8" s="5" t="n">
        <f aca="false">COUNTIFS('تفاصيل الفرص'!$D$2:$D$15,$A8,'تفاصيل الفرص'!$M$2:$M$15,"نعم")</f>
        <v>0</v>
      </c>
      <c r="F8" s="5" t="n">
        <f aca="false">COUNTIFS('تفاصيل الفرص'!$D$2:$D$15,$A8,'تفاصيل الفرص'!$O$2:$O$15,"نعم")</f>
        <v>0</v>
      </c>
      <c r="G8" s="5" t="n">
        <f aca="false">COUNTIFS('تفاصيل الفرص'!$D$2:$D$15,$A8,'تفاصيل الفرص'!$Q$2:$Q$15,"نعم")</f>
        <v>0</v>
      </c>
      <c r="H8" s="5" t="n">
        <f aca="false">COUNTIFS('تفاصيل الفرص'!$D$2:$D$15,$A8,'تفاصيل الفرص'!$S$2:$S$15,"نعم")</f>
        <v>0</v>
      </c>
      <c r="I8" s="5" t="n">
        <f aca="false">COUNTIFS('تفاصيل الفرص'!$D$2:$D$15,$A8,'تفاصيل الفرص'!$U$2:$U$15,"نعم")</f>
        <v>0</v>
      </c>
      <c r="J8" s="5" t="n">
        <f aca="false">COUNTIFS('تفاصيل الفرص'!$D$2:$D$15,$A8,'تفاصيل الفرص'!$W$2:$W$15,"نعم")</f>
        <v>0</v>
      </c>
      <c r="K8" s="6" t="n">
        <f aca="false">IF($B8=0,0,SUM(C8:J8)/($B8*8))</f>
        <v>0</v>
      </c>
      <c r="L8" s="5" t="n">
        <f aca="false">COUNTIF('سجل الأكشنات'!$D$2:$D$57,$A8)</f>
        <v>12</v>
      </c>
      <c r="M8" s="5" t="n">
        <f aca="false">COUNTIFS('سجل الأكشنات'!$D$2:$D$57,$A8,'سجل الأكشنات'!$H$2:$H$57,"تفصيلي")</f>
        <v>12</v>
      </c>
      <c r="N8" s="5" t="n">
        <f aca="false">L8-M8</f>
        <v>0</v>
      </c>
      <c r="O8" s="6" t="n">
        <f aca="false">IF($L8=0,0,M8/L8)</f>
        <v>1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الفرص'!$D$2:$D$15,$A9)</f>
        <v>5</v>
      </c>
      <c r="C9" s="5" t="n">
        <f aca="false">COUNTIFS('تفاصيل الفرص'!$D$2:$D$15,$A9,'تفاصيل الفرص'!$I$2:$I$15,"نعم")</f>
        <v>5</v>
      </c>
      <c r="D9" s="5" t="n">
        <f aca="false">COUNTIFS('تفاصيل الفرص'!$D$2:$D$15,$A9,'تفاصيل الفرص'!$K$2:$K$15,"نعم")</f>
        <v>0</v>
      </c>
      <c r="E9" s="5" t="n">
        <f aca="false">COUNTIFS('تفاصيل الفرص'!$D$2:$D$15,$A9,'تفاصيل الفرص'!$M$2:$M$15,"نعم")</f>
        <v>3</v>
      </c>
      <c r="F9" s="5" t="n">
        <f aca="false">COUNTIFS('تفاصيل الفرص'!$D$2:$D$15,$A9,'تفاصيل الفرص'!$O$2:$O$15,"نعم")</f>
        <v>0</v>
      </c>
      <c r="G9" s="5" t="n">
        <f aca="false">COUNTIFS('تفاصيل الفرص'!$D$2:$D$15,$A9,'تفاصيل الفرص'!$Q$2:$Q$15,"نعم")</f>
        <v>3</v>
      </c>
      <c r="H9" s="5" t="n">
        <f aca="false">COUNTIFS('تفاصيل الفرص'!$D$2:$D$15,$A9,'تفاصيل الفرص'!$S$2:$S$15,"نعم")</f>
        <v>0</v>
      </c>
      <c r="I9" s="5" t="n">
        <f aca="false">COUNTIFS('تفاصيل الفرص'!$D$2:$D$15,$A9,'تفاصيل الفرص'!$U$2:$U$15,"نعم")</f>
        <v>3</v>
      </c>
      <c r="J9" s="5" t="n">
        <f aca="false">COUNTIFS('تفاصيل الفرص'!$D$2:$D$15,$A9,'تفاصيل الفرص'!$W$2:$W$15,"نعم")</f>
        <v>0</v>
      </c>
      <c r="K9" s="6" t="n">
        <f aca="false">IF($B9=0,0,SUM(C9:J9)/($B9*8))</f>
        <v>0.35</v>
      </c>
      <c r="L9" s="5" t="n">
        <f aca="false">COUNTIF('سجل الأكشنات'!$D$2:$D$57,$A9)</f>
        <v>5</v>
      </c>
      <c r="M9" s="5" t="n">
        <f aca="false">COUNTIFS('سجل الأكشنات'!$D$2:$D$57,$A9,'سجل الأكشنات'!$H$2:$H$57,"تفصيلي")</f>
        <v>3</v>
      </c>
      <c r="N9" s="5" t="n">
        <f aca="false">L9-M9</f>
        <v>2</v>
      </c>
      <c r="O9" s="6" t="n">
        <f aca="false">IF($L9=0,0,M9/L9)</f>
        <v>0.6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الفرص'!$D$2:$D$15,$A10)</f>
        <v>0</v>
      </c>
      <c r="C10" s="5" t="n">
        <f aca="false">COUNTIFS('تفاصيل الفرص'!$D$2:$D$15,$A10,'تفاصيل الفرص'!$I$2:$I$15,"نعم")</f>
        <v>0</v>
      </c>
      <c r="D10" s="5" t="n">
        <f aca="false">COUNTIFS('تفاصيل الفرص'!$D$2:$D$15,$A10,'تفاصيل الفرص'!$K$2:$K$15,"نعم")</f>
        <v>0</v>
      </c>
      <c r="E10" s="5" t="n">
        <f aca="false">COUNTIFS('تفاصيل الفرص'!$D$2:$D$15,$A10,'تفاصيل الفرص'!$M$2:$M$15,"نعم")</f>
        <v>0</v>
      </c>
      <c r="F10" s="5" t="n">
        <f aca="false">COUNTIFS('تفاصيل الفرص'!$D$2:$D$15,$A10,'تفاصيل الفرص'!$O$2:$O$15,"نعم")</f>
        <v>0</v>
      </c>
      <c r="G10" s="5" t="n">
        <f aca="false">COUNTIFS('تفاصيل الفرص'!$D$2:$D$15,$A10,'تفاصيل الفرص'!$Q$2:$Q$15,"نعم")</f>
        <v>0</v>
      </c>
      <c r="H10" s="5" t="n">
        <f aca="false">COUNTIFS('تفاصيل الفرص'!$D$2:$D$15,$A10,'تفاصيل الفرص'!$S$2:$S$15,"نعم")</f>
        <v>0</v>
      </c>
      <c r="I10" s="5" t="n">
        <f aca="false">COUNTIFS('تفاصيل الفرص'!$D$2:$D$15,$A10,'تفاصيل الفرص'!$U$2:$U$15,"نعم")</f>
        <v>0</v>
      </c>
      <c r="J10" s="5" t="n">
        <f aca="false">COUNTIFS('تفاصيل الفرص'!$D$2:$D$15,$A10,'تفاصيل الفرص'!$W$2:$W$15,"نعم")</f>
        <v>0</v>
      </c>
      <c r="K10" s="6" t="n">
        <f aca="false">IF($B10=0,0,SUM(C10:J10)/($B10*8))</f>
        <v>0</v>
      </c>
      <c r="L10" s="5" t="n">
        <f aca="false">COUNTIF('سجل الأكشنات'!$D$2:$D$57,$A10)</f>
        <v>2</v>
      </c>
      <c r="M10" s="5" t="n">
        <f aca="false">COUNTIFS('سجل الأكشنات'!$D$2:$D$57,$A10,'سجل الأكشنات'!$H$2:$H$57,"تفصيلي")</f>
        <v>2</v>
      </c>
      <c r="N10" s="5" t="n">
        <f aca="false">L10-M10</f>
        <v>0</v>
      </c>
      <c r="O10" s="6" t="n">
        <f aca="false">IF($L10=0,0,M10/L10)</f>
        <v>1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الفرص'!$D$2:$D$15,$A11)</f>
        <v>4</v>
      </c>
      <c r="C11" s="5" t="n">
        <f aca="false">COUNTIFS('تفاصيل الفرص'!$D$2:$D$15,$A11,'تفاصيل الفرص'!$I$2:$I$15,"نعم")</f>
        <v>4</v>
      </c>
      <c r="D11" s="5" t="n">
        <f aca="false">COUNTIFS('تفاصيل الفرص'!$D$2:$D$15,$A11,'تفاصيل الفرص'!$K$2:$K$15,"نعم")</f>
        <v>0</v>
      </c>
      <c r="E11" s="5" t="n">
        <f aca="false">COUNTIFS('تفاصيل الفرص'!$D$2:$D$15,$A11,'تفاصيل الفرص'!$M$2:$M$15,"نعم")</f>
        <v>4</v>
      </c>
      <c r="F11" s="5" t="n">
        <f aca="false">COUNTIFS('تفاصيل الفرص'!$D$2:$D$15,$A11,'تفاصيل الفرص'!$O$2:$O$15,"نعم")</f>
        <v>4</v>
      </c>
      <c r="G11" s="5" t="n">
        <f aca="false">COUNTIFS('تفاصيل الفرص'!$D$2:$D$15,$A11,'تفاصيل الفرص'!$Q$2:$Q$15,"نعم")</f>
        <v>4</v>
      </c>
      <c r="H11" s="5" t="n">
        <f aca="false">COUNTIFS('تفاصيل الفرص'!$D$2:$D$15,$A11,'تفاصيل الفرص'!$S$2:$S$15,"نعم")</f>
        <v>0</v>
      </c>
      <c r="I11" s="5" t="n">
        <f aca="false">COUNTIFS('تفاصيل الفرص'!$D$2:$D$15,$A11,'تفاصيل الفرص'!$U$2:$U$15,"نعم")</f>
        <v>4</v>
      </c>
      <c r="J11" s="5" t="n">
        <f aca="false">COUNTIFS('تفاصيل الفرص'!$D$2:$D$15,$A11,'تفاصيل الفرص'!$W$2:$W$15,"نعم")</f>
        <v>0</v>
      </c>
      <c r="K11" s="6" t="n">
        <f aca="false">IF($B11=0,0,SUM(C11:J11)/($B11*8))</f>
        <v>0.625</v>
      </c>
      <c r="L11" s="5" t="n">
        <f aca="false">COUNTIF('سجل الأكشنات'!$D$2:$D$57,$A11)</f>
        <v>16</v>
      </c>
      <c r="M11" s="5" t="n">
        <f aca="false">COUNTIFS('سجل الأكشنات'!$D$2:$D$57,$A11,'سجل الأكشنات'!$H$2:$H$57,"تفصيلي")</f>
        <v>14</v>
      </c>
      <c r="N11" s="5" t="n">
        <f aca="false">L11-M11</f>
        <v>2</v>
      </c>
      <c r="O11" s="6" t="n">
        <f aca="false">IF($L11=0,0,M11/L11)</f>
        <v>0.875</v>
      </c>
      <c r="P11" s="4" t="s">
        <v>31</v>
      </c>
    </row>
    <row r="12" customFormat="false" ht="15" hidden="false" customHeight="false" outlineLevel="0" collapsed="false">
      <c r="A12" s="7" t="s">
        <v>32</v>
      </c>
      <c r="B12" s="8" t="n">
        <f aca="false">SUM(B5:B11)</f>
        <v>14</v>
      </c>
      <c r="C12" s="8" t="n">
        <f aca="false">SUM(C5:C11)</f>
        <v>14</v>
      </c>
      <c r="D12" s="8" t="n">
        <f aca="false">SUM(D5:D11)</f>
        <v>0</v>
      </c>
      <c r="E12" s="8" t="n">
        <f aca="false">SUM(E5:E11)</f>
        <v>9</v>
      </c>
      <c r="F12" s="8" t="n">
        <f aca="false">SUM(F5:F11)</f>
        <v>6</v>
      </c>
      <c r="G12" s="8" t="n">
        <f aca="false">SUM(G5:G11)</f>
        <v>11</v>
      </c>
      <c r="H12" s="8" t="n">
        <f aca="false">SUM(H5:H11)</f>
        <v>0</v>
      </c>
      <c r="I12" s="8" t="n">
        <f aca="false">SUM(I5:I11)</f>
        <v>7</v>
      </c>
      <c r="J12" s="8" t="n">
        <f aca="false">SUM(J5:J11)</f>
        <v>2</v>
      </c>
      <c r="K12" s="9" t="n">
        <f aca="false">IF($B12=0,0,SUM(C12:J12)/($B12*8))</f>
        <v>0.4375</v>
      </c>
      <c r="L12" s="8" t="n">
        <f aca="false">SUM(L5:L11)</f>
        <v>56</v>
      </c>
      <c r="M12" s="8" t="n">
        <f aca="false">SUM(M5:M11)</f>
        <v>51</v>
      </c>
      <c r="N12" s="8" t="n">
        <f aca="false">SUM(N5:N11)</f>
        <v>5</v>
      </c>
      <c r="O12" s="9" t="n">
        <f aca="false">IF($L12=0,0,M12/L12)</f>
        <v>0.910714285714286</v>
      </c>
      <c r="P12" s="7"/>
    </row>
    <row r="14" customFormat="false" ht="15" hidden="false" customHeight="false" outlineLevel="0" collapsed="false">
      <c r="A14" s="10" t="s">
        <v>33</v>
      </c>
    </row>
    <row r="15" customFormat="false" ht="15" hidden="false" customHeight="false" outlineLevel="0" collapsed="false">
      <c r="A15" s="11" t="s">
        <v>34</v>
      </c>
    </row>
    <row r="16" customFormat="false" ht="15" hidden="false" customHeight="false" outlineLevel="0" collapsed="false">
      <c r="A16" s="11" t="s">
        <v>35</v>
      </c>
    </row>
    <row r="17" customFormat="false" ht="15" hidden="false" customHeight="false" outlineLevel="0" collapsed="false">
      <c r="A17" s="11" t="s">
        <v>36</v>
      </c>
    </row>
    <row r="18" customFormat="false" ht="15" hidden="false" customHeight="false" outlineLevel="0" collapsed="false">
      <c r="A18" s="11" t="s">
        <v>37</v>
      </c>
    </row>
    <row r="19" customFormat="false" ht="15" hidden="false" customHeight="false" outlineLevel="0" collapsed="false">
      <c r="A19" s="11" t="s">
        <v>38</v>
      </c>
    </row>
    <row r="20" customFormat="false" ht="15" hidden="false" customHeight="false" outlineLevel="0" collapsed="false">
      <c r="A20" s="11" t="s">
        <v>39</v>
      </c>
    </row>
    <row r="21" customFormat="false" ht="15" hidden="false" customHeight="false" outlineLevel="0" collapsed="false">
      <c r="A21" s="11" t="s">
        <v>40</v>
      </c>
    </row>
  </sheetData>
  <mergeCells count="2">
    <mergeCell ref="A1:N1"/>
    <mergeCell ref="A2:N2"/>
  </mergeCells>
  <conditionalFormatting sqref="K5:K11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1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41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42</v>
      </c>
      <c r="B3" s="3" t="s">
        <v>43</v>
      </c>
      <c r="C3" s="3" t="s">
        <v>2</v>
      </c>
      <c r="D3" s="3" t="s">
        <v>3</v>
      </c>
      <c r="E3" s="3" t="s">
        <v>44</v>
      </c>
      <c r="F3" s="3" t="s">
        <v>45</v>
      </c>
      <c r="G3" s="3" t="s">
        <v>14</v>
      </c>
      <c r="H3" s="3" t="s">
        <v>15</v>
      </c>
      <c r="I3" s="3" t="s">
        <v>46</v>
      </c>
    </row>
    <row r="4" customFormat="false" ht="15" hidden="false" customHeight="false" outlineLevel="0" collapsed="false">
      <c r="A4" s="5" t="s">
        <v>47</v>
      </c>
      <c r="B4" s="5" t="s">
        <v>48</v>
      </c>
      <c r="C4" s="4" t="s">
        <v>18</v>
      </c>
      <c r="D4" s="5" t="n">
        <f aca="false">COUNTIFS('تفاصيل الفرص'!$B$2:$B$15,$B4,'تفاصيل الفرص'!$D$2:$D$15,$C4)</f>
        <v>0</v>
      </c>
      <c r="E4" s="5" t="n">
        <f aca="false">COUNTIFS('تفاصيل الفرص'!$B$2:$B$15,$B4,'تفاصيل الفرص'!$D$2:$D$15,$C4,'تفاصيل الفرص'!$X$2:$X$15,0)</f>
        <v>0</v>
      </c>
      <c r="F4" s="5" t="n">
        <f aca="false">COUNTIFS('سجل الأكشنات'!$B$2:$B$57,$B4,'سجل الأكشنات'!$D$2:$D$57,$C4)</f>
        <v>3</v>
      </c>
      <c r="G4" s="5" t="n">
        <f aca="false">COUNTIFS('سجل الأكشنات'!$B$2:$B$57,$B4,'سجل الأكشنات'!$D$2:$D$57,$C4,'سجل الأكشنات'!$H$2:$H$57,"تفصيلي")</f>
        <v>3</v>
      </c>
      <c r="H4" s="5" t="n">
        <f aca="false">F4-G4</f>
        <v>0</v>
      </c>
      <c r="I4" s="5" t="str">
        <f aca="false">IF($B4&gt;"2026-09-02","لا توجد بيانات بعد",IF(AND(D4=0,F4=0),"بدون نشاط","نشِط"))</f>
        <v>نشِط</v>
      </c>
    </row>
    <row r="5" customFormat="false" ht="15" hidden="false" customHeight="false" outlineLevel="0" collapsed="false">
      <c r="A5" s="5" t="s">
        <v>47</v>
      </c>
      <c r="B5" s="5" t="s">
        <v>48</v>
      </c>
      <c r="C5" s="4" t="s">
        <v>20</v>
      </c>
      <c r="D5" s="5" t="n">
        <f aca="false">COUNTIFS('تفاصيل الفرص'!$B$2:$B$15,$B5,'تفاصيل الفرص'!$D$2:$D$15,$C5)</f>
        <v>1</v>
      </c>
      <c r="E5" s="5" t="n">
        <f aca="false">COUNTIFS('تفاصيل الفرص'!$B$2:$B$15,$B5,'تفاصيل الفرص'!$D$2:$D$15,$C5,'تفاصيل الفرص'!$X$2:$X$15,0)</f>
        <v>0</v>
      </c>
      <c r="F5" s="5" t="n">
        <f aca="false">COUNTIFS('سجل الأكشنات'!$B$2:$B$57,$B5,'سجل الأكشنات'!$D$2:$D$57,$C5)</f>
        <v>5</v>
      </c>
      <c r="G5" s="5" t="n">
        <f aca="false">COUNTIFS('سجل الأكشنات'!$B$2:$B$57,$B5,'سجل الأكشنات'!$D$2:$D$57,$C5,'سجل الأكشنات'!$H$2:$H$57,"تفصيلي")</f>
        <v>4</v>
      </c>
      <c r="H5" s="5" t="n">
        <f aca="false">F5-G5</f>
        <v>1</v>
      </c>
      <c r="I5" s="5" t="str">
        <f aca="false">IF($B5&gt;"2026-09-02","لا توجد بيانات بعد",IF(AND(D5=0,F5=0),"بدون نشاط","نشِط"))</f>
        <v>نشِط</v>
      </c>
    </row>
    <row r="6" customFormat="false" ht="15" hidden="false" customHeight="false" outlineLevel="0" collapsed="false">
      <c r="A6" s="5" t="s">
        <v>47</v>
      </c>
      <c r="B6" s="5" t="s">
        <v>48</v>
      </c>
      <c r="C6" s="4" t="s">
        <v>22</v>
      </c>
      <c r="D6" s="5" t="n">
        <f aca="false">COUNTIFS('تفاصيل الفرص'!$B$2:$B$15,$B6,'تفاصيل الفرص'!$D$2:$D$15,$C6)</f>
        <v>0</v>
      </c>
      <c r="E6" s="5" t="n">
        <f aca="false">COUNTIFS('تفاصيل الفرص'!$B$2:$B$15,$B6,'تفاصيل الفرص'!$D$2:$D$15,$C6,'تفاصيل الفرص'!$X$2:$X$15,0)</f>
        <v>0</v>
      </c>
      <c r="F6" s="5" t="n">
        <f aca="false">COUNTIFS('سجل الأكشنات'!$B$2:$B$57,$B6,'سجل الأكشنات'!$D$2:$D$57,$C6)</f>
        <v>3</v>
      </c>
      <c r="G6" s="5" t="n">
        <f aca="false">COUNTIFS('سجل الأكشنات'!$B$2:$B$57,$B6,'سجل الأكشنات'!$D$2:$D$57,$C6,'سجل الأكشنات'!$H$2:$H$57,"تفصيلي")</f>
        <v>3</v>
      </c>
      <c r="H6" s="5" t="n">
        <f aca="false">F6-G6</f>
        <v>0</v>
      </c>
      <c r="I6" s="5" t="str">
        <f aca="false">IF($B6&gt;"2026-09-02","لا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47</v>
      </c>
      <c r="B7" s="5" t="s">
        <v>48</v>
      </c>
      <c r="C7" s="4" t="s">
        <v>24</v>
      </c>
      <c r="D7" s="5" t="n">
        <f aca="false">COUNTIFS('تفاصيل الفرص'!$B$2:$B$15,$B7,'تفاصيل الفرص'!$D$2:$D$15,$C7)</f>
        <v>0</v>
      </c>
      <c r="E7" s="5" t="n">
        <f aca="false">COUNTIFS('تفاصيل الفرص'!$B$2:$B$15,$B7,'تفاصيل الفرص'!$D$2:$D$15,$C7,'تفاصيل الفرص'!$X$2:$X$15,0)</f>
        <v>0</v>
      </c>
      <c r="F7" s="5" t="n">
        <f aca="false">COUNTIFS('سجل الأكشنات'!$B$2:$B$57,$B7,'سجل الأكشنات'!$D$2:$D$57,$C7)</f>
        <v>12</v>
      </c>
      <c r="G7" s="5" t="n">
        <f aca="false">COUNTIFS('سجل الأكشنات'!$B$2:$B$57,$B7,'سجل الأكشنات'!$D$2:$D$57,$C7,'سجل الأكشنات'!$H$2:$H$57,"تفصيلي")</f>
        <v>12</v>
      </c>
      <c r="H7" s="5" t="n">
        <f aca="false">F7-G7</f>
        <v>0</v>
      </c>
      <c r="I7" s="5" t="str">
        <f aca="false">IF($B7&gt;"2026-09-02","لا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47</v>
      </c>
      <c r="B8" s="5" t="s">
        <v>48</v>
      </c>
      <c r="C8" s="4" t="s">
        <v>26</v>
      </c>
      <c r="D8" s="5" t="n">
        <f aca="false">COUNTIFS('تفاصيل الفرص'!$B$2:$B$15,$B8,'تفاصيل الفرص'!$D$2:$D$15,$C8)</f>
        <v>1</v>
      </c>
      <c r="E8" s="5" t="n">
        <f aca="false">COUNTIFS('تفاصيل الفرص'!$B$2:$B$15,$B8,'تفاصيل الفرص'!$D$2:$D$15,$C8,'تفاصيل الفرص'!$X$2:$X$15,0)</f>
        <v>0</v>
      </c>
      <c r="F8" s="5" t="n">
        <f aca="false">COUNTIFS('سجل الأكشنات'!$B$2:$B$57,$B8,'سجل الأكشنات'!$D$2:$D$57,$C8)</f>
        <v>1</v>
      </c>
      <c r="G8" s="5" t="n">
        <f aca="false">COUNTIFS('سجل الأكشنات'!$B$2:$B$57,$B8,'سجل الأكشنات'!$D$2:$D$57,$C8,'سجل الأكشنات'!$H$2:$H$57,"تفصيلي")</f>
        <v>0</v>
      </c>
      <c r="H8" s="5" t="n">
        <f aca="false">F8-G8</f>
        <v>1</v>
      </c>
      <c r="I8" s="5" t="str">
        <f aca="false">IF($B8&gt;"2026-09-02","لا توجد بيانات بعد",IF(AND(D8=0,F8=0),"بدون نشاط","نشِط"))</f>
        <v>نشِط</v>
      </c>
    </row>
    <row r="9" customFormat="false" ht="15" hidden="false" customHeight="false" outlineLevel="0" collapsed="false">
      <c r="A9" s="5" t="s">
        <v>47</v>
      </c>
      <c r="B9" s="5" t="s">
        <v>48</v>
      </c>
      <c r="C9" s="4" t="s">
        <v>28</v>
      </c>
      <c r="D9" s="5" t="n">
        <f aca="false">COUNTIFS('تفاصيل الفرص'!$B$2:$B$15,$B9,'تفاصيل الفرص'!$D$2:$D$15,$C9)</f>
        <v>0</v>
      </c>
      <c r="E9" s="5" t="n">
        <f aca="false">COUNTIFS('تفاصيل الفرص'!$B$2:$B$15,$B9,'تفاصيل الفرص'!$D$2:$D$15,$C9,'تفاصيل الفرص'!$X$2:$X$15,0)</f>
        <v>0</v>
      </c>
      <c r="F9" s="5" t="n">
        <f aca="false">COUNTIFS('سجل الأكشنات'!$B$2:$B$57,$B9,'سجل الأكشنات'!$D$2:$D$57,$C9)</f>
        <v>1</v>
      </c>
      <c r="G9" s="5" t="n">
        <f aca="false">COUNTIFS('سجل الأكشنات'!$B$2:$B$57,$B9,'سجل الأكشنات'!$D$2:$D$57,$C9,'سجل الأكشنات'!$H$2:$H$57,"تفصيلي")</f>
        <v>1</v>
      </c>
      <c r="H9" s="5" t="n">
        <f aca="false">F9-G9</f>
        <v>0</v>
      </c>
      <c r="I9" s="5" t="str">
        <f aca="false">IF($B9&gt;"2026-09-02","لا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47</v>
      </c>
      <c r="B10" s="5" t="s">
        <v>48</v>
      </c>
      <c r="C10" s="4" t="s">
        <v>30</v>
      </c>
      <c r="D10" s="5" t="n">
        <f aca="false">COUNTIFS('تفاصيل الفرص'!$B$2:$B$15,$B10,'تفاصيل الفرص'!$D$2:$D$15,$C10)</f>
        <v>2</v>
      </c>
      <c r="E10" s="5" t="n">
        <f aca="false">COUNTIFS('تفاصيل الفرص'!$B$2:$B$15,$B10,'تفاصيل الفرص'!$D$2:$D$15,$C10,'تفاصيل الفرص'!$X$2:$X$15,0)</f>
        <v>0</v>
      </c>
      <c r="F10" s="5" t="n">
        <f aca="false">COUNTIFS('سجل الأكشنات'!$B$2:$B$57,$B10,'سجل الأكشنات'!$D$2:$D$57,$C10)</f>
        <v>8</v>
      </c>
      <c r="G10" s="5" t="n">
        <f aca="false">COUNTIFS('سجل الأكشنات'!$B$2:$B$57,$B10,'سجل الأكشنات'!$D$2:$D$57,$C10,'سجل الأكشنات'!$H$2:$H$57,"تفصيلي")</f>
        <v>8</v>
      </c>
      <c r="H10" s="5" t="n">
        <f aca="false">F10-G10</f>
        <v>0</v>
      </c>
      <c r="I10" s="5" t="str">
        <f aca="false">IF($B10&gt;"2026-09-02","لا توجد بيانات بعد",IF(AND(D10=0,F10=0),"بدون نشاط","نشِط"))</f>
        <v>نشِط</v>
      </c>
    </row>
    <row r="11" customFormat="false" ht="15" hidden="false" customHeight="false" outlineLevel="0" collapsed="false">
      <c r="A11" s="12" t="s">
        <v>49</v>
      </c>
      <c r="B11" s="12" t="s">
        <v>50</v>
      </c>
      <c r="C11" s="13" t="s">
        <v>18</v>
      </c>
      <c r="D11" s="12" t="n">
        <f aca="false">COUNTIFS('تفاصيل الفرص'!$B$2:$B$15,$B11,'تفاصيل الفرص'!$D$2:$D$15,$C11)</f>
        <v>3</v>
      </c>
      <c r="E11" s="12" t="n">
        <f aca="false">COUNTIFS('تفاصيل الفرص'!$B$2:$B$15,$B11,'تفاصيل الفرص'!$D$2:$D$15,$C11,'تفاصيل الفرص'!$X$2:$X$15,0)</f>
        <v>0</v>
      </c>
      <c r="F11" s="12" t="n">
        <f aca="false">COUNTIFS('سجل الأكشنات'!$B$2:$B$57,$B11,'سجل الأكشنات'!$D$2:$D$57,$C11)</f>
        <v>5</v>
      </c>
      <c r="G11" s="12" t="n">
        <f aca="false">COUNTIFS('سجل الأكشنات'!$B$2:$B$57,$B11,'سجل الأكشنات'!$D$2:$D$57,$C11,'سجل الأكشنات'!$H$2:$H$57,"تفصيلي")</f>
        <v>5</v>
      </c>
      <c r="H11" s="12" t="n">
        <f aca="false">F11-G11</f>
        <v>0</v>
      </c>
      <c r="I11" s="12" t="str">
        <f aca="false">IF($B11&gt;"2026-09-02","لا توجد بيانات بعد",IF(AND(D11=0,F11=0),"بدون نشاط","نشِط"))</f>
        <v>نشِط</v>
      </c>
    </row>
    <row r="12" customFormat="false" ht="15" hidden="false" customHeight="false" outlineLevel="0" collapsed="false">
      <c r="A12" s="12" t="s">
        <v>49</v>
      </c>
      <c r="B12" s="12" t="s">
        <v>50</v>
      </c>
      <c r="C12" s="13" t="s">
        <v>20</v>
      </c>
      <c r="D12" s="12" t="n">
        <f aca="false">COUNTIFS('تفاصيل الفرص'!$B$2:$B$15,$B12,'تفاصيل الفرص'!$D$2:$D$15,$C12)</f>
        <v>1</v>
      </c>
      <c r="E12" s="12" t="n">
        <f aca="false">COUNTIFS('تفاصيل الفرص'!$B$2:$B$15,$B12,'تفاصيل الفرص'!$D$2:$D$15,$C12,'تفاصيل الفرص'!$X$2:$X$15,0)</f>
        <v>0</v>
      </c>
      <c r="F12" s="12" t="n">
        <f aca="false">COUNTIFS('سجل الأكشنات'!$B$2:$B$57,$B12,'سجل الأكشنات'!$D$2:$D$57,$C12)</f>
        <v>2</v>
      </c>
      <c r="G12" s="12" t="n">
        <f aca="false">COUNTIFS('سجل الأكشنات'!$B$2:$B$57,$B12,'سجل الأكشنات'!$D$2:$D$57,$C12,'سجل الأكشنات'!$H$2:$H$57,"تفصيلي")</f>
        <v>2</v>
      </c>
      <c r="H12" s="12" t="n">
        <f aca="false">F12-G12</f>
        <v>0</v>
      </c>
      <c r="I12" s="12" t="str">
        <f aca="false">IF($B12&gt;"2026-09-02","لا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49</v>
      </c>
      <c r="B13" s="12" t="s">
        <v>50</v>
      </c>
      <c r="C13" s="13" t="s">
        <v>22</v>
      </c>
      <c r="D13" s="12" t="n">
        <f aca="false">COUNTIFS('تفاصيل الفرص'!$B$2:$B$15,$B13,'تفاصيل الفرص'!$D$2:$D$15,$C13)</f>
        <v>0</v>
      </c>
      <c r="E13" s="12" t="n">
        <f aca="false">COUNTIFS('تفاصيل الفرص'!$B$2:$B$15,$B13,'تفاصيل الفرص'!$D$2:$D$15,$C13,'تفاصيل الفرص'!$X$2:$X$15,0)</f>
        <v>0</v>
      </c>
      <c r="F13" s="12" t="n">
        <f aca="false">COUNTIFS('سجل الأكشنات'!$B$2:$B$57,$B13,'سجل الأكشنات'!$D$2:$D$57,$C13)</f>
        <v>3</v>
      </c>
      <c r="G13" s="12" t="n">
        <f aca="false">COUNTIFS('سجل الأكشنات'!$B$2:$B$57,$B13,'سجل الأكشنات'!$D$2:$D$57,$C13,'سجل الأكشنات'!$H$2:$H$57,"تفصيلي")</f>
        <v>3</v>
      </c>
      <c r="H13" s="12" t="n">
        <f aca="false">F13-G13</f>
        <v>0</v>
      </c>
      <c r="I13" s="12" t="str">
        <f aca="false">IF($B13&gt;"2026-09-02","لا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49</v>
      </c>
      <c r="B14" s="12" t="s">
        <v>50</v>
      </c>
      <c r="C14" s="13" t="s">
        <v>24</v>
      </c>
      <c r="D14" s="12" t="n">
        <f aca="false">COUNTIFS('تفاصيل الفرص'!$B$2:$B$15,$B14,'تفاصيل الفرص'!$D$2:$D$15,$C14)</f>
        <v>0</v>
      </c>
      <c r="E14" s="12" t="n">
        <f aca="false">COUNTIFS('تفاصيل الفرص'!$B$2:$B$15,$B14,'تفاصيل الفرص'!$D$2:$D$15,$C14,'تفاصيل الفرص'!$X$2:$X$15,0)</f>
        <v>0</v>
      </c>
      <c r="F14" s="12" t="n">
        <f aca="false">COUNTIFS('سجل الأكشنات'!$B$2:$B$57,$B14,'سجل الأكشنات'!$D$2:$D$57,$C14)</f>
        <v>0</v>
      </c>
      <c r="G14" s="12" t="n">
        <f aca="false">COUNTIFS('سجل الأكشنات'!$B$2:$B$57,$B14,'سجل الأكشنات'!$D$2:$D$57,$C14,'سجل الأكشنات'!$H$2:$H$57,"تفصيلي")</f>
        <v>0</v>
      </c>
      <c r="H14" s="12" t="n">
        <f aca="false">F14-G14</f>
        <v>0</v>
      </c>
      <c r="I14" s="12" t="str">
        <f aca="false">IF($B14&gt;"2026-09-02","لا توجد بيانات بعد",IF(AND(D14=0,F14=0),"بدون نشاط","نشِط"))</f>
        <v>بدون نشاط</v>
      </c>
    </row>
    <row r="15" customFormat="false" ht="15" hidden="false" customHeight="false" outlineLevel="0" collapsed="false">
      <c r="A15" s="12" t="s">
        <v>49</v>
      </c>
      <c r="B15" s="12" t="s">
        <v>50</v>
      </c>
      <c r="C15" s="13" t="s">
        <v>26</v>
      </c>
      <c r="D15" s="12" t="n">
        <f aca="false">COUNTIFS('تفاصيل الفرص'!$B$2:$B$15,$B15,'تفاصيل الفرص'!$D$2:$D$15,$C15)</f>
        <v>4</v>
      </c>
      <c r="E15" s="12" t="n">
        <f aca="false">COUNTIFS('تفاصيل الفرص'!$B$2:$B$15,$B15,'تفاصيل الفرص'!$D$2:$D$15,$C15,'تفاصيل الفرص'!$X$2:$X$15,0)</f>
        <v>0</v>
      </c>
      <c r="F15" s="12" t="n">
        <f aca="false">COUNTIFS('سجل الأكشنات'!$B$2:$B$57,$B15,'سجل الأكشنات'!$D$2:$D$57,$C15)</f>
        <v>4</v>
      </c>
      <c r="G15" s="12" t="n">
        <f aca="false">COUNTIFS('سجل الأكشنات'!$B$2:$B$57,$B15,'سجل الأكشنات'!$D$2:$D$57,$C15,'سجل الأكشنات'!$H$2:$H$57,"تفصيلي")</f>
        <v>3</v>
      </c>
      <c r="H15" s="12" t="n">
        <f aca="false">F15-G15</f>
        <v>1</v>
      </c>
      <c r="I15" s="12" t="str">
        <f aca="false">IF($B15&gt;"2026-09-02","لا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49</v>
      </c>
      <c r="B16" s="12" t="s">
        <v>50</v>
      </c>
      <c r="C16" s="13" t="s">
        <v>28</v>
      </c>
      <c r="D16" s="12" t="n">
        <f aca="false">COUNTIFS('تفاصيل الفرص'!$B$2:$B$15,$B16,'تفاصيل الفرص'!$D$2:$D$15,$C16)</f>
        <v>0</v>
      </c>
      <c r="E16" s="12" t="n">
        <f aca="false">COUNTIFS('تفاصيل الفرص'!$B$2:$B$15,$B16,'تفاصيل الفرص'!$D$2:$D$15,$C16,'تفاصيل الفرص'!$X$2:$X$15,0)</f>
        <v>0</v>
      </c>
      <c r="F16" s="12" t="n">
        <f aca="false">COUNTIFS('سجل الأكشنات'!$B$2:$B$57,$B16,'سجل الأكشنات'!$D$2:$D$57,$C16)</f>
        <v>1</v>
      </c>
      <c r="G16" s="12" t="n">
        <f aca="false">COUNTIFS('سجل الأكشنات'!$B$2:$B$57,$B16,'سجل الأكشنات'!$D$2:$D$57,$C16,'سجل الأكشنات'!$H$2:$H$57,"تفصيلي")</f>
        <v>1</v>
      </c>
      <c r="H16" s="12" t="n">
        <f aca="false">F16-G16</f>
        <v>0</v>
      </c>
      <c r="I16" s="12" t="str">
        <f aca="false">IF($B16&gt;"2026-09-02","لا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49</v>
      </c>
      <c r="B17" s="12" t="s">
        <v>50</v>
      </c>
      <c r="C17" s="13" t="s">
        <v>30</v>
      </c>
      <c r="D17" s="12" t="n">
        <f aca="false">COUNTIFS('تفاصيل الفرص'!$B$2:$B$15,$B17,'تفاصيل الفرص'!$D$2:$D$15,$C17)</f>
        <v>2</v>
      </c>
      <c r="E17" s="12" t="n">
        <f aca="false">COUNTIFS('تفاصيل الفرص'!$B$2:$B$15,$B17,'تفاصيل الفرص'!$D$2:$D$15,$C17,'تفاصيل الفرص'!$X$2:$X$15,0)</f>
        <v>0</v>
      </c>
      <c r="F17" s="12" t="n">
        <f aca="false">COUNTIFS('سجل الأكشنات'!$B$2:$B$57,$B17,'سجل الأكشنات'!$D$2:$D$57,$C17)</f>
        <v>8</v>
      </c>
      <c r="G17" s="12" t="n">
        <f aca="false">COUNTIFS('سجل الأكشنات'!$B$2:$B$57,$B17,'سجل الأكشنات'!$D$2:$D$57,$C17,'سجل الأكشنات'!$H$2:$H$57,"تفصيلي")</f>
        <v>6</v>
      </c>
      <c r="H17" s="12" t="n">
        <f aca="false">F17-G17</f>
        <v>2</v>
      </c>
      <c r="I17" s="12" t="str">
        <f aca="false">IF($B17&gt;"2026-09-02","لا توجد بيانات بعد",IF(AND(D17=0,F17=0),"بدون نشاط","نشِط"))</f>
        <v>نشِط</v>
      </c>
    </row>
    <row r="18" customFormat="false" ht="15" hidden="false" customHeight="false" outlineLevel="0" collapsed="false">
      <c r="A18" s="5" t="s">
        <v>51</v>
      </c>
      <c r="B18" s="5" t="s">
        <v>52</v>
      </c>
      <c r="C18" s="4" t="s">
        <v>18</v>
      </c>
      <c r="D18" s="5" t="n">
        <f aca="false">COUNTIFS('تفاصيل الفرص'!$B$2:$B$15,$B18,'تفاصيل الفرص'!$D$2:$D$15,$C18)</f>
        <v>0</v>
      </c>
      <c r="E18" s="5" t="n">
        <f aca="false">COUNTIFS('تفاصيل الفرص'!$B$2:$B$15,$B18,'تفاصيل الفرص'!$D$2:$D$15,$C18,'تفاصيل الفرص'!$X$2:$X$15,0)</f>
        <v>0</v>
      </c>
      <c r="F18" s="5" t="n">
        <f aca="false">COUNTIFS('سجل الأكشنات'!$B$2:$B$57,$B18,'سجل الأكشنات'!$D$2:$D$57,$C18)</f>
        <v>0</v>
      </c>
      <c r="G18" s="5" t="n">
        <f aca="false">COUNTIFS('سجل الأكشنات'!$B$2:$B$57,$B18,'سجل الأكشنات'!$D$2:$D$57,$C18,'سجل الأكشنات'!$H$2:$H$57,"تفصيلي")</f>
        <v>0</v>
      </c>
      <c r="H18" s="5" t="n">
        <f aca="false">F18-G18</f>
        <v>0</v>
      </c>
      <c r="I18" s="5" t="str">
        <f aca="false">IF($B18&gt;"2026-09-02","لا توجد بيانات بعد",IF(AND(D18=0,F18=0),"بدون نشاط","نشِط"))</f>
        <v>لا توجد بيانات بعد</v>
      </c>
    </row>
    <row r="19" customFormat="false" ht="15" hidden="false" customHeight="false" outlineLevel="0" collapsed="false">
      <c r="A19" s="5" t="s">
        <v>51</v>
      </c>
      <c r="B19" s="5" t="s">
        <v>52</v>
      </c>
      <c r="C19" s="4" t="s">
        <v>20</v>
      </c>
      <c r="D19" s="5" t="n">
        <f aca="false">COUNTIFS('تفاصيل الفرص'!$B$2:$B$15,$B19,'تفاصيل الفرص'!$D$2:$D$15,$C19)</f>
        <v>0</v>
      </c>
      <c r="E19" s="5" t="n">
        <f aca="false">COUNTIFS('تفاصيل الفرص'!$B$2:$B$15,$B19,'تفاصيل الفرص'!$D$2:$D$15,$C19,'تفاصيل الفرص'!$X$2:$X$15,0)</f>
        <v>0</v>
      </c>
      <c r="F19" s="5" t="n">
        <f aca="false">COUNTIFS('سجل الأكشنات'!$B$2:$B$57,$B19,'سجل الأكشنات'!$D$2:$D$57,$C19)</f>
        <v>0</v>
      </c>
      <c r="G19" s="5" t="n">
        <f aca="false">COUNTIFS('سجل الأكشنات'!$B$2:$B$57,$B19,'سجل الأكشنات'!$D$2:$D$57,$C19,'سجل الأكشنات'!$H$2:$H$57,"تفصيلي")</f>
        <v>0</v>
      </c>
      <c r="H19" s="5" t="n">
        <f aca="false">F19-G19</f>
        <v>0</v>
      </c>
      <c r="I19" s="5" t="str">
        <f aca="false">IF($B19&gt;"2026-09-02","لا توجد بيانات بعد",IF(AND(D19=0,F19=0),"بدون نشاط","نشِط"))</f>
        <v>لا توجد بيانات بعد</v>
      </c>
    </row>
    <row r="20" customFormat="false" ht="15" hidden="false" customHeight="false" outlineLevel="0" collapsed="false">
      <c r="A20" s="5" t="s">
        <v>51</v>
      </c>
      <c r="B20" s="5" t="s">
        <v>52</v>
      </c>
      <c r="C20" s="4" t="s">
        <v>22</v>
      </c>
      <c r="D20" s="5" t="n">
        <f aca="false">COUNTIFS('تفاصيل الفرص'!$B$2:$B$15,$B20,'تفاصيل الفرص'!$D$2:$D$15,$C20)</f>
        <v>0</v>
      </c>
      <c r="E20" s="5" t="n">
        <f aca="false">COUNTIFS('تفاصيل الفرص'!$B$2:$B$15,$B20,'تفاصيل الفرص'!$D$2:$D$15,$C20,'تفاصيل الفرص'!$X$2:$X$15,0)</f>
        <v>0</v>
      </c>
      <c r="F20" s="5" t="n">
        <f aca="false">COUNTIFS('سجل الأكشنات'!$B$2:$B$57,$B20,'سجل الأكشنات'!$D$2:$D$57,$C20)</f>
        <v>0</v>
      </c>
      <c r="G20" s="5" t="n">
        <f aca="false">COUNTIFS('سجل الأكشنات'!$B$2:$B$57,$B20,'سجل الأكشنات'!$D$2:$D$57,$C20,'سجل الأكشنات'!$H$2:$H$57,"تفصيلي")</f>
        <v>0</v>
      </c>
      <c r="H20" s="5" t="n">
        <f aca="false">F20-G20</f>
        <v>0</v>
      </c>
      <c r="I20" s="5" t="str">
        <f aca="false">IF($B20&gt;"2026-09-02","لا توجد بيانات بعد",IF(AND(D20=0,F20=0),"بدون نشاط","نشِط"))</f>
        <v>لا توجد بيانات بعد</v>
      </c>
    </row>
    <row r="21" customFormat="false" ht="15" hidden="false" customHeight="false" outlineLevel="0" collapsed="false">
      <c r="A21" s="5" t="s">
        <v>51</v>
      </c>
      <c r="B21" s="5" t="s">
        <v>52</v>
      </c>
      <c r="C21" s="4" t="s">
        <v>24</v>
      </c>
      <c r="D21" s="5" t="n">
        <f aca="false">COUNTIFS('تفاصيل الفرص'!$B$2:$B$15,$B21,'تفاصيل الفرص'!$D$2:$D$15,$C21)</f>
        <v>0</v>
      </c>
      <c r="E21" s="5" t="n">
        <f aca="false">COUNTIFS('تفاصيل الفرص'!$B$2:$B$15,$B21,'تفاصيل الفرص'!$D$2:$D$15,$C21,'تفاصيل الفرص'!$X$2:$X$15,0)</f>
        <v>0</v>
      </c>
      <c r="F21" s="5" t="n">
        <f aca="false">COUNTIFS('سجل الأكشنات'!$B$2:$B$57,$B21,'سجل الأكشنات'!$D$2:$D$57,$C21)</f>
        <v>0</v>
      </c>
      <c r="G21" s="5" t="n">
        <f aca="false">COUNTIFS('سجل الأكشنات'!$B$2:$B$57,$B21,'سجل الأكشنات'!$D$2:$D$57,$C21,'سجل الأكشنات'!$H$2:$H$57,"تفصيلي")</f>
        <v>0</v>
      </c>
      <c r="H21" s="5" t="n">
        <f aca="false">F21-G21</f>
        <v>0</v>
      </c>
      <c r="I21" s="5" t="str">
        <f aca="false">IF($B21&gt;"2026-09-02","لا توجد بيانات بعد",IF(AND(D21=0,F21=0),"بدون نشاط","نشِط"))</f>
        <v>لا توجد بيانات بعد</v>
      </c>
    </row>
    <row r="22" customFormat="false" ht="15" hidden="false" customHeight="false" outlineLevel="0" collapsed="false">
      <c r="A22" s="5" t="s">
        <v>51</v>
      </c>
      <c r="B22" s="5" t="s">
        <v>52</v>
      </c>
      <c r="C22" s="4" t="s">
        <v>26</v>
      </c>
      <c r="D22" s="5" t="n">
        <f aca="false">COUNTIFS('تفاصيل الفرص'!$B$2:$B$15,$B22,'تفاصيل الفرص'!$D$2:$D$15,$C22)</f>
        <v>0</v>
      </c>
      <c r="E22" s="5" t="n">
        <f aca="false">COUNTIFS('تفاصيل الفرص'!$B$2:$B$15,$B22,'تفاصيل الفرص'!$D$2:$D$15,$C22,'تفاصيل الفرص'!$X$2:$X$15,0)</f>
        <v>0</v>
      </c>
      <c r="F22" s="5" t="n">
        <f aca="false">COUNTIFS('سجل الأكشنات'!$B$2:$B$57,$B22,'سجل الأكشنات'!$D$2:$D$57,$C22)</f>
        <v>0</v>
      </c>
      <c r="G22" s="5" t="n">
        <f aca="false">COUNTIFS('سجل الأكشنات'!$B$2:$B$57,$B22,'سجل الأكشنات'!$D$2:$D$57,$C22,'سجل الأكشنات'!$H$2:$H$57,"تفصيلي")</f>
        <v>0</v>
      </c>
      <c r="H22" s="5" t="n">
        <f aca="false">F22-G22</f>
        <v>0</v>
      </c>
      <c r="I22" s="5" t="str">
        <f aca="false">IF($B22&gt;"2026-09-02","لا توجد بيانات بعد",IF(AND(D22=0,F22=0),"بدون نشاط","نشِط"))</f>
        <v>لا توجد بيانات بعد</v>
      </c>
    </row>
    <row r="23" customFormat="false" ht="15" hidden="false" customHeight="false" outlineLevel="0" collapsed="false">
      <c r="A23" s="5" t="s">
        <v>51</v>
      </c>
      <c r="B23" s="5" t="s">
        <v>52</v>
      </c>
      <c r="C23" s="4" t="s">
        <v>28</v>
      </c>
      <c r="D23" s="5" t="n">
        <f aca="false">COUNTIFS('تفاصيل الفرص'!$B$2:$B$15,$B23,'تفاصيل الفرص'!$D$2:$D$15,$C23)</f>
        <v>0</v>
      </c>
      <c r="E23" s="5" t="n">
        <f aca="false">COUNTIFS('تفاصيل الفرص'!$B$2:$B$15,$B23,'تفاصيل الفرص'!$D$2:$D$15,$C23,'تفاصيل الفرص'!$X$2:$X$15,0)</f>
        <v>0</v>
      </c>
      <c r="F23" s="5" t="n">
        <f aca="false">COUNTIFS('سجل الأكشنات'!$B$2:$B$57,$B23,'سجل الأكشنات'!$D$2:$D$57,$C23)</f>
        <v>0</v>
      </c>
      <c r="G23" s="5" t="n">
        <f aca="false">COUNTIFS('سجل الأكشنات'!$B$2:$B$57,$B23,'سجل الأكشنات'!$D$2:$D$57,$C23,'سجل الأكشنات'!$H$2:$H$57,"تفصيلي")</f>
        <v>0</v>
      </c>
      <c r="H23" s="5" t="n">
        <f aca="false">F23-G23</f>
        <v>0</v>
      </c>
      <c r="I23" s="5" t="str">
        <f aca="false">IF($B23&gt;"2026-09-02","لا توجد بيانات بعد",IF(AND(D23=0,F23=0),"بدون نشاط","نشِط"))</f>
        <v>لا توجد بيانات بعد</v>
      </c>
    </row>
    <row r="24" customFormat="false" ht="15" hidden="false" customHeight="false" outlineLevel="0" collapsed="false">
      <c r="A24" s="5" t="s">
        <v>51</v>
      </c>
      <c r="B24" s="5" t="s">
        <v>52</v>
      </c>
      <c r="C24" s="4" t="s">
        <v>30</v>
      </c>
      <c r="D24" s="5" t="n">
        <f aca="false">COUNTIFS('تفاصيل الفرص'!$B$2:$B$15,$B24,'تفاصيل الفرص'!$D$2:$D$15,$C24)</f>
        <v>0</v>
      </c>
      <c r="E24" s="5" t="n">
        <f aca="false">COUNTIFS('تفاصيل الفرص'!$B$2:$B$15,$B24,'تفاصيل الفرص'!$D$2:$D$15,$C24,'تفاصيل الفرص'!$X$2:$X$15,0)</f>
        <v>0</v>
      </c>
      <c r="F24" s="5" t="n">
        <f aca="false">COUNTIFS('سجل الأكشنات'!$B$2:$B$57,$B24,'سجل الأكشنات'!$D$2:$D$57,$C24)</f>
        <v>0</v>
      </c>
      <c r="G24" s="5" t="n">
        <f aca="false">COUNTIFS('سجل الأكشنات'!$B$2:$B$57,$B24,'سجل الأكشنات'!$D$2:$D$57,$C24,'سجل الأكشنات'!$H$2:$H$57,"تفصيلي")</f>
        <v>0</v>
      </c>
      <c r="H24" s="5" t="n">
        <f aca="false">F24-G24</f>
        <v>0</v>
      </c>
      <c r="I24" s="5" t="str">
        <f aca="false">IF($B24&gt;"2026-09-02","لا توجد بيانات بعد",IF(AND(D24=0,F24=0),"بدون نشاط","نشِط"))</f>
        <v>لا توجد بيانات بعد</v>
      </c>
    </row>
    <row r="25" customFormat="false" ht="15" hidden="false" customHeight="false" outlineLevel="0" collapsed="false">
      <c r="A25" s="12" t="s">
        <v>53</v>
      </c>
      <c r="B25" s="12" t="s">
        <v>54</v>
      </c>
      <c r="C25" s="13" t="s">
        <v>18</v>
      </c>
      <c r="D25" s="12" t="n">
        <f aca="false">COUNTIFS('تفاصيل الفرص'!$B$2:$B$15,$B25,'تفاصيل الفرص'!$D$2:$D$15,$C25)</f>
        <v>0</v>
      </c>
      <c r="E25" s="12" t="n">
        <f aca="false">COUNTIFS('تفاصيل الفرص'!$B$2:$B$15,$B25,'تفاصيل الفرص'!$D$2:$D$15,$C25,'تفاصيل الفرص'!$X$2:$X$15,0)</f>
        <v>0</v>
      </c>
      <c r="F25" s="12" t="n">
        <f aca="false">COUNTIFS('سجل الأكشنات'!$B$2:$B$57,$B25,'سجل الأكشنات'!$D$2:$D$57,$C25)</f>
        <v>0</v>
      </c>
      <c r="G25" s="12" t="n">
        <f aca="false">COUNTIFS('سجل الأكشنات'!$B$2:$B$57,$B25,'سجل الأكشنات'!$D$2:$D$57,$C25,'سجل الأكشنات'!$H$2:$H$57,"تفصيلي")</f>
        <v>0</v>
      </c>
      <c r="H25" s="12" t="n">
        <f aca="false">F25-G25</f>
        <v>0</v>
      </c>
      <c r="I25" s="12" t="str">
        <f aca="false">IF($B25&gt;"2026-09-02","لا توجد بيانات بعد",IF(AND(D25=0,F25=0),"بدون نشاط","نشِط"))</f>
        <v>لا توجد بيانات بعد</v>
      </c>
    </row>
    <row r="26" customFormat="false" ht="15" hidden="false" customHeight="false" outlineLevel="0" collapsed="false">
      <c r="A26" s="12" t="s">
        <v>53</v>
      </c>
      <c r="B26" s="12" t="s">
        <v>54</v>
      </c>
      <c r="C26" s="13" t="s">
        <v>20</v>
      </c>
      <c r="D26" s="12" t="n">
        <f aca="false">COUNTIFS('تفاصيل الفرص'!$B$2:$B$15,$B26,'تفاصيل الفرص'!$D$2:$D$15,$C26)</f>
        <v>0</v>
      </c>
      <c r="E26" s="12" t="n">
        <f aca="false">COUNTIFS('تفاصيل الفرص'!$B$2:$B$15,$B26,'تفاصيل الفرص'!$D$2:$D$15,$C26,'تفاصيل الفرص'!$X$2:$X$15,0)</f>
        <v>0</v>
      </c>
      <c r="F26" s="12" t="n">
        <f aca="false">COUNTIFS('سجل الأكشنات'!$B$2:$B$57,$B26,'سجل الأكشنات'!$D$2:$D$57,$C26)</f>
        <v>0</v>
      </c>
      <c r="G26" s="12" t="n">
        <f aca="false">COUNTIFS('سجل الأكشنات'!$B$2:$B$57,$B26,'سجل الأكشنات'!$D$2:$D$57,$C26,'سجل الأكشنات'!$H$2:$H$57,"تفصيلي")</f>
        <v>0</v>
      </c>
      <c r="H26" s="12" t="n">
        <f aca="false">F26-G26</f>
        <v>0</v>
      </c>
      <c r="I26" s="12" t="str">
        <f aca="false">IF($B26&gt;"2026-09-02","لا توجد بيانات بعد",IF(AND(D26=0,F26=0),"بدون نشاط","نشِط"))</f>
        <v>لا توجد بيانات بعد</v>
      </c>
    </row>
    <row r="27" customFormat="false" ht="15" hidden="false" customHeight="false" outlineLevel="0" collapsed="false">
      <c r="A27" s="12" t="s">
        <v>53</v>
      </c>
      <c r="B27" s="12" t="s">
        <v>54</v>
      </c>
      <c r="C27" s="13" t="s">
        <v>22</v>
      </c>
      <c r="D27" s="12" t="n">
        <f aca="false">COUNTIFS('تفاصيل الفرص'!$B$2:$B$15,$B27,'تفاصيل الفرص'!$D$2:$D$15,$C27)</f>
        <v>0</v>
      </c>
      <c r="E27" s="12" t="n">
        <f aca="false">COUNTIFS('تفاصيل الفرص'!$B$2:$B$15,$B27,'تفاصيل الفرص'!$D$2:$D$15,$C27,'تفاصيل الفرص'!$X$2:$X$15,0)</f>
        <v>0</v>
      </c>
      <c r="F27" s="12" t="n">
        <f aca="false">COUNTIFS('سجل الأكشنات'!$B$2:$B$57,$B27,'سجل الأكشنات'!$D$2:$D$57,$C27)</f>
        <v>0</v>
      </c>
      <c r="G27" s="12" t="n">
        <f aca="false">COUNTIFS('سجل الأكشنات'!$B$2:$B$57,$B27,'سجل الأكشنات'!$D$2:$D$57,$C27,'سجل الأكشنات'!$H$2:$H$57,"تفصيلي")</f>
        <v>0</v>
      </c>
      <c r="H27" s="12" t="n">
        <f aca="false">F27-G27</f>
        <v>0</v>
      </c>
      <c r="I27" s="12" t="str">
        <f aca="false">IF($B27&gt;"2026-09-02","لا توجد بيانات بعد",IF(AND(D27=0,F27=0),"بدون نشاط","نشِط"))</f>
        <v>لا توجد بيانات بعد</v>
      </c>
    </row>
    <row r="28" customFormat="false" ht="15" hidden="false" customHeight="false" outlineLevel="0" collapsed="false">
      <c r="A28" s="12" t="s">
        <v>53</v>
      </c>
      <c r="B28" s="12" t="s">
        <v>54</v>
      </c>
      <c r="C28" s="13" t="s">
        <v>24</v>
      </c>
      <c r="D28" s="12" t="n">
        <f aca="false">COUNTIFS('تفاصيل الفرص'!$B$2:$B$15,$B28,'تفاصيل الفرص'!$D$2:$D$15,$C28)</f>
        <v>0</v>
      </c>
      <c r="E28" s="12" t="n">
        <f aca="false">COUNTIFS('تفاصيل الفرص'!$B$2:$B$15,$B28,'تفاصيل الفرص'!$D$2:$D$15,$C28,'تفاصيل الفرص'!$X$2:$X$15,0)</f>
        <v>0</v>
      </c>
      <c r="F28" s="12" t="n">
        <f aca="false">COUNTIFS('سجل الأكشنات'!$B$2:$B$57,$B28,'سجل الأكشنات'!$D$2:$D$57,$C28)</f>
        <v>0</v>
      </c>
      <c r="G28" s="12" t="n">
        <f aca="false">COUNTIFS('سجل الأكشنات'!$B$2:$B$57,$B28,'سجل الأكشنات'!$D$2:$D$57,$C28,'سجل الأكشنات'!$H$2:$H$57,"تفصيلي")</f>
        <v>0</v>
      </c>
      <c r="H28" s="12" t="n">
        <f aca="false">F28-G28</f>
        <v>0</v>
      </c>
      <c r="I28" s="12" t="str">
        <f aca="false">IF($B28&gt;"2026-09-02","لا توجد بيانات بعد",IF(AND(D28=0,F28=0),"بدون نشاط","نشِط"))</f>
        <v>لا توجد بيانات بعد</v>
      </c>
    </row>
    <row r="29" customFormat="false" ht="15" hidden="false" customHeight="false" outlineLevel="0" collapsed="false">
      <c r="A29" s="12" t="s">
        <v>53</v>
      </c>
      <c r="B29" s="12" t="s">
        <v>54</v>
      </c>
      <c r="C29" s="13" t="s">
        <v>26</v>
      </c>
      <c r="D29" s="12" t="n">
        <f aca="false">COUNTIFS('تفاصيل الفرص'!$B$2:$B$15,$B29,'تفاصيل الفرص'!$D$2:$D$15,$C29)</f>
        <v>0</v>
      </c>
      <c r="E29" s="12" t="n">
        <f aca="false">COUNTIFS('تفاصيل الفرص'!$B$2:$B$15,$B29,'تفاصيل الفرص'!$D$2:$D$15,$C29,'تفاصيل الفرص'!$X$2:$X$15,0)</f>
        <v>0</v>
      </c>
      <c r="F29" s="12" t="n">
        <f aca="false">COUNTIFS('سجل الأكشنات'!$B$2:$B$57,$B29,'سجل الأكشنات'!$D$2:$D$57,$C29)</f>
        <v>0</v>
      </c>
      <c r="G29" s="12" t="n">
        <f aca="false">COUNTIFS('سجل الأكشنات'!$B$2:$B$57,$B29,'سجل الأكشنات'!$D$2:$D$57,$C29,'سجل الأكشنات'!$H$2:$H$57,"تفصيلي")</f>
        <v>0</v>
      </c>
      <c r="H29" s="12" t="n">
        <f aca="false">F29-G29</f>
        <v>0</v>
      </c>
      <c r="I29" s="12" t="str">
        <f aca="false">IF($B29&gt;"2026-09-02","لا توجد بيانات بعد",IF(AND(D29=0,F29=0),"بدون نشاط","نشِط"))</f>
        <v>لا توجد بيانات بعد</v>
      </c>
    </row>
    <row r="30" customFormat="false" ht="15" hidden="false" customHeight="false" outlineLevel="0" collapsed="false">
      <c r="A30" s="12" t="s">
        <v>53</v>
      </c>
      <c r="B30" s="12" t="s">
        <v>54</v>
      </c>
      <c r="C30" s="13" t="s">
        <v>28</v>
      </c>
      <c r="D30" s="12" t="n">
        <f aca="false">COUNTIFS('تفاصيل الفرص'!$B$2:$B$15,$B30,'تفاصيل الفرص'!$D$2:$D$15,$C30)</f>
        <v>0</v>
      </c>
      <c r="E30" s="12" t="n">
        <f aca="false">COUNTIFS('تفاصيل الفرص'!$B$2:$B$15,$B30,'تفاصيل الفرص'!$D$2:$D$15,$C30,'تفاصيل الفرص'!$X$2:$X$15,0)</f>
        <v>0</v>
      </c>
      <c r="F30" s="12" t="n">
        <f aca="false">COUNTIFS('سجل الأكشنات'!$B$2:$B$57,$B30,'سجل الأكشنات'!$D$2:$D$57,$C30)</f>
        <v>0</v>
      </c>
      <c r="G30" s="12" t="n">
        <f aca="false">COUNTIFS('سجل الأكشنات'!$B$2:$B$57,$B30,'سجل الأكشنات'!$D$2:$D$57,$C30,'سجل الأكشنات'!$H$2:$H$57,"تفصيلي")</f>
        <v>0</v>
      </c>
      <c r="H30" s="12" t="n">
        <f aca="false">F30-G30</f>
        <v>0</v>
      </c>
      <c r="I30" s="12" t="str">
        <f aca="false">IF($B30&gt;"2026-09-02","لا توجد بيانات بعد",IF(AND(D30=0,F30=0),"بدون نشاط","نشِط"))</f>
        <v>لا توجد بيانات بعد</v>
      </c>
    </row>
    <row r="31" customFormat="false" ht="15" hidden="false" customHeight="false" outlineLevel="0" collapsed="false">
      <c r="A31" s="12" t="s">
        <v>53</v>
      </c>
      <c r="B31" s="12" t="s">
        <v>54</v>
      </c>
      <c r="C31" s="13" t="s">
        <v>30</v>
      </c>
      <c r="D31" s="12" t="n">
        <f aca="false">COUNTIFS('تفاصيل الفرص'!$B$2:$B$15,$B31,'تفاصيل الفرص'!$D$2:$D$15,$C31)</f>
        <v>0</v>
      </c>
      <c r="E31" s="12" t="n">
        <f aca="false">COUNTIFS('تفاصيل الفرص'!$B$2:$B$15,$B31,'تفاصيل الفرص'!$D$2:$D$15,$C31,'تفاصيل الفرص'!$X$2:$X$15,0)</f>
        <v>0</v>
      </c>
      <c r="F31" s="12" t="n">
        <f aca="false">COUNTIFS('سجل الأكشنات'!$B$2:$B$57,$B31,'سجل الأكشنات'!$D$2:$D$57,$C31)</f>
        <v>0</v>
      </c>
      <c r="G31" s="12" t="n">
        <f aca="false">COUNTIFS('سجل الأكشنات'!$B$2:$B$57,$B31,'سجل الأكشنات'!$D$2:$D$57,$C31,'سجل الأكشنات'!$H$2:$H$57,"تفصيلي")</f>
        <v>0</v>
      </c>
      <c r="H31" s="12" t="n">
        <f aca="false">F31-G31</f>
        <v>0</v>
      </c>
      <c r="I31" s="12" t="str">
        <f aca="false">IF($B31&gt;"2026-09-02","لا توجد بيانات بعد",IF(AND(D31=0,F31=0),"بدون نشاط","نشِط"))</f>
        <v>لا توجد بيانات بعد</v>
      </c>
    </row>
    <row r="32" customFormat="false" ht="15" hidden="false" customHeight="false" outlineLevel="0" collapsed="false">
      <c r="A32" s="5" t="s">
        <v>55</v>
      </c>
      <c r="B32" s="5" t="s">
        <v>56</v>
      </c>
      <c r="C32" s="4" t="s">
        <v>18</v>
      </c>
      <c r="D32" s="5" t="n">
        <f aca="false">COUNTIFS('تفاصيل الفرص'!$B$2:$B$15,$B32,'تفاصيل الفرص'!$D$2:$D$15,$C32)</f>
        <v>0</v>
      </c>
      <c r="E32" s="5" t="n">
        <f aca="false">COUNTIFS('تفاصيل الفرص'!$B$2:$B$15,$B32,'تفاصيل الفرص'!$D$2:$D$15,$C32,'تفاصيل الفرص'!$X$2:$X$15,0)</f>
        <v>0</v>
      </c>
      <c r="F32" s="5" t="n">
        <f aca="false">COUNTIFS('سجل الأكشنات'!$B$2:$B$57,$B32,'سجل الأكشنات'!$D$2:$D$57,$C32)</f>
        <v>0</v>
      </c>
      <c r="G32" s="5" t="n">
        <f aca="false">COUNTIFS('سجل الأكشنات'!$B$2:$B$57,$B32,'سجل الأكشنات'!$D$2:$D$57,$C32,'سجل الأكشنات'!$H$2:$H$57,"تفصيلي")</f>
        <v>0</v>
      </c>
      <c r="H32" s="5" t="n">
        <f aca="false">F32-G32</f>
        <v>0</v>
      </c>
      <c r="I32" s="5" t="str">
        <f aca="false">IF($B32&gt;"2026-09-02","لا توجد بيانات بعد",IF(AND(D32=0,F32=0),"بدون نشاط","نشِط"))</f>
        <v>لا توجد بيانات بعد</v>
      </c>
    </row>
    <row r="33" customFormat="false" ht="15" hidden="false" customHeight="false" outlineLevel="0" collapsed="false">
      <c r="A33" s="5" t="s">
        <v>55</v>
      </c>
      <c r="B33" s="5" t="s">
        <v>56</v>
      </c>
      <c r="C33" s="4" t="s">
        <v>20</v>
      </c>
      <c r="D33" s="5" t="n">
        <f aca="false">COUNTIFS('تفاصيل الفرص'!$B$2:$B$15,$B33,'تفاصيل الفرص'!$D$2:$D$15,$C33)</f>
        <v>0</v>
      </c>
      <c r="E33" s="5" t="n">
        <f aca="false">COUNTIFS('تفاصيل الفرص'!$B$2:$B$15,$B33,'تفاصيل الفرص'!$D$2:$D$15,$C33,'تفاصيل الفرص'!$X$2:$X$15,0)</f>
        <v>0</v>
      </c>
      <c r="F33" s="5" t="n">
        <f aca="false">COUNTIFS('سجل الأكشنات'!$B$2:$B$57,$B33,'سجل الأكشنات'!$D$2:$D$57,$C33)</f>
        <v>0</v>
      </c>
      <c r="G33" s="5" t="n">
        <f aca="false">COUNTIFS('سجل الأكشنات'!$B$2:$B$57,$B33,'سجل الأكشنات'!$D$2:$D$57,$C33,'سجل الأكشنات'!$H$2:$H$57,"تفصيلي")</f>
        <v>0</v>
      </c>
      <c r="H33" s="5" t="n">
        <f aca="false">F33-G33</f>
        <v>0</v>
      </c>
      <c r="I33" s="5" t="str">
        <f aca="false">IF($B33&gt;"2026-09-02","لا توجد بيانات بعد",IF(AND(D33=0,F33=0),"بدون نشاط","نشِط"))</f>
        <v>لا توجد بيانات بعد</v>
      </c>
    </row>
    <row r="34" customFormat="false" ht="15" hidden="false" customHeight="false" outlineLevel="0" collapsed="false">
      <c r="A34" s="5" t="s">
        <v>55</v>
      </c>
      <c r="B34" s="5" t="s">
        <v>56</v>
      </c>
      <c r="C34" s="4" t="s">
        <v>22</v>
      </c>
      <c r="D34" s="5" t="n">
        <f aca="false">COUNTIFS('تفاصيل الفرص'!$B$2:$B$15,$B34,'تفاصيل الفرص'!$D$2:$D$15,$C34)</f>
        <v>0</v>
      </c>
      <c r="E34" s="5" t="n">
        <f aca="false">COUNTIFS('تفاصيل الفرص'!$B$2:$B$15,$B34,'تفاصيل الفرص'!$D$2:$D$15,$C34,'تفاصيل الفرص'!$X$2:$X$15,0)</f>
        <v>0</v>
      </c>
      <c r="F34" s="5" t="n">
        <f aca="false">COUNTIFS('سجل الأكشنات'!$B$2:$B$57,$B34,'سجل الأكشنات'!$D$2:$D$57,$C34)</f>
        <v>0</v>
      </c>
      <c r="G34" s="5" t="n">
        <f aca="false">COUNTIFS('سجل الأكشنات'!$B$2:$B$57,$B34,'سجل الأكشنات'!$D$2:$D$57,$C34,'سجل الأكشنات'!$H$2:$H$57,"تفصيلي")</f>
        <v>0</v>
      </c>
      <c r="H34" s="5" t="n">
        <f aca="false">F34-G34</f>
        <v>0</v>
      </c>
      <c r="I34" s="5" t="str">
        <f aca="false">IF($B34&gt;"2026-09-02","لا توجد بيانات بعد",IF(AND(D34=0,F34=0),"بدون نشاط","نشِط"))</f>
        <v>لا توجد بيانات بعد</v>
      </c>
    </row>
    <row r="35" customFormat="false" ht="15" hidden="false" customHeight="false" outlineLevel="0" collapsed="false">
      <c r="A35" s="5" t="s">
        <v>55</v>
      </c>
      <c r="B35" s="5" t="s">
        <v>56</v>
      </c>
      <c r="C35" s="4" t="s">
        <v>24</v>
      </c>
      <c r="D35" s="5" t="n">
        <f aca="false">COUNTIFS('تفاصيل الفرص'!$B$2:$B$15,$B35,'تفاصيل الفرص'!$D$2:$D$15,$C35)</f>
        <v>0</v>
      </c>
      <c r="E35" s="5" t="n">
        <f aca="false">COUNTIFS('تفاصيل الفرص'!$B$2:$B$15,$B35,'تفاصيل الفرص'!$D$2:$D$15,$C35,'تفاصيل الفرص'!$X$2:$X$15,0)</f>
        <v>0</v>
      </c>
      <c r="F35" s="5" t="n">
        <f aca="false">COUNTIFS('سجل الأكشنات'!$B$2:$B$57,$B35,'سجل الأكشنات'!$D$2:$D$57,$C35)</f>
        <v>0</v>
      </c>
      <c r="G35" s="5" t="n">
        <f aca="false">COUNTIFS('سجل الأكشنات'!$B$2:$B$57,$B35,'سجل الأكشنات'!$D$2:$D$57,$C35,'سجل الأكشنات'!$H$2:$H$57,"تفصيلي")</f>
        <v>0</v>
      </c>
      <c r="H35" s="5" t="n">
        <f aca="false">F35-G35</f>
        <v>0</v>
      </c>
      <c r="I35" s="5" t="str">
        <f aca="false">IF($B35&gt;"2026-09-02","لا توجد بيانات بعد",IF(AND(D35=0,F35=0),"بدون نشاط","نشِط"))</f>
        <v>لا توجد بيانات بعد</v>
      </c>
    </row>
    <row r="36" customFormat="false" ht="15" hidden="false" customHeight="false" outlineLevel="0" collapsed="false">
      <c r="A36" s="5" t="s">
        <v>55</v>
      </c>
      <c r="B36" s="5" t="s">
        <v>56</v>
      </c>
      <c r="C36" s="4" t="s">
        <v>26</v>
      </c>
      <c r="D36" s="5" t="n">
        <f aca="false">COUNTIFS('تفاصيل الفرص'!$B$2:$B$15,$B36,'تفاصيل الفرص'!$D$2:$D$15,$C36)</f>
        <v>0</v>
      </c>
      <c r="E36" s="5" t="n">
        <f aca="false">COUNTIFS('تفاصيل الفرص'!$B$2:$B$15,$B36,'تفاصيل الفرص'!$D$2:$D$15,$C36,'تفاصيل الفرص'!$X$2:$X$15,0)</f>
        <v>0</v>
      </c>
      <c r="F36" s="5" t="n">
        <f aca="false">COUNTIFS('سجل الأكشنات'!$B$2:$B$57,$B36,'سجل الأكشنات'!$D$2:$D$57,$C36)</f>
        <v>0</v>
      </c>
      <c r="G36" s="5" t="n">
        <f aca="false">COUNTIFS('سجل الأكشنات'!$B$2:$B$57,$B36,'سجل الأكشنات'!$D$2:$D$57,$C36,'سجل الأكشنات'!$H$2:$H$57,"تفصيلي")</f>
        <v>0</v>
      </c>
      <c r="H36" s="5" t="n">
        <f aca="false">F36-G36</f>
        <v>0</v>
      </c>
      <c r="I36" s="5" t="str">
        <f aca="false">IF($B36&gt;"2026-09-02","لا توجد بيانات بعد",IF(AND(D36=0,F36=0),"بدون نشاط","نشِط"))</f>
        <v>لا توجد بيانات بعد</v>
      </c>
    </row>
    <row r="37" customFormat="false" ht="15" hidden="false" customHeight="false" outlineLevel="0" collapsed="false">
      <c r="A37" s="5" t="s">
        <v>55</v>
      </c>
      <c r="B37" s="5" t="s">
        <v>56</v>
      </c>
      <c r="C37" s="4" t="s">
        <v>28</v>
      </c>
      <c r="D37" s="5" t="n">
        <f aca="false">COUNTIFS('تفاصيل الفرص'!$B$2:$B$15,$B37,'تفاصيل الفرص'!$D$2:$D$15,$C37)</f>
        <v>0</v>
      </c>
      <c r="E37" s="5" t="n">
        <f aca="false">COUNTIFS('تفاصيل الفرص'!$B$2:$B$15,$B37,'تفاصيل الفرص'!$D$2:$D$15,$C37,'تفاصيل الفرص'!$X$2:$X$15,0)</f>
        <v>0</v>
      </c>
      <c r="F37" s="5" t="n">
        <f aca="false">COUNTIFS('سجل الأكشنات'!$B$2:$B$57,$B37,'سجل الأكشنات'!$D$2:$D$57,$C37)</f>
        <v>0</v>
      </c>
      <c r="G37" s="5" t="n">
        <f aca="false">COUNTIFS('سجل الأكشنات'!$B$2:$B$57,$B37,'سجل الأكشنات'!$D$2:$D$57,$C37,'سجل الأكشنات'!$H$2:$H$57,"تفصيلي")</f>
        <v>0</v>
      </c>
      <c r="H37" s="5" t="n">
        <f aca="false">F37-G37</f>
        <v>0</v>
      </c>
      <c r="I37" s="5" t="str">
        <f aca="false">IF($B37&gt;"2026-09-02","لا توجد بيانات بعد",IF(AND(D37=0,F37=0),"بدون نشاط","نشِط"))</f>
        <v>لا توجد بيانات بعد</v>
      </c>
    </row>
    <row r="38" customFormat="false" ht="15" hidden="false" customHeight="false" outlineLevel="0" collapsed="false">
      <c r="A38" s="5" t="s">
        <v>55</v>
      </c>
      <c r="B38" s="5" t="s">
        <v>56</v>
      </c>
      <c r="C38" s="4" t="s">
        <v>30</v>
      </c>
      <c r="D38" s="5" t="n">
        <f aca="false">COUNTIFS('تفاصيل الفرص'!$B$2:$B$15,$B38,'تفاصيل الفرص'!$D$2:$D$15,$C38)</f>
        <v>0</v>
      </c>
      <c r="E38" s="5" t="n">
        <f aca="false">COUNTIFS('تفاصيل الفرص'!$B$2:$B$15,$B38,'تفاصيل الفرص'!$D$2:$D$15,$C38,'تفاصيل الفرص'!$X$2:$X$15,0)</f>
        <v>0</v>
      </c>
      <c r="F38" s="5" t="n">
        <f aca="false">COUNTIFS('سجل الأكشنات'!$B$2:$B$57,$B38,'سجل الأكشنات'!$D$2:$D$57,$C38)</f>
        <v>0</v>
      </c>
      <c r="G38" s="5" t="n">
        <f aca="false">COUNTIFS('سجل الأكشنات'!$B$2:$B$57,$B38,'سجل الأكشنات'!$D$2:$D$57,$C38,'سجل الأكشنات'!$H$2:$H$57,"تفصيلي")</f>
        <v>0</v>
      </c>
      <c r="H38" s="5" t="n">
        <f aca="false">F38-G38</f>
        <v>0</v>
      </c>
      <c r="I38" s="5" t="str">
        <f aca="false">IF($B38&gt;"2026-09-02","لا توجد بيانات بعد",IF(AND(D38=0,F38=0),"بدون نشاط","نشِط"))</f>
        <v>لا توجد بيانات بعد</v>
      </c>
    </row>
    <row r="39" customFormat="false" ht="15" hidden="false" customHeight="false" outlineLevel="0" collapsed="false">
      <c r="A39" s="12" t="s">
        <v>57</v>
      </c>
      <c r="B39" s="12" t="s">
        <v>58</v>
      </c>
      <c r="C39" s="13" t="s">
        <v>18</v>
      </c>
      <c r="D39" s="12" t="n">
        <f aca="false">COUNTIFS('تفاصيل الفرص'!$B$2:$B$15,$B39,'تفاصيل الفرص'!$D$2:$D$15,$C39)</f>
        <v>0</v>
      </c>
      <c r="E39" s="12" t="n">
        <f aca="false">COUNTIFS('تفاصيل الفرص'!$B$2:$B$15,$B39,'تفاصيل الفرص'!$D$2:$D$15,$C39,'تفاصيل الفرص'!$X$2:$X$15,0)</f>
        <v>0</v>
      </c>
      <c r="F39" s="12" t="n">
        <f aca="false">COUNTIFS('سجل الأكشنات'!$B$2:$B$57,$B39,'سجل الأكشنات'!$D$2:$D$57,$C39)</f>
        <v>0</v>
      </c>
      <c r="G39" s="12" t="n">
        <f aca="false">COUNTIFS('سجل الأكشنات'!$B$2:$B$57,$B39,'سجل الأكشنات'!$D$2:$D$57,$C39,'سجل الأكشنات'!$H$2:$H$57,"تفصيلي")</f>
        <v>0</v>
      </c>
      <c r="H39" s="12" t="n">
        <f aca="false">F39-G39</f>
        <v>0</v>
      </c>
      <c r="I39" s="12" t="str">
        <f aca="false">IF($B39&gt;"2026-09-02","لا توجد بيانات بعد",IF(AND(D39=0,F39=0),"بدون نشاط","نشِط"))</f>
        <v>لا توجد بيانات بعد</v>
      </c>
    </row>
    <row r="40" customFormat="false" ht="15" hidden="false" customHeight="false" outlineLevel="0" collapsed="false">
      <c r="A40" s="12" t="s">
        <v>57</v>
      </c>
      <c r="B40" s="12" t="s">
        <v>58</v>
      </c>
      <c r="C40" s="13" t="s">
        <v>20</v>
      </c>
      <c r="D40" s="12" t="n">
        <f aca="false">COUNTIFS('تفاصيل الفرص'!$B$2:$B$15,$B40,'تفاصيل الفرص'!$D$2:$D$15,$C40)</f>
        <v>0</v>
      </c>
      <c r="E40" s="12" t="n">
        <f aca="false">COUNTIFS('تفاصيل الفرص'!$B$2:$B$15,$B40,'تفاصيل الفرص'!$D$2:$D$15,$C40,'تفاصيل الفرص'!$X$2:$X$15,0)</f>
        <v>0</v>
      </c>
      <c r="F40" s="12" t="n">
        <f aca="false">COUNTIFS('سجل الأكشنات'!$B$2:$B$57,$B40,'سجل الأكشنات'!$D$2:$D$57,$C40)</f>
        <v>0</v>
      </c>
      <c r="G40" s="12" t="n">
        <f aca="false">COUNTIFS('سجل الأكشنات'!$B$2:$B$57,$B40,'سجل الأكشنات'!$D$2:$D$57,$C40,'سجل الأكشنات'!$H$2:$H$57,"تفصيلي")</f>
        <v>0</v>
      </c>
      <c r="H40" s="12" t="n">
        <f aca="false">F40-G40</f>
        <v>0</v>
      </c>
      <c r="I40" s="12" t="str">
        <f aca="false">IF($B40&gt;"2026-09-02","لا توجد بيانات بعد",IF(AND(D40=0,F40=0),"بدون نشاط","نشِط"))</f>
        <v>لا توجد بيانات بعد</v>
      </c>
    </row>
    <row r="41" customFormat="false" ht="15" hidden="false" customHeight="false" outlineLevel="0" collapsed="false">
      <c r="A41" s="12" t="s">
        <v>57</v>
      </c>
      <c r="B41" s="12" t="s">
        <v>58</v>
      </c>
      <c r="C41" s="13" t="s">
        <v>22</v>
      </c>
      <c r="D41" s="12" t="n">
        <f aca="false">COUNTIFS('تفاصيل الفرص'!$B$2:$B$15,$B41,'تفاصيل الفرص'!$D$2:$D$15,$C41)</f>
        <v>0</v>
      </c>
      <c r="E41" s="12" t="n">
        <f aca="false">COUNTIFS('تفاصيل الفرص'!$B$2:$B$15,$B41,'تفاصيل الفرص'!$D$2:$D$15,$C41,'تفاصيل الفرص'!$X$2:$X$15,0)</f>
        <v>0</v>
      </c>
      <c r="F41" s="12" t="n">
        <f aca="false">COUNTIFS('سجل الأكشنات'!$B$2:$B$57,$B41,'سجل الأكشنات'!$D$2:$D$57,$C41)</f>
        <v>0</v>
      </c>
      <c r="G41" s="12" t="n">
        <f aca="false">COUNTIFS('سجل الأكشنات'!$B$2:$B$57,$B41,'سجل الأكشنات'!$D$2:$D$57,$C41,'سجل الأكشنات'!$H$2:$H$57,"تفصيلي")</f>
        <v>0</v>
      </c>
      <c r="H41" s="12" t="n">
        <f aca="false">F41-G41</f>
        <v>0</v>
      </c>
      <c r="I41" s="12" t="str">
        <f aca="false">IF($B41&gt;"2026-09-02","لا توجد بيانات بعد",IF(AND(D41=0,F41=0),"بدون نشاط","نشِط"))</f>
        <v>لا توجد بيانات بعد</v>
      </c>
    </row>
    <row r="42" customFormat="false" ht="15" hidden="false" customHeight="false" outlineLevel="0" collapsed="false">
      <c r="A42" s="12" t="s">
        <v>57</v>
      </c>
      <c r="B42" s="12" t="s">
        <v>58</v>
      </c>
      <c r="C42" s="13" t="s">
        <v>24</v>
      </c>
      <c r="D42" s="12" t="n">
        <f aca="false">COUNTIFS('تفاصيل الفرص'!$B$2:$B$15,$B42,'تفاصيل الفرص'!$D$2:$D$15,$C42)</f>
        <v>0</v>
      </c>
      <c r="E42" s="12" t="n">
        <f aca="false">COUNTIFS('تفاصيل الفرص'!$B$2:$B$15,$B42,'تفاصيل الفرص'!$D$2:$D$15,$C42,'تفاصيل الفرص'!$X$2:$X$15,0)</f>
        <v>0</v>
      </c>
      <c r="F42" s="12" t="n">
        <f aca="false">COUNTIFS('سجل الأكشنات'!$B$2:$B$57,$B42,'سجل الأكشنات'!$D$2:$D$57,$C42)</f>
        <v>0</v>
      </c>
      <c r="G42" s="12" t="n">
        <f aca="false">COUNTIFS('سجل الأكشنات'!$B$2:$B$57,$B42,'سجل الأكشنات'!$D$2:$D$57,$C42,'سجل الأكشنات'!$H$2:$H$57,"تفصيلي")</f>
        <v>0</v>
      </c>
      <c r="H42" s="12" t="n">
        <f aca="false">F42-G42</f>
        <v>0</v>
      </c>
      <c r="I42" s="12" t="str">
        <f aca="false">IF($B42&gt;"2026-09-02","لا توجد بيانات بعد",IF(AND(D42=0,F42=0),"بدون نشاط","نشِط"))</f>
        <v>لا توجد بيانات بعد</v>
      </c>
    </row>
    <row r="43" customFormat="false" ht="15" hidden="false" customHeight="false" outlineLevel="0" collapsed="false">
      <c r="A43" s="12" t="s">
        <v>57</v>
      </c>
      <c r="B43" s="12" t="s">
        <v>58</v>
      </c>
      <c r="C43" s="13" t="s">
        <v>26</v>
      </c>
      <c r="D43" s="12" t="n">
        <f aca="false">COUNTIFS('تفاصيل الفرص'!$B$2:$B$15,$B43,'تفاصيل الفرص'!$D$2:$D$15,$C43)</f>
        <v>0</v>
      </c>
      <c r="E43" s="12" t="n">
        <f aca="false">COUNTIFS('تفاصيل الفرص'!$B$2:$B$15,$B43,'تفاصيل الفرص'!$D$2:$D$15,$C43,'تفاصيل الفرص'!$X$2:$X$15,0)</f>
        <v>0</v>
      </c>
      <c r="F43" s="12" t="n">
        <f aca="false">COUNTIFS('سجل الأكشنات'!$B$2:$B$57,$B43,'سجل الأكشنات'!$D$2:$D$57,$C43)</f>
        <v>0</v>
      </c>
      <c r="G43" s="12" t="n">
        <f aca="false">COUNTIFS('سجل الأكشنات'!$B$2:$B$57,$B43,'سجل الأكشنات'!$D$2:$D$57,$C43,'سجل الأكشنات'!$H$2:$H$57,"تفصيلي")</f>
        <v>0</v>
      </c>
      <c r="H43" s="12" t="n">
        <f aca="false">F43-G43</f>
        <v>0</v>
      </c>
      <c r="I43" s="12" t="str">
        <f aca="false">IF($B43&gt;"2026-09-02","لا توجد بيانات بعد",IF(AND(D43=0,F43=0),"بدون نشاط","نشِط"))</f>
        <v>لا توجد بيانات بعد</v>
      </c>
    </row>
    <row r="44" customFormat="false" ht="15" hidden="false" customHeight="false" outlineLevel="0" collapsed="false">
      <c r="A44" s="12" t="s">
        <v>57</v>
      </c>
      <c r="B44" s="12" t="s">
        <v>58</v>
      </c>
      <c r="C44" s="13" t="s">
        <v>28</v>
      </c>
      <c r="D44" s="12" t="n">
        <f aca="false">COUNTIFS('تفاصيل الفرص'!$B$2:$B$15,$B44,'تفاصيل الفرص'!$D$2:$D$15,$C44)</f>
        <v>0</v>
      </c>
      <c r="E44" s="12" t="n">
        <f aca="false">COUNTIFS('تفاصيل الفرص'!$B$2:$B$15,$B44,'تفاصيل الفرص'!$D$2:$D$15,$C44,'تفاصيل الفرص'!$X$2:$X$15,0)</f>
        <v>0</v>
      </c>
      <c r="F44" s="12" t="n">
        <f aca="false">COUNTIFS('سجل الأكشنات'!$B$2:$B$57,$B44,'سجل الأكشنات'!$D$2:$D$57,$C44)</f>
        <v>0</v>
      </c>
      <c r="G44" s="12" t="n">
        <f aca="false">COUNTIFS('سجل الأكشنات'!$B$2:$B$57,$B44,'سجل الأكشنات'!$D$2:$D$57,$C44,'سجل الأكشنات'!$H$2:$H$57,"تفصيلي")</f>
        <v>0</v>
      </c>
      <c r="H44" s="12" t="n">
        <f aca="false">F44-G44</f>
        <v>0</v>
      </c>
      <c r="I44" s="12" t="str">
        <f aca="false">IF($B44&gt;"2026-09-02","لا توجد بيانات بعد",IF(AND(D44=0,F44=0),"بدون نشاط","نشِط"))</f>
        <v>لا توجد بيانات بعد</v>
      </c>
    </row>
    <row r="45" customFormat="false" ht="15" hidden="false" customHeight="false" outlineLevel="0" collapsed="false">
      <c r="A45" s="12" t="s">
        <v>57</v>
      </c>
      <c r="B45" s="12" t="s">
        <v>58</v>
      </c>
      <c r="C45" s="13" t="s">
        <v>30</v>
      </c>
      <c r="D45" s="12" t="n">
        <f aca="false">COUNTIFS('تفاصيل الفرص'!$B$2:$B$15,$B45,'تفاصيل الفرص'!$D$2:$D$15,$C45)</f>
        <v>0</v>
      </c>
      <c r="E45" s="12" t="n">
        <f aca="false">COUNTIFS('تفاصيل الفرص'!$B$2:$B$15,$B45,'تفاصيل الفرص'!$D$2:$D$15,$C45,'تفاصيل الفرص'!$X$2:$X$15,0)</f>
        <v>0</v>
      </c>
      <c r="F45" s="12" t="n">
        <f aca="false">COUNTIFS('سجل الأكشنات'!$B$2:$B$57,$B45,'سجل الأكشنات'!$D$2:$D$57,$C45)</f>
        <v>0</v>
      </c>
      <c r="G45" s="12" t="n">
        <f aca="false">COUNTIFS('سجل الأكشنات'!$B$2:$B$57,$B45,'سجل الأكشنات'!$D$2:$D$57,$C45,'سجل الأكشنات'!$H$2:$H$57,"تفصيلي")</f>
        <v>0</v>
      </c>
      <c r="H45" s="12" t="n">
        <f aca="false">F45-G45</f>
        <v>0</v>
      </c>
      <c r="I45" s="12" t="str">
        <f aca="false">IF($B45&gt;"2026-09-02","لا توجد بيانات بعد",IF(AND(D45=0,F45=0),"بدون نشاط","نشِط"))</f>
        <v>لا توجد بيانات بعد</v>
      </c>
    </row>
    <row r="46" customFormat="false" ht="15" hidden="false" customHeight="false" outlineLevel="0" collapsed="false">
      <c r="A46" s="5" t="s">
        <v>59</v>
      </c>
      <c r="B46" s="5" t="s">
        <v>60</v>
      </c>
      <c r="C46" s="4" t="s">
        <v>18</v>
      </c>
      <c r="D46" s="5" t="n">
        <f aca="false">COUNTIFS('تفاصيل الفرص'!$B$2:$B$15,$B46,'تفاصيل الفرص'!$D$2:$D$15,$C46)</f>
        <v>0</v>
      </c>
      <c r="E46" s="5" t="n">
        <f aca="false">COUNTIFS('تفاصيل الفرص'!$B$2:$B$15,$B46,'تفاصيل الفرص'!$D$2:$D$15,$C46,'تفاصيل الفرص'!$X$2:$X$15,0)</f>
        <v>0</v>
      </c>
      <c r="F46" s="5" t="n">
        <f aca="false">COUNTIFS('سجل الأكشنات'!$B$2:$B$57,$B46,'سجل الأكشنات'!$D$2:$D$57,$C46)</f>
        <v>0</v>
      </c>
      <c r="G46" s="5" t="n">
        <f aca="false">COUNTIFS('سجل الأكشنات'!$B$2:$B$57,$B46,'سجل الأكشنات'!$D$2:$D$57,$C46,'سجل الأكشنات'!$H$2:$H$57,"تفصيلي")</f>
        <v>0</v>
      </c>
      <c r="H46" s="5" t="n">
        <f aca="false">F46-G46</f>
        <v>0</v>
      </c>
      <c r="I46" s="5" t="str">
        <f aca="false">IF($B46&gt;"2026-09-02","لا توجد بيانات بعد",IF(AND(D46=0,F46=0),"بدون نشاط","نشِط"))</f>
        <v>لا توجد بيانات بعد</v>
      </c>
    </row>
    <row r="47" customFormat="false" ht="15" hidden="false" customHeight="false" outlineLevel="0" collapsed="false">
      <c r="A47" s="5" t="s">
        <v>59</v>
      </c>
      <c r="B47" s="5" t="s">
        <v>60</v>
      </c>
      <c r="C47" s="4" t="s">
        <v>20</v>
      </c>
      <c r="D47" s="5" t="n">
        <f aca="false">COUNTIFS('تفاصيل الفرص'!$B$2:$B$15,$B47,'تفاصيل الفرص'!$D$2:$D$15,$C47)</f>
        <v>0</v>
      </c>
      <c r="E47" s="5" t="n">
        <f aca="false">COUNTIFS('تفاصيل الفرص'!$B$2:$B$15,$B47,'تفاصيل الفرص'!$D$2:$D$15,$C47,'تفاصيل الفرص'!$X$2:$X$15,0)</f>
        <v>0</v>
      </c>
      <c r="F47" s="5" t="n">
        <f aca="false">COUNTIFS('سجل الأكشنات'!$B$2:$B$57,$B47,'سجل الأكشنات'!$D$2:$D$57,$C47)</f>
        <v>0</v>
      </c>
      <c r="G47" s="5" t="n">
        <f aca="false">COUNTIFS('سجل الأكشنات'!$B$2:$B$57,$B47,'سجل الأكشنات'!$D$2:$D$57,$C47,'سجل الأكشنات'!$H$2:$H$57,"تفصيلي")</f>
        <v>0</v>
      </c>
      <c r="H47" s="5" t="n">
        <f aca="false">F47-G47</f>
        <v>0</v>
      </c>
      <c r="I47" s="5" t="str">
        <f aca="false">IF($B47&gt;"2026-09-02","لا توجد بيانات بعد",IF(AND(D47=0,F47=0),"بدون نشاط","نشِط"))</f>
        <v>لا توجد بيانات بعد</v>
      </c>
    </row>
    <row r="48" customFormat="false" ht="15" hidden="false" customHeight="false" outlineLevel="0" collapsed="false">
      <c r="A48" s="5" t="s">
        <v>59</v>
      </c>
      <c r="B48" s="5" t="s">
        <v>60</v>
      </c>
      <c r="C48" s="4" t="s">
        <v>22</v>
      </c>
      <c r="D48" s="5" t="n">
        <f aca="false">COUNTIFS('تفاصيل الفرص'!$B$2:$B$15,$B48,'تفاصيل الفرص'!$D$2:$D$15,$C48)</f>
        <v>0</v>
      </c>
      <c r="E48" s="5" t="n">
        <f aca="false">COUNTIFS('تفاصيل الفرص'!$B$2:$B$15,$B48,'تفاصيل الفرص'!$D$2:$D$15,$C48,'تفاصيل الفرص'!$X$2:$X$15,0)</f>
        <v>0</v>
      </c>
      <c r="F48" s="5" t="n">
        <f aca="false">COUNTIFS('سجل الأكشنات'!$B$2:$B$57,$B48,'سجل الأكشنات'!$D$2:$D$57,$C48)</f>
        <v>0</v>
      </c>
      <c r="G48" s="5" t="n">
        <f aca="false">COUNTIFS('سجل الأكشنات'!$B$2:$B$57,$B48,'سجل الأكشنات'!$D$2:$D$57,$C48,'سجل الأكشنات'!$H$2:$H$57,"تفصيلي")</f>
        <v>0</v>
      </c>
      <c r="H48" s="5" t="n">
        <f aca="false">F48-G48</f>
        <v>0</v>
      </c>
      <c r="I48" s="5" t="str">
        <f aca="false">IF($B48&gt;"2026-09-02","لا توجد بيانات بعد",IF(AND(D48=0,F48=0),"بدون نشاط","نشِط"))</f>
        <v>لا توجد بيانات بعد</v>
      </c>
    </row>
    <row r="49" customFormat="false" ht="15" hidden="false" customHeight="false" outlineLevel="0" collapsed="false">
      <c r="A49" s="5" t="s">
        <v>59</v>
      </c>
      <c r="B49" s="5" t="s">
        <v>60</v>
      </c>
      <c r="C49" s="4" t="s">
        <v>24</v>
      </c>
      <c r="D49" s="5" t="n">
        <f aca="false">COUNTIFS('تفاصيل الفرص'!$B$2:$B$15,$B49,'تفاصيل الفرص'!$D$2:$D$15,$C49)</f>
        <v>0</v>
      </c>
      <c r="E49" s="5" t="n">
        <f aca="false">COUNTIFS('تفاصيل الفرص'!$B$2:$B$15,$B49,'تفاصيل الفرص'!$D$2:$D$15,$C49,'تفاصيل الفرص'!$X$2:$X$15,0)</f>
        <v>0</v>
      </c>
      <c r="F49" s="5" t="n">
        <f aca="false">COUNTIFS('سجل الأكشنات'!$B$2:$B$57,$B49,'سجل الأكشنات'!$D$2:$D$57,$C49)</f>
        <v>0</v>
      </c>
      <c r="G49" s="5" t="n">
        <f aca="false">COUNTIFS('سجل الأكشنات'!$B$2:$B$57,$B49,'سجل الأكشنات'!$D$2:$D$57,$C49,'سجل الأكشنات'!$H$2:$H$57,"تفصيلي")</f>
        <v>0</v>
      </c>
      <c r="H49" s="5" t="n">
        <f aca="false">F49-G49</f>
        <v>0</v>
      </c>
      <c r="I49" s="5" t="str">
        <f aca="false">IF($B49&gt;"2026-09-02","لا توجد بيانات بعد",IF(AND(D49=0,F49=0),"بدون نشاط","نشِط"))</f>
        <v>لا توجد بيانات بعد</v>
      </c>
    </row>
    <row r="50" customFormat="false" ht="15" hidden="false" customHeight="false" outlineLevel="0" collapsed="false">
      <c r="A50" s="5" t="s">
        <v>59</v>
      </c>
      <c r="B50" s="5" t="s">
        <v>60</v>
      </c>
      <c r="C50" s="4" t="s">
        <v>26</v>
      </c>
      <c r="D50" s="5" t="n">
        <f aca="false">COUNTIFS('تفاصيل الفرص'!$B$2:$B$15,$B50,'تفاصيل الفرص'!$D$2:$D$15,$C50)</f>
        <v>0</v>
      </c>
      <c r="E50" s="5" t="n">
        <f aca="false">COUNTIFS('تفاصيل الفرص'!$B$2:$B$15,$B50,'تفاصيل الفرص'!$D$2:$D$15,$C50,'تفاصيل الفرص'!$X$2:$X$15,0)</f>
        <v>0</v>
      </c>
      <c r="F50" s="5" t="n">
        <f aca="false">COUNTIFS('سجل الأكشنات'!$B$2:$B$57,$B50,'سجل الأكشنات'!$D$2:$D$57,$C50)</f>
        <v>0</v>
      </c>
      <c r="G50" s="5" t="n">
        <f aca="false">COUNTIFS('سجل الأكشنات'!$B$2:$B$57,$B50,'سجل الأكشنات'!$D$2:$D$57,$C50,'سجل الأكشنات'!$H$2:$H$57,"تفصيلي")</f>
        <v>0</v>
      </c>
      <c r="H50" s="5" t="n">
        <f aca="false">F50-G50</f>
        <v>0</v>
      </c>
      <c r="I50" s="5" t="str">
        <f aca="false">IF($B50&gt;"2026-09-02","لا توجد بيانات بعد",IF(AND(D50=0,F50=0),"بدون نشاط","نشِط"))</f>
        <v>لا توجد بيانات بعد</v>
      </c>
    </row>
    <row r="51" customFormat="false" ht="15" hidden="false" customHeight="false" outlineLevel="0" collapsed="false">
      <c r="A51" s="5" t="s">
        <v>59</v>
      </c>
      <c r="B51" s="5" t="s">
        <v>60</v>
      </c>
      <c r="C51" s="4" t="s">
        <v>28</v>
      </c>
      <c r="D51" s="5" t="n">
        <f aca="false">COUNTIFS('تفاصيل الفرص'!$B$2:$B$15,$B51,'تفاصيل الفرص'!$D$2:$D$15,$C51)</f>
        <v>0</v>
      </c>
      <c r="E51" s="5" t="n">
        <f aca="false">COUNTIFS('تفاصيل الفرص'!$B$2:$B$15,$B51,'تفاصيل الفرص'!$D$2:$D$15,$C51,'تفاصيل الفرص'!$X$2:$X$15,0)</f>
        <v>0</v>
      </c>
      <c r="F51" s="5" t="n">
        <f aca="false">COUNTIFS('سجل الأكشنات'!$B$2:$B$57,$B51,'سجل الأكشنات'!$D$2:$D$57,$C51)</f>
        <v>0</v>
      </c>
      <c r="G51" s="5" t="n">
        <f aca="false">COUNTIFS('سجل الأكشنات'!$B$2:$B$57,$B51,'سجل الأكشنات'!$D$2:$D$57,$C51,'سجل الأكشنات'!$H$2:$H$57,"تفصيلي")</f>
        <v>0</v>
      </c>
      <c r="H51" s="5" t="n">
        <f aca="false">F51-G51</f>
        <v>0</v>
      </c>
      <c r="I51" s="5" t="str">
        <f aca="false">IF($B51&gt;"2026-09-02","لا توجد بيانات بعد",IF(AND(D51=0,F51=0),"بدون نشاط","نشِط"))</f>
        <v>لا توجد بيانات بعد</v>
      </c>
    </row>
    <row r="52" customFormat="false" ht="15" hidden="false" customHeight="false" outlineLevel="0" collapsed="false">
      <c r="A52" s="5" t="s">
        <v>59</v>
      </c>
      <c r="B52" s="5" t="s">
        <v>60</v>
      </c>
      <c r="C52" s="4" t="s">
        <v>30</v>
      </c>
      <c r="D52" s="5" t="n">
        <f aca="false">COUNTIFS('تفاصيل الفرص'!$B$2:$B$15,$B52,'تفاصيل الفرص'!$D$2:$D$15,$C52)</f>
        <v>0</v>
      </c>
      <c r="E52" s="5" t="n">
        <f aca="false">COUNTIFS('تفاصيل الفرص'!$B$2:$B$15,$B52,'تفاصيل الفرص'!$D$2:$D$15,$C52,'تفاصيل الفرص'!$X$2:$X$15,0)</f>
        <v>0</v>
      </c>
      <c r="F52" s="5" t="n">
        <f aca="false">COUNTIFS('سجل الأكشنات'!$B$2:$B$57,$B52,'سجل الأكشنات'!$D$2:$D$57,$C52)</f>
        <v>0</v>
      </c>
      <c r="G52" s="5" t="n">
        <f aca="false">COUNTIFS('سجل الأكشنات'!$B$2:$B$57,$B52,'سجل الأكشنات'!$D$2:$D$57,$C52,'سجل الأكشنات'!$H$2:$H$57,"تفصيلي")</f>
        <v>0</v>
      </c>
      <c r="H52" s="5" t="n">
        <f aca="false">F52-G52</f>
        <v>0</v>
      </c>
      <c r="I52" s="5" t="str">
        <f aca="false">IF($B52&gt;"2026-09-02","لا توجد بيانات بعد",IF(AND(D52=0,F52=0),"بدون نشاط","نشِط"))</f>
        <v>لا توجد بيانات بعد</v>
      </c>
    </row>
    <row r="53" customFormat="false" ht="15" hidden="false" customHeight="false" outlineLevel="0" collapsed="false">
      <c r="A53" s="12" t="s">
        <v>47</v>
      </c>
      <c r="B53" s="12" t="s">
        <v>61</v>
      </c>
      <c r="C53" s="13" t="s">
        <v>18</v>
      </c>
      <c r="D53" s="12" t="n">
        <f aca="false">COUNTIFS('تفاصيل الفرص'!$B$2:$B$15,$B53,'تفاصيل الفرص'!$D$2:$D$15,$C53)</f>
        <v>0</v>
      </c>
      <c r="E53" s="12" t="n">
        <f aca="false">COUNTIFS('تفاصيل الفرص'!$B$2:$B$15,$B53,'تفاصيل الفرص'!$D$2:$D$15,$C53,'تفاصيل الفرص'!$X$2:$X$15,0)</f>
        <v>0</v>
      </c>
      <c r="F53" s="12" t="n">
        <f aca="false">COUNTIFS('سجل الأكشنات'!$B$2:$B$57,$B53,'سجل الأكشنات'!$D$2:$D$57,$C53)</f>
        <v>0</v>
      </c>
      <c r="G53" s="12" t="n">
        <f aca="false">COUNTIFS('سجل الأكشنات'!$B$2:$B$57,$B53,'سجل الأكشنات'!$D$2:$D$57,$C53,'سجل الأكشنات'!$H$2:$H$57,"تفصيلي")</f>
        <v>0</v>
      </c>
      <c r="H53" s="12" t="n">
        <f aca="false">F53-G53</f>
        <v>0</v>
      </c>
      <c r="I53" s="12" t="str">
        <f aca="false">IF($B53&gt;"2026-09-02","لا توجد بيانات بعد",IF(AND(D53=0,F53=0),"بدون نشاط","نشِط"))</f>
        <v>لا توجد بيانات بعد</v>
      </c>
    </row>
    <row r="54" customFormat="false" ht="15" hidden="false" customHeight="false" outlineLevel="0" collapsed="false">
      <c r="A54" s="12" t="s">
        <v>47</v>
      </c>
      <c r="B54" s="12" t="s">
        <v>61</v>
      </c>
      <c r="C54" s="13" t="s">
        <v>20</v>
      </c>
      <c r="D54" s="12" t="n">
        <f aca="false">COUNTIFS('تفاصيل الفرص'!$B$2:$B$15,$B54,'تفاصيل الفرص'!$D$2:$D$15,$C54)</f>
        <v>0</v>
      </c>
      <c r="E54" s="12" t="n">
        <f aca="false">COUNTIFS('تفاصيل الفرص'!$B$2:$B$15,$B54,'تفاصيل الفرص'!$D$2:$D$15,$C54,'تفاصيل الفرص'!$X$2:$X$15,0)</f>
        <v>0</v>
      </c>
      <c r="F54" s="12" t="n">
        <f aca="false">COUNTIFS('سجل الأكشنات'!$B$2:$B$57,$B54,'سجل الأكشنات'!$D$2:$D$57,$C54)</f>
        <v>0</v>
      </c>
      <c r="G54" s="12" t="n">
        <f aca="false">COUNTIFS('سجل الأكشنات'!$B$2:$B$57,$B54,'سجل الأكشنات'!$D$2:$D$57,$C54,'سجل الأكشنات'!$H$2:$H$57,"تفصيلي")</f>
        <v>0</v>
      </c>
      <c r="H54" s="12" t="n">
        <f aca="false">F54-G54</f>
        <v>0</v>
      </c>
      <c r="I54" s="12" t="str">
        <f aca="false">IF($B54&gt;"2026-09-02","لا توجد بيانات بعد",IF(AND(D54=0,F54=0),"بدون نشاط","نشِط"))</f>
        <v>لا توجد بيانات بعد</v>
      </c>
    </row>
    <row r="55" customFormat="false" ht="15" hidden="false" customHeight="false" outlineLevel="0" collapsed="false">
      <c r="A55" s="12" t="s">
        <v>47</v>
      </c>
      <c r="B55" s="12" t="s">
        <v>61</v>
      </c>
      <c r="C55" s="13" t="s">
        <v>22</v>
      </c>
      <c r="D55" s="12" t="n">
        <f aca="false">COUNTIFS('تفاصيل الفرص'!$B$2:$B$15,$B55,'تفاصيل الفرص'!$D$2:$D$15,$C55)</f>
        <v>0</v>
      </c>
      <c r="E55" s="12" t="n">
        <f aca="false">COUNTIFS('تفاصيل الفرص'!$B$2:$B$15,$B55,'تفاصيل الفرص'!$D$2:$D$15,$C55,'تفاصيل الفرص'!$X$2:$X$15,0)</f>
        <v>0</v>
      </c>
      <c r="F55" s="12" t="n">
        <f aca="false">COUNTIFS('سجل الأكشنات'!$B$2:$B$57,$B55,'سجل الأكشنات'!$D$2:$D$57,$C55)</f>
        <v>0</v>
      </c>
      <c r="G55" s="12" t="n">
        <f aca="false">COUNTIFS('سجل الأكشنات'!$B$2:$B$57,$B55,'سجل الأكشنات'!$D$2:$D$57,$C55,'سجل الأكشنات'!$H$2:$H$57,"تفصيلي")</f>
        <v>0</v>
      </c>
      <c r="H55" s="12" t="n">
        <f aca="false">F55-G55</f>
        <v>0</v>
      </c>
      <c r="I55" s="12" t="str">
        <f aca="false">IF($B55&gt;"2026-09-02","لا توجد بيانات بعد",IF(AND(D55=0,F55=0),"بدون نشاط","نشِط"))</f>
        <v>لا توجد بيانات بعد</v>
      </c>
    </row>
    <row r="56" customFormat="false" ht="15" hidden="false" customHeight="false" outlineLevel="0" collapsed="false">
      <c r="A56" s="12" t="s">
        <v>47</v>
      </c>
      <c r="B56" s="12" t="s">
        <v>61</v>
      </c>
      <c r="C56" s="13" t="s">
        <v>24</v>
      </c>
      <c r="D56" s="12" t="n">
        <f aca="false">COUNTIFS('تفاصيل الفرص'!$B$2:$B$15,$B56,'تفاصيل الفرص'!$D$2:$D$15,$C56)</f>
        <v>0</v>
      </c>
      <c r="E56" s="12" t="n">
        <f aca="false">COUNTIFS('تفاصيل الفرص'!$B$2:$B$15,$B56,'تفاصيل الفرص'!$D$2:$D$15,$C56,'تفاصيل الفرص'!$X$2:$X$15,0)</f>
        <v>0</v>
      </c>
      <c r="F56" s="12" t="n">
        <f aca="false">COUNTIFS('سجل الأكشنات'!$B$2:$B$57,$B56,'سجل الأكشنات'!$D$2:$D$57,$C56)</f>
        <v>0</v>
      </c>
      <c r="G56" s="12" t="n">
        <f aca="false">COUNTIFS('سجل الأكشنات'!$B$2:$B$57,$B56,'سجل الأكشنات'!$D$2:$D$57,$C56,'سجل الأكشنات'!$H$2:$H$57,"تفصيلي")</f>
        <v>0</v>
      </c>
      <c r="H56" s="12" t="n">
        <f aca="false">F56-G56</f>
        <v>0</v>
      </c>
      <c r="I56" s="12" t="str">
        <f aca="false">IF($B56&gt;"2026-09-02","لا توجد بيانات بعد",IF(AND(D56=0,F56=0),"بدون نشاط","نشِط"))</f>
        <v>لا توجد بيانات بعد</v>
      </c>
    </row>
    <row r="57" customFormat="false" ht="15" hidden="false" customHeight="false" outlineLevel="0" collapsed="false">
      <c r="A57" s="12" t="s">
        <v>47</v>
      </c>
      <c r="B57" s="12" t="s">
        <v>61</v>
      </c>
      <c r="C57" s="13" t="s">
        <v>26</v>
      </c>
      <c r="D57" s="12" t="n">
        <f aca="false">COUNTIFS('تفاصيل الفرص'!$B$2:$B$15,$B57,'تفاصيل الفرص'!$D$2:$D$15,$C57)</f>
        <v>0</v>
      </c>
      <c r="E57" s="12" t="n">
        <f aca="false">COUNTIFS('تفاصيل الفرص'!$B$2:$B$15,$B57,'تفاصيل الفرص'!$D$2:$D$15,$C57,'تفاصيل الفرص'!$X$2:$X$15,0)</f>
        <v>0</v>
      </c>
      <c r="F57" s="12" t="n">
        <f aca="false">COUNTIFS('سجل الأكشنات'!$B$2:$B$57,$B57,'سجل الأكشنات'!$D$2:$D$57,$C57)</f>
        <v>0</v>
      </c>
      <c r="G57" s="12" t="n">
        <f aca="false">COUNTIFS('سجل الأكشنات'!$B$2:$B$57,$B57,'سجل الأكشنات'!$D$2:$D$57,$C57,'سجل الأكشنات'!$H$2:$H$57,"تفصيلي")</f>
        <v>0</v>
      </c>
      <c r="H57" s="12" t="n">
        <f aca="false">F57-G57</f>
        <v>0</v>
      </c>
      <c r="I57" s="12" t="str">
        <f aca="false">IF($B57&gt;"2026-09-02","لا توجد بيانات بعد",IF(AND(D57=0,F57=0),"بدون نشاط","نشِط"))</f>
        <v>لا توجد بيانات بعد</v>
      </c>
    </row>
    <row r="58" customFormat="false" ht="15" hidden="false" customHeight="false" outlineLevel="0" collapsed="false">
      <c r="A58" s="12" t="s">
        <v>47</v>
      </c>
      <c r="B58" s="12" t="s">
        <v>61</v>
      </c>
      <c r="C58" s="13" t="s">
        <v>28</v>
      </c>
      <c r="D58" s="12" t="n">
        <f aca="false">COUNTIFS('تفاصيل الفرص'!$B$2:$B$15,$B58,'تفاصيل الفرص'!$D$2:$D$15,$C58)</f>
        <v>0</v>
      </c>
      <c r="E58" s="12" t="n">
        <f aca="false">COUNTIFS('تفاصيل الفرص'!$B$2:$B$15,$B58,'تفاصيل الفرص'!$D$2:$D$15,$C58,'تفاصيل الفرص'!$X$2:$X$15,0)</f>
        <v>0</v>
      </c>
      <c r="F58" s="12" t="n">
        <f aca="false">COUNTIFS('سجل الأكشنات'!$B$2:$B$57,$B58,'سجل الأكشنات'!$D$2:$D$57,$C58)</f>
        <v>0</v>
      </c>
      <c r="G58" s="12" t="n">
        <f aca="false">COUNTIFS('سجل الأكشنات'!$B$2:$B$57,$B58,'سجل الأكشنات'!$D$2:$D$57,$C58,'سجل الأكشنات'!$H$2:$H$57,"تفصيلي")</f>
        <v>0</v>
      </c>
      <c r="H58" s="12" t="n">
        <f aca="false">F58-G58</f>
        <v>0</v>
      </c>
      <c r="I58" s="12" t="str">
        <f aca="false">IF($B58&gt;"2026-09-02","لا توجد بيانات بعد",IF(AND(D58=0,F58=0),"بدون نشاط","نشِط"))</f>
        <v>لا توجد بيانات بعد</v>
      </c>
    </row>
    <row r="59" customFormat="false" ht="15" hidden="false" customHeight="false" outlineLevel="0" collapsed="false">
      <c r="A59" s="12" t="s">
        <v>47</v>
      </c>
      <c r="B59" s="12" t="s">
        <v>61</v>
      </c>
      <c r="C59" s="13" t="s">
        <v>30</v>
      </c>
      <c r="D59" s="12" t="n">
        <f aca="false">COUNTIFS('تفاصيل الفرص'!$B$2:$B$15,$B59,'تفاصيل الفرص'!$D$2:$D$15,$C59)</f>
        <v>0</v>
      </c>
      <c r="E59" s="12" t="n">
        <f aca="false">COUNTIFS('تفاصيل الفرص'!$B$2:$B$15,$B59,'تفاصيل الفرص'!$D$2:$D$15,$C59,'تفاصيل الفرص'!$X$2:$X$15,0)</f>
        <v>0</v>
      </c>
      <c r="F59" s="12" t="n">
        <f aca="false">COUNTIFS('سجل الأكشنات'!$B$2:$B$57,$B59,'سجل الأكشنات'!$D$2:$D$57,$C59)</f>
        <v>0</v>
      </c>
      <c r="G59" s="12" t="n">
        <f aca="false">COUNTIFS('سجل الأكشنات'!$B$2:$B$57,$B59,'سجل الأكشنات'!$D$2:$D$57,$C59,'سجل الأكشنات'!$H$2:$H$57,"تفصيلي")</f>
        <v>0</v>
      </c>
      <c r="H59" s="12" t="n">
        <f aca="false">F59-G59</f>
        <v>0</v>
      </c>
      <c r="I59" s="12" t="str">
        <f aca="false">IF($B59&gt;"2026-09-02","لا توجد بيانات بعد",IF(AND(D59=0,F59=0),"بدون نشاط","نشِط"))</f>
        <v>لا توجد بيانات بعد</v>
      </c>
    </row>
    <row r="60" customFormat="false" ht="15" hidden="false" customHeight="false" outlineLevel="0" collapsed="false">
      <c r="A60" s="5" t="s">
        <v>49</v>
      </c>
      <c r="B60" s="5" t="s">
        <v>62</v>
      </c>
      <c r="C60" s="4" t="s">
        <v>18</v>
      </c>
      <c r="D60" s="5" t="n">
        <f aca="false">COUNTIFS('تفاصيل الفرص'!$B$2:$B$15,$B60,'تفاصيل الفرص'!$D$2:$D$15,$C60)</f>
        <v>0</v>
      </c>
      <c r="E60" s="5" t="n">
        <f aca="false">COUNTIFS('تفاصيل الفرص'!$B$2:$B$15,$B60,'تفاصيل الفرص'!$D$2:$D$15,$C60,'تفاصيل الفرص'!$X$2:$X$15,0)</f>
        <v>0</v>
      </c>
      <c r="F60" s="5" t="n">
        <f aca="false">COUNTIFS('سجل الأكشنات'!$B$2:$B$57,$B60,'سجل الأكشنات'!$D$2:$D$57,$C60)</f>
        <v>0</v>
      </c>
      <c r="G60" s="5" t="n">
        <f aca="false">COUNTIFS('سجل الأكشنات'!$B$2:$B$57,$B60,'سجل الأكشنات'!$D$2:$D$57,$C60,'سجل الأكشنات'!$H$2:$H$57,"تفصيلي")</f>
        <v>0</v>
      </c>
      <c r="H60" s="5" t="n">
        <f aca="false">F60-G60</f>
        <v>0</v>
      </c>
      <c r="I60" s="5" t="str">
        <f aca="false">IF($B60&gt;"2026-09-02","لا توجد بيانات بعد",IF(AND(D60=0,F60=0),"بدون نشاط","نشِط"))</f>
        <v>لا توجد بيانات بعد</v>
      </c>
    </row>
    <row r="61" customFormat="false" ht="15" hidden="false" customHeight="false" outlineLevel="0" collapsed="false">
      <c r="A61" s="5" t="s">
        <v>49</v>
      </c>
      <c r="B61" s="5" t="s">
        <v>62</v>
      </c>
      <c r="C61" s="4" t="s">
        <v>20</v>
      </c>
      <c r="D61" s="5" t="n">
        <f aca="false">COUNTIFS('تفاصيل الفرص'!$B$2:$B$15,$B61,'تفاصيل الفرص'!$D$2:$D$15,$C61)</f>
        <v>0</v>
      </c>
      <c r="E61" s="5" t="n">
        <f aca="false">COUNTIFS('تفاصيل الفرص'!$B$2:$B$15,$B61,'تفاصيل الفرص'!$D$2:$D$15,$C61,'تفاصيل الفرص'!$X$2:$X$15,0)</f>
        <v>0</v>
      </c>
      <c r="F61" s="5" t="n">
        <f aca="false">COUNTIFS('سجل الأكشنات'!$B$2:$B$57,$B61,'سجل الأكشنات'!$D$2:$D$57,$C61)</f>
        <v>0</v>
      </c>
      <c r="G61" s="5" t="n">
        <f aca="false">COUNTIFS('سجل الأكشنات'!$B$2:$B$57,$B61,'سجل الأكشنات'!$D$2:$D$57,$C61,'سجل الأكشنات'!$H$2:$H$57,"تفصيلي")</f>
        <v>0</v>
      </c>
      <c r="H61" s="5" t="n">
        <f aca="false">F61-G61</f>
        <v>0</v>
      </c>
      <c r="I61" s="5" t="str">
        <f aca="false">IF($B61&gt;"2026-09-02","لا توجد بيانات بعد",IF(AND(D61=0,F61=0),"بدون نشاط","نشِط"))</f>
        <v>لا توجد بيانات بعد</v>
      </c>
    </row>
    <row r="62" customFormat="false" ht="15" hidden="false" customHeight="false" outlineLevel="0" collapsed="false">
      <c r="A62" s="5" t="s">
        <v>49</v>
      </c>
      <c r="B62" s="5" t="s">
        <v>62</v>
      </c>
      <c r="C62" s="4" t="s">
        <v>22</v>
      </c>
      <c r="D62" s="5" t="n">
        <f aca="false">COUNTIFS('تفاصيل الفرص'!$B$2:$B$15,$B62,'تفاصيل الفرص'!$D$2:$D$15,$C62)</f>
        <v>0</v>
      </c>
      <c r="E62" s="5" t="n">
        <f aca="false">COUNTIFS('تفاصيل الفرص'!$B$2:$B$15,$B62,'تفاصيل الفرص'!$D$2:$D$15,$C62,'تفاصيل الفرص'!$X$2:$X$15,0)</f>
        <v>0</v>
      </c>
      <c r="F62" s="5" t="n">
        <f aca="false">COUNTIFS('سجل الأكشنات'!$B$2:$B$57,$B62,'سجل الأكشنات'!$D$2:$D$57,$C62)</f>
        <v>0</v>
      </c>
      <c r="G62" s="5" t="n">
        <f aca="false">COUNTIFS('سجل الأكشنات'!$B$2:$B$57,$B62,'سجل الأكشنات'!$D$2:$D$57,$C62,'سجل الأكشنات'!$H$2:$H$57,"تفصيلي")</f>
        <v>0</v>
      </c>
      <c r="H62" s="5" t="n">
        <f aca="false">F62-G62</f>
        <v>0</v>
      </c>
      <c r="I62" s="5" t="str">
        <f aca="false">IF($B62&gt;"2026-09-02","لا توجد بيانات بعد",IF(AND(D62=0,F62=0),"بدون نشاط","نشِط"))</f>
        <v>لا توجد بيانات بعد</v>
      </c>
    </row>
    <row r="63" customFormat="false" ht="15" hidden="false" customHeight="false" outlineLevel="0" collapsed="false">
      <c r="A63" s="5" t="s">
        <v>49</v>
      </c>
      <c r="B63" s="5" t="s">
        <v>62</v>
      </c>
      <c r="C63" s="4" t="s">
        <v>24</v>
      </c>
      <c r="D63" s="5" t="n">
        <f aca="false">COUNTIFS('تفاصيل الفرص'!$B$2:$B$15,$B63,'تفاصيل الفرص'!$D$2:$D$15,$C63)</f>
        <v>0</v>
      </c>
      <c r="E63" s="5" t="n">
        <f aca="false">COUNTIFS('تفاصيل الفرص'!$B$2:$B$15,$B63,'تفاصيل الفرص'!$D$2:$D$15,$C63,'تفاصيل الفرص'!$X$2:$X$15,0)</f>
        <v>0</v>
      </c>
      <c r="F63" s="5" t="n">
        <f aca="false">COUNTIFS('سجل الأكشنات'!$B$2:$B$57,$B63,'سجل الأكشنات'!$D$2:$D$57,$C63)</f>
        <v>0</v>
      </c>
      <c r="G63" s="5" t="n">
        <f aca="false">COUNTIFS('سجل الأكشنات'!$B$2:$B$57,$B63,'سجل الأكشنات'!$D$2:$D$57,$C63,'سجل الأكشنات'!$H$2:$H$57,"تفصيلي")</f>
        <v>0</v>
      </c>
      <c r="H63" s="5" t="n">
        <f aca="false">F63-G63</f>
        <v>0</v>
      </c>
      <c r="I63" s="5" t="str">
        <f aca="false">IF($B63&gt;"2026-09-02","لا توجد بيانات بعد",IF(AND(D63=0,F63=0),"بدون نشاط","نشِط"))</f>
        <v>لا توجد بيانات بعد</v>
      </c>
    </row>
    <row r="64" customFormat="false" ht="15" hidden="false" customHeight="false" outlineLevel="0" collapsed="false">
      <c r="A64" s="5" t="s">
        <v>49</v>
      </c>
      <c r="B64" s="5" t="s">
        <v>62</v>
      </c>
      <c r="C64" s="4" t="s">
        <v>26</v>
      </c>
      <c r="D64" s="5" t="n">
        <f aca="false">COUNTIFS('تفاصيل الفرص'!$B$2:$B$15,$B64,'تفاصيل الفرص'!$D$2:$D$15,$C64)</f>
        <v>0</v>
      </c>
      <c r="E64" s="5" t="n">
        <f aca="false">COUNTIFS('تفاصيل الفرص'!$B$2:$B$15,$B64,'تفاصيل الفرص'!$D$2:$D$15,$C64,'تفاصيل الفرص'!$X$2:$X$15,0)</f>
        <v>0</v>
      </c>
      <c r="F64" s="5" t="n">
        <f aca="false">COUNTIFS('سجل الأكشنات'!$B$2:$B$57,$B64,'سجل الأكشنات'!$D$2:$D$57,$C64)</f>
        <v>0</v>
      </c>
      <c r="G64" s="5" t="n">
        <f aca="false">COUNTIFS('سجل الأكشنات'!$B$2:$B$57,$B64,'سجل الأكشنات'!$D$2:$D$57,$C64,'سجل الأكشنات'!$H$2:$H$57,"تفصيلي")</f>
        <v>0</v>
      </c>
      <c r="H64" s="5" t="n">
        <f aca="false">F64-G64</f>
        <v>0</v>
      </c>
      <c r="I64" s="5" t="str">
        <f aca="false">IF($B64&gt;"2026-09-02","لا توجد بيانات بعد",IF(AND(D64=0,F64=0),"بدون نشاط","نشِط"))</f>
        <v>لا توجد بيانات بعد</v>
      </c>
    </row>
    <row r="65" customFormat="false" ht="15" hidden="false" customHeight="false" outlineLevel="0" collapsed="false">
      <c r="A65" s="5" t="s">
        <v>49</v>
      </c>
      <c r="B65" s="5" t="s">
        <v>62</v>
      </c>
      <c r="C65" s="4" t="s">
        <v>28</v>
      </c>
      <c r="D65" s="5" t="n">
        <f aca="false">COUNTIFS('تفاصيل الفرص'!$B$2:$B$15,$B65,'تفاصيل الفرص'!$D$2:$D$15,$C65)</f>
        <v>0</v>
      </c>
      <c r="E65" s="5" t="n">
        <f aca="false">COUNTIFS('تفاصيل الفرص'!$B$2:$B$15,$B65,'تفاصيل الفرص'!$D$2:$D$15,$C65,'تفاصيل الفرص'!$X$2:$X$15,0)</f>
        <v>0</v>
      </c>
      <c r="F65" s="5" t="n">
        <f aca="false">COUNTIFS('سجل الأكشنات'!$B$2:$B$57,$B65,'سجل الأكشنات'!$D$2:$D$57,$C65)</f>
        <v>0</v>
      </c>
      <c r="G65" s="5" t="n">
        <f aca="false">COUNTIFS('سجل الأكشنات'!$B$2:$B$57,$B65,'سجل الأكشنات'!$D$2:$D$57,$C65,'سجل الأكشنات'!$H$2:$H$57,"تفصيلي")</f>
        <v>0</v>
      </c>
      <c r="H65" s="5" t="n">
        <f aca="false">F65-G65</f>
        <v>0</v>
      </c>
      <c r="I65" s="5" t="str">
        <f aca="false">IF($B65&gt;"2026-09-02","لا توجد بيانات بعد",IF(AND(D65=0,F65=0),"بدون نشاط","نشِط"))</f>
        <v>لا توجد بيانات بعد</v>
      </c>
    </row>
    <row r="66" customFormat="false" ht="15" hidden="false" customHeight="false" outlineLevel="0" collapsed="false">
      <c r="A66" s="5" t="s">
        <v>49</v>
      </c>
      <c r="B66" s="5" t="s">
        <v>62</v>
      </c>
      <c r="C66" s="4" t="s">
        <v>30</v>
      </c>
      <c r="D66" s="5" t="n">
        <f aca="false">COUNTIFS('تفاصيل الفرص'!$B$2:$B$15,$B66,'تفاصيل الفرص'!$D$2:$D$15,$C66)</f>
        <v>0</v>
      </c>
      <c r="E66" s="5" t="n">
        <f aca="false">COUNTIFS('تفاصيل الفرص'!$B$2:$B$15,$B66,'تفاصيل الفرص'!$D$2:$D$15,$C66,'تفاصيل الفرص'!$X$2:$X$15,0)</f>
        <v>0</v>
      </c>
      <c r="F66" s="5" t="n">
        <f aca="false">COUNTIFS('سجل الأكشنات'!$B$2:$B$57,$B66,'سجل الأكشنات'!$D$2:$D$57,$C66)</f>
        <v>0</v>
      </c>
      <c r="G66" s="5" t="n">
        <f aca="false">COUNTIFS('سجل الأكشنات'!$B$2:$B$57,$B66,'سجل الأكشنات'!$D$2:$D$57,$C66,'سجل الأكشنات'!$H$2:$H$57,"تفصيلي")</f>
        <v>0</v>
      </c>
      <c r="H66" s="5" t="n">
        <f aca="false">F66-G66</f>
        <v>0</v>
      </c>
      <c r="I66" s="5" t="str">
        <f aca="false">IF($B66&gt;"2026-09-02","لا توجد بيانات بعد",IF(AND(D66=0,F66=0),"بدون نشاط","نشِط"))</f>
        <v>لا توجد بيانات بعد</v>
      </c>
    </row>
    <row r="67" customFormat="false" ht="15" hidden="false" customHeight="false" outlineLevel="0" collapsed="false">
      <c r="A67" s="12" t="s">
        <v>51</v>
      </c>
      <c r="B67" s="12" t="s">
        <v>63</v>
      </c>
      <c r="C67" s="13" t="s">
        <v>18</v>
      </c>
      <c r="D67" s="12" t="n">
        <f aca="false">COUNTIFS('تفاصيل الفرص'!$B$2:$B$15,$B67,'تفاصيل الفرص'!$D$2:$D$15,$C67)</f>
        <v>0</v>
      </c>
      <c r="E67" s="12" t="n">
        <f aca="false">COUNTIFS('تفاصيل الفرص'!$B$2:$B$15,$B67,'تفاصيل الفرص'!$D$2:$D$15,$C67,'تفاصيل الفرص'!$X$2:$X$15,0)</f>
        <v>0</v>
      </c>
      <c r="F67" s="12" t="n">
        <f aca="false">COUNTIFS('سجل الأكشنات'!$B$2:$B$57,$B67,'سجل الأكشنات'!$D$2:$D$57,$C67)</f>
        <v>0</v>
      </c>
      <c r="G67" s="12" t="n">
        <f aca="false">COUNTIFS('سجل الأكشنات'!$B$2:$B$57,$B67,'سجل الأكشنات'!$D$2:$D$57,$C67,'سجل الأكشنات'!$H$2:$H$57,"تفصيلي")</f>
        <v>0</v>
      </c>
      <c r="H67" s="12" t="n">
        <f aca="false">F67-G67</f>
        <v>0</v>
      </c>
      <c r="I67" s="12" t="str">
        <f aca="false">IF($B67&gt;"2026-09-02","لا توجد بيانات بعد",IF(AND(D67=0,F67=0),"بدون نشاط","نشِط"))</f>
        <v>لا توجد بيانات بعد</v>
      </c>
    </row>
    <row r="68" customFormat="false" ht="15" hidden="false" customHeight="false" outlineLevel="0" collapsed="false">
      <c r="A68" s="12" t="s">
        <v>51</v>
      </c>
      <c r="B68" s="12" t="s">
        <v>63</v>
      </c>
      <c r="C68" s="13" t="s">
        <v>20</v>
      </c>
      <c r="D68" s="12" t="n">
        <f aca="false">COUNTIFS('تفاصيل الفرص'!$B$2:$B$15,$B68,'تفاصيل الفرص'!$D$2:$D$15,$C68)</f>
        <v>0</v>
      </c>
      <c r="E68" s="12" t="n">
        <f aca="false">COUNTIFS('تفاصيل الفرص'!$B$2:$B$15,$B68,'تفاصيل الفرص'!$D$2:$D$15,$C68,'تفاصيل الفرص'!$X$2:$X$15,0)</f>
        <v>0</v>
      </c>
      <c r="F68" s="12" t="n">
        <f aca="false">COUNTIFS('سجل الأكشنات'!$B$2:$B$57,$B68,'سجل الأكشنات'!$D$2:$D$57,$C68)</f>
        <v>0</v>
      </c>
      <c r="G68" s="12" t="n">
        <f aca="false">COUNTIFS('سجل الأكشنات'!$B$2:$B$57,$B68,'سجل الأكشنات'!$D$2:$D$57,$C68,'سجل الأكشنات'!$H$2:$H$57,"تفصيلي")</f>
        <v>0</v>
      </c>
      <c r="H68" s="12" t="n">
        <f aca="false">F68-G68</f>
        <v>0</v>
      </c>
      <c r="I68" s="12" t="str">
        <f aca="false">IF($B68&gt;"2026-09-02","لا توجد بيانات بعد",IF(AND(D68=0,F68=0),"بدون نشاط","نشِط"))</f>
        <v>لا توجد بيانات بعد</v>
      </c>
    </row>
    <row r="69" customFormat="false" ht="15" hidden="false" customHeight="false" outlineLevel="0" collapsed="false">
      <c r="A69" s="12" t="s">
        <v>51</v>
      </c>
      <c r="B69" s="12" t="s">
        <v>63</v>
      </c>
      <c r="C69" s="13" t="s">
        <v>22</v>
      </c>
      <c r="D69" s="12" t="n">
        <f aca="false">COUNTIFS('تفاصيل الفرص'!$B$2:$B$15,$B69,'تفاصيل الفرص'!$D$2:$D$15,$C69)</f>
        <v>0</v>
      </c>
      <c r="E69" s="12" t="n">
        <f aca="false">COUNTIFS('تفاصيل الفرص'!$B$2:$B$15,$B69,'تفاصيل الفرص'!$D$2:$D$15,$C69,'تفاصيل الفرص'!$X$2:$X$15,0)</f>
        <v>0</v>
      </c>
      <c r="F69" s="12" t="n">
        <f aca="false">COUNTIFS('سجل الأكشنات'!$B$2:$B$57,$B69,'سجل الأكشنات'!$D$2:$D$57,$C69)</f>
        <v>0</v>
      </c>
      <c r="G69" s="12" t="n">
        <f aca="false">COUNTIFS('سجل الأكشنات'!$B$2:$B$57,$B69,'سجل الأكشنات'!$D$2:$D$57,$C69,'سجل الأكشنات'!$H$2:$H$57,"تفصيلي")</f>
        <v>0</v>
      </c>
      <c r="H69" s="12" t="n">
        <f aca="false">F69-G69</f>
        <v>0</v>
      </c>
      <c r="I69" s="12" t="str">
        <f aca="false">IF($B69&gt;"2026-09-02","لا توجد بيانات بعد",IF(AND(D69=0,F69=0),"بدون نشاط","نشِط"))</f>
        <v>لا توجد بيانات بعد</v>
      </c>
    </row>
    <row r="70" customFormat="false" ht="15" hidden="false" customHeight="false" outlineLevel="0" collapsed="false">
      <c r="A70" s="12" t="s">
        <v>51</v>
      </c>
      <c r="B70" s="12" t="s">
        <v>63</v>
      </c>
      <c r="C70" s="13" t="s">
        <v>24</v>
      </c>
      <c r="D70" s="12" t="n">
        <f aca="false">COUNTIFS('تفاصيل الفرص'!$B$2:$B$15,$B70,'تفاصيل الفرص'!$D$2:$D$15,$C70)</f>
        <v>0</v>
      </c>
      <c r="E70" s="12" t="n">
        <f aca="false">COUNTIFS('تفاصيل الفرص'!$B$2:$B$15,$B70,'تفاصيل الفرص'!$D$2:$D$15,$C70,'تفاصيل الفرص'!$X$2:$X$15,0)</f>
        <v>0</v>
      </c>
      <c r="F70" s="12" t="n">
        <f aca="false">COUNTIFS('سجل الأكشنات'!$B$2:$B$57,$B70,'سجل الأكشنات'!$D$2:$D$57,$C70)</f>
        <v>0</v>
      </c>
      <c r="G70" s="12" t="n">
        <f aca="false">COUNTIFS('سجل الأكشنات'!$B$2:$B$57,$B70,'سجل الأكشنات'!$D$2:$D$57,$C70,'سجل الأكشنات'!$H$2:$H$57,"تفصيلي")</f>
        <v>0</v>
      </c>
      <c r="H70" s="12" t="n">
        <f aca="false">F70-G70</f>
        <v>0</v>
      </c>
      <c r="I70" s="12" t="str">
        <f aca="false">IF($B70&gt;"2026-09-02","لا توجد بيانات بعد",IF(AND(D70=0,F70=0),"بدون نشاط","نشِط"))</f>
        <v>لا توجد بيانات بعد</v>
      </c>
    </row>
    <row r="71" customFormat="false" ht="15" hidden="false" customHeight="false" outlineLevel="0" collapsed="false">
      <c r="A71" s="12" t="s">
        <v>51</v>
      </c>
      <c r="B71" s="12" t="s">
        <v>63</v>
      </c>
      <c r="C71" s="13" t="s">
        <v>26</v>
      </c>
      <c r="D71" s="12" t="n">
        <f aca="false">COUNTIFS('تفاصيل الفرص'!$B$2:$B$15,$B71,'تفاصيل الفرص'!$D$2:$D$15,$C71)</f>
        <v>0</v>
      </c>
      <c r="E71" s="12" t="n">
        <f aca="false">COUNTIFS('تفاصيل الفرص'!$B$2:$B$15,$B71,'تفاصيل الفرص'!$D$2:$D$15,$C71,'تفاصيل الفرص'!$X$2:$X$15,0)</f>
        <v>0</v>
      </c>
      <c r="F71" s="12" t="n">
        <f aca="false">COUNTIFS('سجل الأكشنات'!$B$2:$B$57,$B71,'سجل الأكشنات'!$D$2:$D$57,$C71)</f>
        <v>0</v>
      </c>
      <c r="G71" s="12" t="n">
        <f aca="false">COUNTIFS('سجل الأكشنات'!$B$2:$B$57,$B71,'سجل الأكشنات'!$D$2:$D$57,$C71,'سجل الأكشنات'!$H$2:$H$57,"تفصيلي")</f>
        <v>0</v>
      </c>
      <c r="H71" s="12" t="n">
        <f aca="false">F71-G71</f>
        <v>0</v>
      </c>
      <c r="I71" s="12" t="str">
        <f aca="false">IF($B71&gt;"2026-09-02","لا توجد بيانات بعد",IF(AND(D71=0,F71=0),"بدون نشاط","نشِط"))</f>
        <v>لا توجد بيانات بعد</v>
      </c>
    </row>
    <row r="72" customFormat="false" ht="15" hidden="false" customHeight="false" outlineLevel="0" collapsed="false">
      <c r="A72" s="12" t="s">
        <v>51</v>
      </c>
      <c r="B72" s="12" t="s">
        <v>63</v>
      </c>
      <c r="C72" s="13" t="s">
        <v>28</v>
      </c>
      <c r="D72" s="12" t="n">
        <f aca="false">COUNTIFS('تفاصيل الفرص'!$B$2:$B$15,$B72,'تفاصيل الفرص'!$D$2:$D$15,$C72)</f>
        <v>0</v>
      </c>
      <c r="E72" s="12" t="n">
        <f aca="false">COUNTIFS('تفاصيل الفرص'!$B$2:$B$15,$B72,'تفاصيل الفرص'!$D$2:$D$15,$C72,'تفاصيل الفرص'!$X$2:$X$15,0)</f>
        <v>0</v>
      </c>
      <c r="F72" s="12" t="n">
        <f aca="false">COUNTIFS('سجل الأكشنات'!$B$2:$B$57,$B72,'سجل الأكشنات'!$D$2:$D$57,$C72)</f>
        <v>0</v>
      </c>
      <c r="G72" s="12" t="n">
        <f aca="false">COUNTIFS('سجل الأكشنات'!$B$2:$B$57,$B72,'سجل الأكشنات'!$D$2:$D$57,$C72,'سجل الأكشنات'!$H$2:$H$57,"تفصيلي")</f>
        <v>0</v>
      </c>
      <c r="H72" s="12" t="n">
        <f aca="false">F72-G72</f>
        <v>0</v>
      </c>
      <c r="I72" s="12" t="str">
        <f aca="false">IF($B72&gt;"2026-09-02","لا توجد بيانات بعد",IF(AND(D72=0,F72=0),"بدون نشاط","نشِط"))</f>
        <v>لا توجد بيانات بعد</v>
      </c>
    </row>
    <row r="73" customFormat="false" ht="15" hidden="false" customHeight="false" outlineLevel="0" collapsed="false">
      <c r="A73" s="12" t="s">
        <v>51</v>
      </c>
      <c r="B73" s="12" t="s">
        <v>63</v>
      </c>
      <c r="C73" s="13" t="s">
        <v>30</v>
      </c>
      <c r="D73" s="12" t="n">
        <f aca="false">COUNTIFS('تفاصيل الفرص'!$B$2:$B$15,$B73,'تفاصيل الفرص'!$D$2:$D$15,$C73)</f>
        <v>0</v>
      </c>
      <c r="E73" s="12" t="n">
        <f aca="false">COUNTIFS('تفاصيل الفرص'!$B$2:$B$15,$B73,'تفاصيل الفرص'!$D$2:$D$15,$C73,'تفاصيل الفرص'!$X$2:$X$15,0)</f>
        <v>0</v>
      </c>
      <c r="F73" s="12" t="n">
        <f aca="false">COUNTIFS('سجل الأكشنات'!$B$2:$B$57,$B73,'سجل الأكشنات'!$D$2:$D$57,$C73)</f>
        <v>0</v>
      </c>
      <c r="G73" s="12" t="n">
        <f aca="false">COUNTIFS('سجل الأكشنات'!$B$2:$B$57,$B73,'سجل الأكشنات'!$D$2:$D$57,$C73,'سجل الأكشنات'!$H$2:$H$57,"تفصيلي")</f>
        <v>0</v>
      </c>
      <c r="H73" s="12" t="n">
        <f aca="false">F73-G73</f>
        <v>0</v>
      </c>
      <c r="I73" s="12" t="str">
        <f aca="false">IF($B73&gt;"2026-09-02","لا توجد بيانات بعد",IF(AND(D73=0,F73=0),"بدون نشاط","نشِط"))</f>
        <v>لا توجد بيانات بعد</v>
      </c>
    </row>
    <row r="74" customFormat="false" ht="15" hidden="false" customHeight="false" outlineLevel="0" collapsed="false">
      <c r="A74" s="5" t="s">
        <v>53</v>
      </c>
      <c r="B74" s="5" t="s">
        <v>64</v>
      </c>
      <c r="C74" s="4" t="s">
        <v>18</v>
      </c>
      <c r="D74" s="5" t="n">
        <f aca="false">COUNTIFS('تفاصيل الفرص'!$B$2:$B$15,$B74,'تفاصيل الفرص'!$D$2:$D$15,$C74)</f>
        <v>0</v>
      </c>
      <c r="E74" s="5" t="n">
        <f aca="false">COUNTIFS('تفاصيل الفرص'!$B$2:$B$15,$B74,'تفاصيل الفرص'!$D$2:$D$15,$C74,'تفاصيل الفرص'!$X$2:$X$15,0)</f>
        <v>0</v>
      </c>
      <c r="F74" s="5" t="n">
        <f aca="false">COUNTIFS('سجل الأكشنات'!$B$2:$B$57,$B74,'سجل الأكشنات'!$D$2:$D$57,$C74)</f>
        <v>0</v>
      </c>
      <c r="G74" s="5" t="n">
        <f aca="false">COUNTIFS('سجل الأكشنات'!$B$2:$B$57,$B74,'سجل الأكشنات'!$D$2:$D$57,$C74,'سجل الأكشنات'!$H$2:$H$57,"تفصيلي")</f>
        <v>0</v>
      </c>
      <c r="H74" s="5" t="n">
        <f aca="false">F74-G74</f>
        <v>0</v>
      </c>
      <c r="I74" s="5" t="str">
        <f aca="false">IF($B74&gt;"2026-09-02","لا توجد بيانات بعد",IF(AND(D74=0,F74=0),"بدون نشاط","نشِط"))</f>
        <v>لا توجد بيانات بعد</v>
      </c>
    </row>
    <row r="75" customFormat="false" ht="15" hidden="false" customHeight="false" outlineLevel="0" collapsed="false">
      <c r="A75" s="5" t="s">
        <v>53</v>
      </c>
      <c r="B75" s="5" t="s">
        <v>64</v>
      </c>
      <c r="C75" s="4" t="s">
        <v>20</v>
      </c>
      <c r="D75" s="5" t="n">
        <f aca="false">COUNTIFS('تفاصيل الفرص'!$B$2:$B$15,$B75,'تفاصيل الفرص'!$D$2:$D$15,$C75)</f>
        <v>0</v>
      </c>
      <c r="E75" s="5" t="n">
        <f aca="false">COUNTIFS('تفاصيل الفرص'!$B$2:$B$15,$B75,'تفاصيل الفرص'!$D$2:$D$15,$C75,'تفاصيل الفرص'!$X$2:$X$15,0)</f>
        <v>0</v>
      </c>
      <c r="F75" s="5" t="n">
        <f aca="false">COUNTIFS('سجل الأكشنات'!$B$2:$B$57,$B75,'سجل الأكشنات'!$D$2:$D$57,$C75)</f>
        <v>0</v>
      </c>
      <c r="G75" s="5" t="n">
        <f aca="false">COUNTIFS('سجل الأكشنات'!$B$2:$B$57,$B75,'سجل الأكشنات'!$D$2:$D$57,$C75,'سجل الأكشنات'!$H$2:$H$57,"تفصيلي")</f>
        <v>0</v>
      </c>
      <c r="H75" s="5" t="n">
        <f aca="false">F75-G75</f>
        <v>0</v>
      </c>
      <c r="I75" s="5" t="str">
        <f aca="false">IF($B75&gt;"2026-09-02","لا توجد بيانات بعد",IF(AND(D75=0,F75=0),"بدون نشاط","نشِط"))</f>
        <v>لا توجد بيانات بعد</v>
      </c>
    </row>
    <row r="76" customFormat="false" ht="15" hidden="false" customHeight="false" outlineLevel="0" collapsed="false">
      <c r="A76" s="5" t="s">
        <v>53</v>
      </c>
      <c r="B76" s="5" t="s">
        <v>64</v>
      </c>
      <c r="C76" s="4" t="s">
        <v>22</v>
      </c>
      <c r="D76" s="5" t="n">
        <f aca="false">COUNTIFS('تفاصيل الفرص'!$B$2:$B$15,$B76,'تفاصيل الفرص'!$D$2:$D$15,$C76)</f>
        <v>0</v>
      </c>
      <c r="E76" s="5" t="n">
        <f aca="false">COUNTIFS('تفاصيل الفرص'!$B$2:$B$15,$B76,'تفاصيل الفرص'!$D$2:$D$15,$C76,'تفاصيل الفرص'!$X$2:$X$15,0)</f>
        <v>0</v>
      </c>
      <c r="F76" s="5" t="n">
        <f aca="false">COUNTIFS('سجل الأكشنات'!$B$2:$B$57,$B76,'سجل الأكشنات'!$D$2:$D$57,$C76)</f>
        <v>0</v>
      </c>
      <c r="G76" s="5" t="n">
        <f aca="false">COUNTIFS('سجل الأكشنات'!$B$2:$B$57,$B76,'سجل الأكشنات'!$D$2:$D$57,$C76,'سجل الأكشنات'!$H$2:$H$57,"تفصيلي")</f>
        <v>0</v>
      </c>
      <c r="H76" s="5" t="n">
        <f aca="false">F76-G76</f>
        <v>0</v>
      </c>
      <c r="I76" s="5" t="str">
        <f aca="false">IF($B76&gt;"2026-09-02","لا توجد بيانات بعد",IF(AND(D76=0,F76=0),"بدون نشاط","نشِط"))</f>
        <v>لا توجد بيانات بعد</v>
      </c>
    </row>
    <row r="77" customFormat="false" ht="15" hidden="false" customHeight="false" outlineLevel="0" collapsed="false">
      <c r="A77" s="5" t="s">
        <v>53</v>
      </c>
      <c r="B77" s="5" t="s">
        <v>64</v>
      </c>
      <c r="C77" s="4" t="s">
        <v>24</v>
      </c>
      <c r="D77" s="5" t="n">
        <f aca="false">COUNTIFS('تفاصيل الفرص'!$B$2:$B$15,$B77,'تفاصيل الفرص'!$D$2:$D$15,$C77)</f>
        <v>0</v>
      </c>
      <c r="E77" s="5" t="n">
        <f aca="false">COUNTIFS('تفاصيل الفرص'!$B$2:$B$15,$B77,'تفاصيل الفرص'!$D$2:$D$15,$C77,'تفاصيل الفرص'!$X$2:$X$15,0)</f>
        <v>0</v>
      </c>
      <c r="F77" s="5" t="n">
        <f aca="false">COUNTIFS('سجل الأكشنات'!$B$2:$B$57,$B77,'سجل الأكشنات'!$D$2:$D$57,$C77)</f>
        <v>0</v>
      </c>
      <c r="G77" s="5" t="n">
        <f aca="false">COUNTIFS('سجل الأكشنات'!$B$2:$B$57,$B77,'سجل الأكشنات'!$D$2:$D$57,$C77,'سجل الأكشنات'!$H$2:$H$57,"تفصيلي")</f>
        <v>0</v>
      </c>
      <c r="H77" s="5" t="n">
        <f aca="false">F77-G77</f>
        <v>0</v>
      </c>
      <c r="I77" s="5" t="str">
        <f aca="false">IF($B77&gt;"2026-09-02","لا توجد بيانات بعد",IF(AND(D77=0,F77=0),"بدون نشاط","نشِط"))</f>
        <v>لا توجد بيانات بعد</v>
      </c>
    </row>
    <row r="78" customFormat="false" ht="15" hidden="false" customHeight="false" outlineLevel="0" collapsed="false">
      <c r="A78" s="5" t="s">
        <v>53</v>
      </c>
      <c r="B78" s="5" t="s">
        <v>64</v>
      </c>
      <c r="C78" s="4" t="s">
        <v>26</v>
      </c>
      <c r="D78" s="5" t="n">
        <f aca="false">COUNTIFS('تفاصيل الفرص'!$B$2:$B$15,$B78,'تفاصيل الفرص'!$D$2:$D$15,$C78)</f>
        <v>0</v>
      </c>
      <c r="E78" s="5" t="n">
        <f aca="false">COUNTIFS('تفاصيل الفرص'!$B$2:$B$15,$B78,'تفاصيل الفرص'!$D$2:$D$15,$C78,'تفاصيل الفرص'!$X$2:$X$15,0)</f>
        <v>0</v>
      </c>
      <c r="F78" s="5" t="n">
        <f aca="false">COUNTIFS('سجل الأكشنات'!$B$2:$B$57,$B78,'سجل الأكشنات'!$D$2:$D$57,$C78)</f>
        <v>0</v>
      </c>
      <c r="G78" s="5" t="n">
        <f aca="false">COUNTIFS('سجل الأكشنات'!$B$2:$B$57,$B78,'سجل الأكشنات'!$D$2:$D$57,$C78,'سجل الأكشنات'!$H$2:$H$57,"تفصيلي")</f>
        <v>0</v>
      </c>
      <c r="H78" s="5" t="n">
        <f aca="false">F78-G78</f>
        <v>0</v>
      </c>
      <c r="I78" s="5" t="str">
        <f aca="false">IF($B78&gt;"2026-09-02","لا توجد بيانات بعد",IF(AND(D78=0,F78=0),"بدون نشاط","نشِط"))</f>
        <v>لا توجد بيانات بعد</v>
      </c>
    </row>
    <row r="79" customFormat="false" ht="15" hidden="false" customHeight="false" outlineLevel="0" collapsed="false">
      <c r="A79" s="5" t="s">
        <v>53</v>
      </c>
      <c r="B79" s="5" t="s">
        <v>64</v>
      </c>
      <c r="C79" s="4" t="s">
        <v>28</v>
      </c>
      <c r="D79" s="5" t="n">
        <f aca="false">COUNTIFS('تفاصيل الفرص'!$B$2:$B$15,$B79,'تفاصيل الفرص'!$D$2:$D$15,$C79)</f>
        <v>0</v>
      </c>
      <c r="E79" s="5" t="n">
        <f aca="false">COUNTIFS('تفاصيل الفرص'!$B$2:$B$15,$B79,'تفاصيل الفرص'!$D$2:$D$15,$C79,'تفاصيل الفرص'!$X$2:$X$15,0)</f>
        <v>0</v>
      </c>
      <c r="F79" s="5" t="n">
        <f aca="false">COUNTIFS('سجل الأكشنات'!$B$2:$B$57,$B79,'سجل الأكشنات'!$D$2:$D$57,$C79)</f>
        <v>0</v>
      </c>
      <c r="G79" s="5" t="n">
        <f aca="false">COUNTIFS('سجل الأكشنات'!$B$2:$B$57,$B79,'سجل الأكشنات'!$D$2:$D$57,$C79,'سجل الأكشنات'!$H$2:$H$57,"تفصيلي")</f>
        <v>0</v>
      </c>
      <c r="H79" s="5" t="n">
        <f aca="false">F79-G79</f>
        <v>0</v>
      </c>
      <c r="I79" s="5" t="str">
        <f aca="false">IF($B79&gt;"2026-09-02","لا توجد بيانات بعد",IF(AND(D79=0,F79=0),"بدون نشاط","نشِط"))</f>
        <v>لا توجد بيانات بعد</v>
      </c>
    </row>
    <row r="80" customFormat="false" ht="15" hidden="false" customHeight="false" outlineLevel="0" collapsed="false">
      <c r="A80" s="5" t="s">
        <v>53</v>
      </c>
      <c r="B80" s="5" t="s">
        <v>64</v>
      </c>
      <c r="C80" s="4" t="s">
        <v>30</v>
      </c>
      <c r="D80" s="5" t="n">
        <f aca="false">COUNTIFS('تفاصيل الفرص'!$B$2:$B$15,$B80,'تفاصيل الفرص'!$D$2:$D$15,$C80)</f>
        <v>0</v>
      </c>
      <c r="E80" s="5" t="n">
        <f aca="false">COUNTIFS('تفاصيل الفرص'!$B$2:$B$15,$B80,'تفاصيل الفرص'!$D$2:$D$15,$C80,'تفاصيل الفرص'!$X$2:$X$15,0)</f>
        <v>0</v>
      </c>
      <c r="F80" s="5" t="n">
        <f aca="false">COUNTIFS('سجل الأكشنات'!$B$2:$B$57,$B80,'سجل الأكشنات'!$D$2:$D$57,$C80)</f>
        <v>0</v>
      </c>
      <c r="G80" s="5" t="n">
        <f aca="false">COUNTIFS('سجل الأكشنات'!$B$2:$B$57,$B80,'سجل الأكشنات'!$D$2:$D$57,$C80,'سجل الأكشنات'!$H$2:$H$57,"تفصيلي")</f>
        <v>0</v>
      </c>
      <c r="H80" s="5" t="n">
        <f aca="false">F80-G80</f>
        <v>0</v>
      </c>
      <c r="I80" s="5" t="str">
        <f aca="false">IF($B80&gt;"2026-09-02","لا توجد بيانات بعد",IF(AND(D80=0,F80=0),"بدون نشاط","نشِط"))</f>
        <v>لا توجد بيانات بعد</v>
      </c>
    </row>
    <row r="81" customFormat="false" ht="15" hidden="false" customHeight="false" outlineLevel="0" collapsed="false">
      <c r="A81" s="12" t="s">
        <v>55</v>
      </c>
      <c r="B81" s="12" t="s">
        <v>65</v>
      </c>
      <c r="C81" s="13" t="s">
        <v>18</v>
      </c>
      <c r="D81" s="12" t="n">
        <f aca="false">COUNTIFS('تفاصيل الفرص'!$B$2:$B$15,$B81,'تفاصيل الفرص'!$D$2:$D$15,$C81)</f>
        <v>0</v>
      </c>
      <c r="E81" s="12" t="n">
        <f aca="false">COUNTIFS('تفاصيل الفرص'!$B$2:$B$15,$B81,'تفاصيل الفرص'!$D$2:$D$15,$C81,'تفاصيل الفرص'!$X$2:$X$15,0)</f>
        <v>0</v>
      </c>
      <c r="F81" s="12" t="n">
        <f aca="false">COUNTIFS('سجل الأكشنات'!$B$2:$B$57,$B81,'سجل الأكشنات'!$D$2:$D$57,$C81)</f>
        <v>0</v>
      </c>
      <c r="G81" s="12" t="n">
        <f aca="false">COUNTIFS('سجل الأكشنات'!$B$2:$B$57,$B81,'سجل الأكشنات'!$D$2:$D$57,$C81,'سجل الأكشنات'!$H$2:$H$57,"تفصيلي")</f>
        <v>0</v>
      </c>
      <c r="H81" s="12" t="n">
        <f aca="false">F81-G81</f>
        <v>0</v>
      </c>
      <c r="I81" s="12" t="str">
        <f aca="false">IF($B81&gt;"2026-09-02","لا توجد بيانات بعد",IF(AND(D81=0,F81=0),"بدون نشاط","نشِط"))</f>
        <v>لا توجد بيانات بعد</v>
      </c>
    </row>
    <row r="82" customFormat="false" ht="15" hidden="false" customHeight="false" outlineLevel="0" collapsed="false">
      <c r="A82" s="12" t="s">
        <v>55</v>
      </c>
      <c r="B82" s="12" t="s">
        <v>65</v>
      </c>
      <c r="C82" s="13" t="s">
        <v>20</v>
      </c>
      <c r="D82" s="12" t="n">
        <f aca="false">COUNTIFS('تفاصيل الفرص'!$B$2:$B$15,$B82,'تفاصيل الفرص'!$D$2:$D$15,$C82)</f>
        <v>0</v>
      </c>
      <c r="E82" s="12" t="n">
        <f aca="false">COUNTIFS('تفاصيل الفرص'!$B$2:$B$15,$B82,'تفاصيل الفرص'!$D$2:$D$15,$C82,'تفاصيل الفرص'!$X$2:$X$15,0)</f>
        <v>0</v>
      </c>
      <c r="F82" s="12" t="n">
        <f aca="false">COUNTIFS('سجل الأكشنات'!$B$2:$B$57,$B82,'سجل الأكشنات'!$D$2:$D$57,$C82)</f>
        <v>0</v>
      </c>
      <c r="G82" s="12" t="n">
        <f aca="false">COUNTIFS('سجل الأكشنات'!$B$2:$B$57,$B82,'سجل الأكشنات'!$D$2:$D$57,$C82,'سجل الأكشنات'!$H$2:$H$57,"تفصيلي")</f>
        <v>0</v>
      </c>
      <c r="H82" s="12" t="n">
        <f aca="false">F82-G82</f>
        <v>0</v>
      </c>
      <c r="I82" s="12" t="str">
        <f aca="false">IF($B82&gt;"2026-09-02","لا توجد بيانات بعد",IF(AND(D82=0,F82=0),"بدون نشاط","نشِط"))</f>
        <v>لا توجد بيانات بعد</v>
      </c>
    </row>
    <row r="83" customFormat="false" ht="15" hidden="false" customHeight="false" outlineLevel="0" collapsed="false">
      <c r="A83" s="12" t="s">
        <v>55</v>
      </c>
      <c r="B83" s="12" t="s">
        <v>65</v>
      </c>
      <c r="C83" s="13" t="s">
        <v>22</v>
      </c>
      <c r="D83" s="12" t="n">
        <f aca="false">COUNTIFS('تفاصيل الفرص'!$B$2:$B$15,$B83,'تفاصيل الفرص'!$D$2:$D$15,$C83)</f>
        <v>0</v>
      </c>
      <c r="E83" s="12" t="n">
        <f aca="false">COUNTIFS('تفاصيل الفرص'!$B$2:$B$15,$B83,'تفاصيل الفرص'!$D$2:$D$15,$C83,'تفاصيل الفرص'!$X$2:$X$15,0)</f>
        <v>0</v>
      </c>
      <c r="F83" s="12" t="n">
        <f aca="false">COUNTIFS('سجل الأكشنات'!$B$2:$B$57,$B83,'سجل الأكشنات'!$D$2:$D$57,$C83)</f>
        <v>0</v>
      </c>
      <c r="G83" s="12" t="n">
        <f aca="false">COUNTIFS('سجل الأكشنات'!$B$2:$B$57,$B83,'سجل الأكشنات'!$D$2:$D$57,$C83,'سجل الأكشنات'!$H$2:$H$57,"تفصيلي")</f>
        <v>0</v>
      </c>
      <c r="H83" s="12" t="n">
        <f aca="false">F83-G83</f>
        <v>0</v>
      </c>
      <c r="I83" s="12" t="str">
        <f aca="false">IF($B83&gt;"2026-09-02","لا توجد بيانات بعد",IF(AND(D83=0,F83=0),"بدون نشاط","نشِط"))</f>
        <v>لا توجد بيانات بعد</v>
      </c>
    </row>
    <row r="84" customFormat="false" ht="15" hidden="false" customHeight="false" outlineLevel="0" collapsed="false">
      <c r="A84" s="12" t="s">
        <v>55</v>
      </c>
      <c r="B84" s="12" t="s">
        <v>65</v>
      </c>
      <c r="C84" s="13" t="s">
        <v>24</v>
      </c>
      <c r="D84" s="12" t="n">
        <f aca="false">COUNTIFS('تفاصيل الفرص'!$B$2:$B$15,$B84,'تفاصيل الفرص'!$D$2:$D$15,$C84)</f>
        <v>0</v>
      </c>
      <c r="E84" s="12" t="n">
        <f aca="false">COUNTIFS('تفاصيل الفرص'!$B$2:$B$15,$B84,'تفاصيل الفرص'!$D$2:$D$15,$C84,'تفاصيل الفرص'!$X$2:$X$15,0)</f>
        <v>0</v>
      </c>
      <c r="F84" s="12" t="n">
        <f aca="false">COUNTIFS('سجل الأكشنات'!$B$2:$B$57,$B84,'سجل الأكشنات'!$D$2:$D$57,$C84)</f>
        <v>0</v>
      </c>
      <c r="G84" s="12" t="n">
        <f aca="false">COUNTIFS('سجل الأكشنات'!$B$2:$B$57,$B84,'سجل الأكشنات'!$D$2:$D$57,$C84,'سجل الأكشنات'!$H$2:$H$57,"تفصيلي")</f>
        <v>0</v>
      </c>
      <c r="H84" s="12" t="n">
        <f aca="false">F84-G84</f>
        <v>0</v>
      </c>
      <c r="I84" s="12" t="str">
        <f aca="false">IF($B84&gt;"2026-09-02","لا توجد بيانات بعد",IF(AND(D84=0,F84=0),"بدون نشاط","نشِط"))</f>
        <v>لا توجد بيانات بعد</v>
      </c>
    </row>
    <row r="85" customFormat="false" ht="15" hidden="false" customHeight="false" outlineLevel="0" collapsed="false">
      <c r="A85" s="12" t="s">
        <v>55</v>
      </c>
      <c r="B85" s="12" t="s">
        <v>65</v>
      </c>
      <c r="C85" s="13" t="s">
        <v>26</v>
      </c>
      <c r="D85" s="12" t="n">
        <f aca="false">COUNTIFS('تفاصيل الفرص'!$B$2:$B$15,$B85,'تفاصيل الفرص'!$D$2:$D$15,$C85)</f>
        <v>0</v>
      </c>
      <c r="E85" s="12" t="n">
        <f aca="false">COUNTIFS('تفاصيل الفرص'!$B$2:$B$15,$B85,'تفاصيل الفرص'!$D$2:$D$15,$C85,'تفاصيل الفرص'!$X$2:$X$15,0)</f>
        <v>0</v>
      </c>
      <c r="F85" s="12" t="n">
        <f aca="false">COUNTIFS('سجل الأكشنات'!$B$2:$B$57,$B85,'سجل الأكشنات'!$D$2:$D$57,$C85)</f>
        <v>0</v>
      </c>
      <c r="G85" s="12" t="n">
        <f aca="false">COUNTIFS('سجل الأكشنات'!$B$2:$B$57,$B85,'سجل الأكشنات'!$D$2:$D$57,$C85,'سجل الأكشنات'!$H$2:$H$57,"تفصيلي")</f>
        <v>0</v>
      </c>
      <c r="H85" s="12" t="n">
        <f aca="false">F85-G85</f>
        <v>0</v>
      </c>
      <c r="I85" s="12" t="str">
        <f aca="false">IF($B85&gt;"2026-09-02","لا توجد بيانات بعد",IF(AND(D85=0,F85=0),"بدون نشاط","نشِط"))</f>
        <v>لا توجد بيانات بعد</v>
      </c>
    </row>
    <row r="86" customFormat="false" ht="15" hidden="false" customHeight="false" outlineLevel="0" collapsed="false">
      <c r="A86" s="12" t="s">
        <v>55</v>
      </c>
      <c r="B86" s="12" t="s">
        <v>65</v>
      </c>
      <c r="C86" s="13" t="s">
        <v>28</v>
      </c>
      <c r="D86" s="12" t="n">
        <f aca="false">COUNTIFS('تفاصيل الفرص'!$B$2:$B$15,$B86,'تفاصيل الفرص'!$D$2:$D$15,$C86)</f>
        <v>0</v>
      </c>
      <c r="E86" s="12" t="n">
        <f aca="false">COUNTIFS('تفاصيل الفرص'!$B$2:$B$15,$B86,'تفاصيل الفرص'!$D$2:$D$15,$C86,'تفاصيل الفرص'!$X$2:$X$15,0)</f>
        <v>0</v>
      </c>
      <c r="F86" s="12" t="n">
        <f aca="false">COUNTIFS('سجل الأكشنات'!$B$2:$B$57,$B86,'سجل الأكشنات'!$D$2:$D$57,$C86)</f>
        <v>0</v>
      </c>
      <c r="G86" s="12" t="n">
        <f aca="false">COUNTIFS('سجل الأكشنات'!$B$2:$B$57,$B86,'سجل الأكشنات'!$D$2:$D$57,$C86,'سجل الأكشنات'!$H$2:$H$57,"تفصيلي")</f>
        <v>0</v>
      </c>
      <c r="H86" s="12" t="n">
        <f aca="false">F86-G86</f>
        <v>0</v>
      </c>
      <c r="I86" s="12" t="str">
        <f aca="false">IF($B86&gt;"2026-09-02","لا توجد بيانات بعد",IF(AND(D86=0,F86=0),"بدون نشاط","نشِط"))</f>
        <v>لا توجد بيانات بعد</v>
      </c>
    </row>
    <row r="87" customFormat="false" ht="15" hidden="false" customHeight="false" outlineLevel="0" collapsed="false">
      <c r="A87" s="12" t="s">
        <v>55</v>
      </c>
      <c r="B87" s="12" t="s">
        <v>65</v>
      </c>
      <c r="C87" s="13" t="s">
        <v>30</v>
      </c>
      <c r="D87" s="12" t="n">
        <f aca="false">COUNTIFS('تفاصيل الفرص'!$B$2:$B$15,$B87,'تفاصيل الفرص'!$D$2:$D$15,$C87)</f>
        <v>0</v>
      </c>
      <c r="E87" s="12" t="n">
        <f aca="false">COUNTIFS('تفاصيل الفرص'!$B$2:$B$15,$B87,'تفاصيل الفرص'!$D$2:$D$15,$C87,'تفاصيل الفرص'!$X$2:$X$15,0)</f>
        <v>0</v>
      </c>
      <c r="F87" s="12" t="n">
        <f aca="false">COUNTIFS('سجل الأكشنات'!$B$2:$B$57,$B87,'سجل الأكشنات'!$D$2:$D$57,$C87)</f>
        <v>0</v>
      </c>
      <c r="G87" s="12" t="n">
        <f aca="false">COUNTIFS('سجل الأكشنات'!$B$2:$B$57,$B87,'سجل الأكشنات'!$D$2:$D$57,$C87,'سجل الأكشنات'!$H$2:$H$57,"تفصيلي")</f>
        <v>0</v>
      </c>
      <c r="H87" s="12" t="n">
        <f aca="false">F87-G87</f>
        <v>0</v>
      </c>
      <c r="I87" s="12" t="str">
        <f aca="false">IF($B87&gt;"2026-09-02","لا توجد بيانات بعد",IF(AND(D87=0,F87=0),"بدون نشاط","نشِط"))</f>
        <v>لا توجد بيانات بعد</v>
      </c>
    </row>
    <row r="88" customFormat="false" ht="15" hidden="false" customHeight="false" outlineLevel="0" collapsed="false">
      <c r="A88" s="5" t="s">
        <v>57</v>
      </c>
      <c r="B88" s="5" t="s">
        <v>66</v>
      </c>
      <c r="C88" s="4" t="s">
        <v>18</v>
      </c>
      <c r="D88" s="5" t="n">
        <f aca="false">COUNTIFS('تفاصيل الفرص'!$B$2:$B$15,$B88,'تفاصيل الفرص'!$D$2:$D$15,$C88)</f>
        <v>0</v>
      </c>
      <c r="E88" s="5" t="n">
        <f aca="false">COUNTIFS('تفاصيل الفرص'!$B$2:$B$15,$B88,'تفاصيل الفرص'!$D$2:$D$15,$C88,'تفاصيل الفرص'!$X$2:$X$15,0)</f>
        <v>0</v>
      </c>
      <c r="F88" s="5" t="n">
        <f aca="false">COUNTIFS('سجل الأكشنات'!$B$2:$B$57,$B88,'سجل الأكشنات'!$D$2:$D$57,$C88)</f>
        <v>0</v>
      </c>
      <c r="G88" s="5" t="n">
        <f aca="false">COUNTIFS('سجل الأكشنات'!$B$2:$B$57,$B88,'سجل الأكشنات'!$D$2:$D$57,$C88,'سجل الأكشنات'!$H$2:$H$57,"تفصيلي")</f>
        <v>0</v>
      </c>
      <c r="H88" s="5" t="n">
        <f aca="false">F88-G88</f>
        <v>0</v>
      </c>
      <c r="I88" s="5" t="str">
        <f aca="false">IF($B88&gt;"2026-09-02","لا توجد بيانات بعد",IF(AND(D88=0,F88=0),"بدون نشاط","نشِط"))</f>
        <v>لا توجد بيانات بعد</v>
      </c>
    </row>
    <row r="89" customFormat="false" ht="15" hidden="false" customHeight="false" outlineLevel="0" collapsed="false">
      <c r="A89" s="5" t="s">
        <v>57</v>
      </c>
      <c r="B89" s="5" t="s">
        <v>66</v>
      </c>
      <c r="C89" s="4" t="s">
        <v>20</v>
      </c>
      <c r="D89" s="5" t="n">
        <f aca="false">COUNTIFS('تفاصيل الفرص'!$B$2:$B$15,$B89,'تفاصيل الفرص'!$D$2:$D$15,$C89)</f>
        <v>0</v>
      </c>
      <c r="E89" s="5" t="n">
        <f aca="false">COUNTIFS('تفاصيل الفرص'!$B$2:$B$15,$B89,'تفاصيل الفرص'!$D$2:$D$15,$C89,'تفاصيل الفرص'!$X$2:$X$15,0)</f>
        <v>0</v>
      </c>
      <c r="F89" s="5" t="n">
        <f aca="false">COUNTIFS('سجل الأكشنات'!$B$2:$B$57,$B89,'سجل الأكشنات'!$D$2:$D$57,$C89)</f>
        <v>0</v>
      </c>
      <c r="G89" s="5" t="n">
        <f aca="false">COUNTIFS('سجل الأكشنات'!$B$2:$B$57,$B89,'سجل الأكشنات'!$D$2:$D$57,$C89,'سجل الأكشنات'!$H$2:$H$57,"تفصيلي")</f>
        <v>0</v>
      </c>
      <c r="H89" s="5" t="n">
        <f aca="false">F89-G89</f>
        <v>0</v>
      </c>
      <c r="I89" s="5" t="str">
        <f aca="false">IF($B89&gt;"2026-09-02","لا توجد بيانات بعد",IF(AND(D89=0,F89=0),"بدون نشاط","نشِط"))</f>
        <v>لا توجد بيانات بعد</v>
      </c>
    </row>
    <row r="90" customFormat="false" ht="15" hidden="false" customHeight="false" outlineLevel="0" collapsed="false">
      <c r="A90" s="5" t="s">
        <v>57</v>
      </c>
      <c r="B90" s="5" t="s">
        <v>66</v>
      </c>
      <c r="C90" s="4" t="s">
        <v>22</v>
      </c>
      <c r="D90" s="5" t="n">
        <f aca="false">COUNTIFS('تفاصيل الفرص'!$B$2:$B$15,$B90,'تفاصيل الفرص'!$D$2:$D$15,$C90)</f>
        <v>0</v>
      </c>
      <c r="E90" s="5" t="n">
        <f aca="false">COUNTIFS('تفاصيل الفرص'!$B$2:$B$15,$B90,'تفاصيل الفرص'!$D$2:$D$15,$C90,'تفاصيل الفرص'!$X$2:$X$15,0)</f>
        <v>0</v>
      </c>
      <c r="F90" s="5" t="n">
        <f aca="false">COUNTIFS('سجل الأكشنات'!$B$2:$B$57,$B90,'سجل الأكشنات'!$D$2:$D$57,$C90)</f>
        <v>0</v>
      </c>
      <c r="G90" s="5" t="n">
        <f aca="false">COUNTIFS('سجل الأكشنات'!$B$2:$B$57,$B90,'سجل الأكشنات'!$D$2:$D$57,$C90,'سجل الأكشنات'!$H$2:$H$57,"تفصيلي")</f>
        <v>0</v>
      </c>
      <c r="H90" s="5" t="n">
        <f aca="false">F90-G90</f>
        <v>0</v>
      </c>
      <c r="I90" s="5" t="str">
        <f aca="false">IF($B90&gt;"2026-09-02","لا توجد بيانات بعد",IF(AND(D90=0,F90=0),"بدون نشاط","نشِط"))</f>
        <v>لا توجد بيانات بعد</v>
      </c>
    </row>
    <row r="91" customFormat="false" ht="15" hidden="false" customHeight="false" outlineLevel="0" collapsed="false">
      <c r="A91" s="5" t="s">
        <v>57</v>
      </c>
      <c r="B91" s="5" t="s">
        <v>66</v>
      </c>
      <c r="C91" s="4" t="s">
        <v>24</v>
      </c>
      <c r="D91" s="5" t="n">
        <f aca="false">COUNTIFS('تفاصيل الفرص'!$B$2:$B$15,$B91,'تفاصيل الفرص'!$D$2:$D$15,$C91)</f>
        <v>0</v>
      </c>
      <c r="E91" s="5" t="n">
        <f aca="false">COUNTIFS('تفاصيل الفرص'!$B$2:$B$15,$B91,'تفاصيل الفرص'!$D$2:$D$15,$C91,'تفاصيل الفرص'!$X$2:$X$15,0)</f>
        <v>0</v>
      </c>
      <c r="F91" s="5" t="n">
        <f aca="false">COUNTIFS('سجل الأكشنات'!$B$2:$B$57,$B91,'سجل الأكشنات'!$D$2:$D$57,$C91)</f>
        <v>0</v>
      </c>
      <c r="G91" s="5" t="n">
        <f aca="false">COUNTIFS('سجل الأكشنات'!$B$2:$B$57,$B91,'سجل الأكشنات'!$D$2:$D$57,$C91,'سجل الأكشنات'!$H$2:$H$57,"تفصيلي")</f>
        <v>0</v>
      </c>
      <c r="H91" s="5" t="n">
        <f aca="false">F91-G91</f>
        <v>0</v>
      </c>
      <c r="I91" s="5" t="str">
        <f aca="false">IF($B91&gt;"2026-09-02","لا توجد بيانات بعد",IF(AND(D91=0,F91=0),"بدون نشاط","نشِط"))</f>
        <v>لا توجد بيانات بعد</v>
      </c>
    </row>
    <row r="92" customFormat="false" ht="15" hidden="false" customHeight="false" outlineLevel="0" collapsed="false">
      <c r="A92" s="5" t="s">
        <v>57</v>
      </c>
      <c r="B92" s="5" t="s">
        <v>66</v>
      </c>
      <c r="C92" s="4" t="s">
        <v>26</v>
      </c>
      <c r="D92" s="5" t="n">
        <f aca="false">COUNTIFS('تفاصيل الفرص'!$B$2:$B$15,$B92,'تفاصيل الفرص'!$D$2:$D$15,$C92)</f>
        <v>0</v>
      </c>
      <c r="E92" s="5" t="n">
        <f aca="false">COUNTIFS('تفاصيل الفرص'!$B$2:$B$15,$B92,'تفاصيل الفرص'!$D$2:$D$15,$C92,'تفاصيل الفرص'!$X$2:$X$15,0)</f>
        <v>0</v>
      </c>
      <c r="F92" s="5" t="n">
        <f aca="false">COUNTIFS('سجل الأكشنات'!$B$2:$B$57,$B92,'سجل الأكشنات'!$D$2:$D$57,$C92)</f>
        <v>0</v>
      </c>
      <c r="G92" s="5" t="n">
        <f aca="false">COUNTIFS('سجل الأكشنات'!$B$2:$B$57,$B92,'سجل الأكشنات'!$D$2:$D$57,$C92,'سجل الأكشنات'!$H$2:$H$57,"تفصيلي")</f>
        <v>0</v>
      </c>
      <c r="H92" s="5" t="n">
        <f aca="false">F92-G92</f>
        <v>0</v>
      </c>
      <c r="I92" s="5" t="str">
        <f aca="false">IF($B92&gt;"2026-09-02","لا توجد بيانات بعد",IF(AND(D92=0,F92=0),"بدون نشاط","نشِط"))</f>
        <v>لا توجد بيانات بعد</v>
      </c>
    </row>
    <row r="93" customFormat="false" ht="15" hidden="false" customHeight="false" outlineLevel="0" collapsed="false">
      <c r="A93" s="5" t="s">
        <v>57</v>
      </c>
      <c r="B93" s="5" t="s">
        <v>66</v>
      </c>
      <c r="C93" s="4" t="s">
        <v>28</v>
      </c>
      <c r="D93" s="5" t="n">
        <f aca="false">COUNTIFS('تفاصيل الفرص'!$B$2:$B$15,$B93,'تفاصيل الفرص'!$D$2:$D$15,$C93)</f>
        <v>0</v>
      </c>
      <c r="E93" s="5" t="n">
        <f aca="false">COUNTIFS('تفاصيل الفرص'!$B$2:$B$15,$B93,'تفاصيل الفرص'!$D$2:$D$15,$C93,'تفاصيل الفرص'!$X$2:$X$15,0)</f>
        <v>0</v>
      </c>
      <c r="F93" s="5" t="n">
        <f aca="false">COUNTIFS('سجل الأكشنات'!$B$2:$B$57,$B93,'سجل الأكشنات'!$D$2:$D$57,$C93)</f>
        <v>0</v>
      </c>
      <c r="G93" s="5" t="n">
        <f aca="false">COUNTIFS('سجل الأكشنات'!$B$2:$B$57,$B93,'سجل الأكشنات'!$D$2:$D$57,$C93,'سجل الأكشنات'!$H$2:$H$57,"تفصيلي")</f>
        <v>0</v>
      </c>
      <c r="H93" s="5" t="n">
        <f aca="false">F93-G93</f>
        <v>0</v>
      </c>
      <c r="I93" s="5" t="str">
        <f aca="false">IF($B93&gt;"2026-09-02","لا توجد بيانات بعد",IF(AND(D93=0,F93=0),"بدون نشاط","نشِط"))</f>
        <v>لا توجد بيانات بعد</v>
      </c>
    </row>
    <row r="94" customFormat="false" ht="15" hidden="false" customHeight="false" outlineLevel="0" collapsed="false">
      <c r="A94" s="5" t="s">
        <v>57</v>
      </c>
      <c r="B94" s="5" t="s">
        <v>66</v>
      </c>
      <c r="C94" s="4" t="s">
        <v>30</v>
      </c>
      <c r="D94" s="5" t="n">
        <f aca="false">COUNTIFS('تفاصيل الفرص'!$B$2:$B$15,$B94,'تفاصيل الفرص'!$D$2:$D$15,$C94)</f>
        <v>0</v>
      </c>
      <c r="E94" s="5" t="n">
        <f aca="false">COUNTIFS('تفاصيل الفرص'!$B$2:$B$15,$B94,'تفاصيل الفرص'!$D$2:$D$15,$C94,'تفاصيل الفرص'!$X$2:$X$15,0)</f>
        <v>0</v>
      </c>
      <c r="F94" s="5" t="n">
        <f aca="false">COUNTIFS('سجل الأكشنات'!$B$2:$B$57,$B94,'سجل الأكشنات'!$D$2:$D$57,$C94)</f>
        <v>0</v>
      </c>
      <c r="G94" s="5" t="n">
        <f aca="false">COUNTIFS('سجل الأكشنات'!$B$2:$B$57,$B94,'سجل الأكشنات'!$D$2:$D$57,$C94,'سجل الأكشنات'!$H$2:$H$57,"تفصيلي")</f>
        <v>0</v>
      </c>
      <c r="H94" s="5" t="n">
        <f aca="false">F94-G94</f>
        <v>0</v>
      </c>
      <c r="I94" s="5" t="str">
        <f aca="false">IF($B94&gt;"2026-09-02","لا توجد بيانات بعد",IF(AND(D94=0,F94=0),"بدون نشاط","نشِط"))</f>
        <v>لا توجد بيانات بعد</v>
      </c>
    </row>
    <row r="95" customFormat="false" ht="15" hidden="false" customHeight="false" outlineLevel="0" collapsed="false">
      <c r="A95" s="12" t="s">
        <v>59</v>
      </c>
      <c r="B95" s="12" t="s">
        <v>67</v>
      </c>
      <c r="C95" s="13" t="s">
        <v>18</v>
      </c>
      <c r="D95" s="12" t="n">
        <f aca="false">COUNTIFS('تفاصيل الفرص'!$B$2:$B$15,$B95,'تفاصيل الفرص'!$D$2:$D$15,$C95)</f>
        <v>0</v>
      </c>
      <c r="E95" s="12" t="n">
        <f aca="false">COUNTIFS('تفاصيل الفرص'!$B$2:$B$15,$B95,'تفاصيل الفرص'!$D$2:$D$15,$C95,'تفاصيل الفرص'!$X$2:$X$15,0)</f>
        <v>0</v>
      </c>
      <c r="F95" s="12" t="n">
        <f aca="false">COUNTIFS('سجل الأكشنات'!$B$2:$B$57,$B95,'سجل الأكشنات'!$D$2:$D$57,$C95)</f>
        <v>0</v>
      </c>
      <c r="G95" s="12" t="n">
        <f aca="false">COUNTIFS('سجل الأكشنات'!$B$2:$B$57,$B95,'سجل الأكشنات'!$D$2:$D$57,$C95,'سجل الأكشنات'!$H$2:$H$57,"تفصيلي")</f>
        <v>0</v>
      </c>
      <c r="H95" s="12" t="n">
        <f aca="false">F95-G95</f>
        <v>0</v>
      </c>
      <c r="I95" s="12" t="str">
        <f aca="false">IF($B95&gt;"2026-09-02","لا توجد بيانات بعد",IF(AND(D95=0,F95=0),"بدون نشاط","نشِط"))</f>
        <v>لا توجد بيانات بعد</v>
      </c>
    </row>
    <row r="96" customFormat="false" ht="15" hidden="false" customHeight="false" outlineLevel="0" collapsed="false">
      <c r="A96" s="12" t="s">
        <v>59</v>
      </c>
      <c r="B96" s="12" t="s">
        <v>67</v>
      </c>
      <c r="C96" s="13" t="s">
        <v>20</v>
      </c>
      <c r="D96" s="12" t="n">
        <f aca="false">COUNTIFS('تفاصيل الفرص'!$B$2:$B$15,$B96,'تفاصيل الفرص'!$D$2:$D$15,$C96)</f>
        <v>0</v>
      </c>
      <c r="E96" s="12" t="n">
        <f aca="false">COUNTIFS('تفاصيل الفرص'!$B$2:$B$15,$B96,'تفاصيل الفرص'!$D$2:$D$15,$C96,'تفاصيل الفرص'!$X$2:$X$15,0)</f>
        <v>0</v>
      </c>
      <c r="F96" s="12" t="n">
        <f aca="false">COUNTIFS('سجل الأكشنات'!$B$2:$B$57,$B96,'سجل الأكشنات'!$D$2:$D$57,$C96)</f>
        <v>0</v>
      </c>
      <c r="G96" s="12" t="n">
        <f aca="false">COUNTIFS('سجل الأكشنات'!$B$2:$B$57,$B96,'سجل الأكشنات'!$D$2:$D$57,$C96,'سجل الأكشنات'!$H$2:$H$57,"تفصيلي")</f>
        <v>0</v>
      </c>
      <c r="H96" s="12" t="n">
        <f aca="false">F96-G96</f>
        <v>0</v>
      </c>
      <c r="I96" s="12" t="str">
        <f aca="false">IF($B96&gt;"2026-09-02","لا توجد بيانات بعد",IF(AND(D96=0,F96=0),"بدون نشاط","نشِط"))</f>
        <v>لا توجد بيانات بعد</v>
      </c>
    </row>
    <row r="97" customFormat="false" ht="15" hidden="false" customHeight="false" outlineLevel="0" collapsed="false">
      <c r="A97" s="12" t="s">
        <v>59</v>
      </c>
      <c r="B97" s="12" t="s">
        <v>67</v>
      </c>
      <c r="C97" s="13" t="s">
        <v>22</v>
      </c>
      <c r="D97" s="12" t="n">
        <f aca="false">COUNTIFS('تفاصيل الفرص'!$B$2:$B$15,$B97,'تفاصيل الفرص'!$D$2:$D$15,$C97)</f>
        <v>0</v>
      </c>
      <c r="E97" s="12" t="n">
        <f aca="false">COUNTIFS('تفاصيل الفرص'!$B$2:$B$15,$B97,'تفاصيل الفرص'!$D$2:$D$15,$C97,'تفاصيل الفرص'!$X$2:$X$15,0)</f>
        <v>0</v>
      </c>
      <c r="F97" s="12" t="n">
        <f aca="false">COUNTIFS('سجل الأكشنات'!$B$2:$B$57,$B97,'سجل الأكشنات'!$D$2:$D$57,$C97)</f>
        <v>0</v>
      </c>
      <c r="G97" s="12" t="n">
        <f aca="false">COUNTIFS('سجل الأكشنات'!$B$2:$B$57,$B97,'سجل الأكشنات'!$D$2:$D$57,$C97,'سجل الأكشنات'!$H$2:$H$57,"تفصيلي")</f>
        <v>0</v>
      </c>
      <c r="H97" s="12" t="n">
        <f aca="false">F97-G97</f>
        <v>0</v>
      </c>
      <c r="I97" s="12" t="str">
        <f aca="false">IF($B97&gt;"2026-09-02","لا توجد بيانات بعد",IF(AND(D97=0,F97=0),"بدون نشاط","نشِط"))</f>
        <v>لا توجد بيانات بعد</v>
      </c>
    </row>
    <row r="98" customFormat="false" ht="15" hidden="false" customHeight="false" outlineLevel="0" collapsed="false">
      <c r="A98" s="12" t="s">
        <v>59</v>
      </c>
      <c r="B98" s="12" t="s">
        <v>67</v>
      </c>
      <c r="C98" s="13" t="s">
        <v>24</v>
      </c>
      <c r="D98" s="12" t="n">
        <f aca="false">COUNTIFS('تفاصيل الفرص'!$B$2:$B$15,$B98,'تفاصيل الفرص'!$D$2:$D$15,$C98)</f>
        <v>0</v>
      </c>
      <c r="E98" s="12" t="n">
        <f aca="false">COUNTIFS('تفاصيل الفرص'!$B$2:$B$15,$B98,'تفاصيل الفرص'!$D$2:$D$15,$C98,'تفاصيل الفرص'!$X$2:$X$15,0)</f>
        <v>0</v>
      </c>
      <c r="F98" s="12" t="n">
        <f aca="false">COUNTIFS('سجل الأكشنات'!$B$2:$B$57,$B98,'سجل الأكشنات'!$D$2:$D$57,$C98)</f>
        <v>0</v>
      </c>
      <c r="G98" s="12" t="n">
        <f aca="false">COUNTIFS('سجل الأكشنات'!$B$2:$B$57,$B98,'سجل الأكشنات'!$D$2:$D$57,$C98,'سجل الأكشنات'!$H$2:$H$57,"تفصيلي")</f>
        <v>0</v>
      </c>
      <c r="H98" s="12" t="n">
        <f aca="false">F98-G98</f>
        <v>0</v>
      </c>
      <c r="I98" s="12" t="str">
        <f aca="false">IF($B98&gt;"2026-09-02","لا توجد بيانات بعد",IF(AND(D98=0,F98=0),"بدون نشاط","نشِط"))</f>
        <v>لا توجد بيانات بعد</v>
      </c>
    </row>
    <row r="99" customFormat="false" ht="15" hidden="false" customHeight="false" outlineLevel="0" collapsed="false">
      <c r="A99" s="12" t="s">
        <v>59</v>
      </c>
      <c r="B99" s="12" t="s">
        <v>67</v>
      </c>
      <c r="C99" s="13" t="s">
        <v>26</v>
      </c>
      <c r="D99" s="12" t="n">
        <f aca="false">COUNTIFS('تفاصيل الفرص'!$B$2:$B$15,$B99,'تفاصيل الفرص'!$D$2:$D$15,$C99)</f>
        <v>0</v>
      </c>
      <c r="E99" s="12" t="n">
        <f aca="false">COUNTIFS('تفاصيل الفرص'!$B$2:$B$15,$B99,'تفاصيل الفرص'!$D$2:$D$15,$C99,'تفاصيل الفرص'!$X$2:$X$15,0)</f>
        <v>0</v>
      </c>
      <c r="F99" s="12" t="n">
        <f aca="false">COUNTIFS('سجل الأكشنات'!$B$2:$B$57,$B99,'سجل الأكشنات'!$D$2:$D$57,$C99)</f>
        <v>0</v>
      </c>
      <c r="G99" s="12" t="n">
        <f aca="false">COUNTIFS('سجل الأكشنات'!$B$2:$B$57,$B99,'سجل الأكشنات'!$D$2:$D$57,$C99,'سجل الأكشنات'!$H$2:$H$57,"تفصيلي")</f>
        <v>0</v>
      </c>
      <c r="H99" s="12" t="n">
        <f aca="false">F99-G99</f>
        <v>0</v>
      </c>
      <c r="I99" s="12" t="str">
        <f aca="false">IF($B99&gt;"2026-09-02","لا توجد بيانات بعد",IF(AND(D99=0,F99=0),"بدون نشاط","نشِط"))</f>
        <v>لا توجد بيانات بعد</v>
      </c>
    </row>
    <row r="100" customFormat="false" ht="15" hidden="false" customHeight="false" outlineLevel="0" collapsed="false">
      <c r="A100" s="12" t="s">
        <v>59</v>
      </c>
      <c r="B100" s="12" t="s">
        <v>67</v>
      </c>
      <c r="C100" s="13" t="s">
        <v>28</v>
      </c>
      <c r="D100" s="12" t="n">
        <f aca="false">COUNTIFS('تفاصيل الفرص'!$B$2:$B$15,$B100,'تفاصيل الفرص'!$D$2:$D$15,$C100)</f>
        <v>0</v>
      </c>
      <c r="E100" s="12" t="n">
        <f aca="false">COUNTIFS('تفاصيل الفرص'!$B$2:$B$15,$B100,'تفاصيل الفرص'!$D$2:$D$15,$C100,'تفاصيل الفرص'!$X$2:$X$15,0)</f>
        <v>0</v>
      </c>
      <c r="F100" s="12" t="n">
        <f aca="false">COUNTIFS('سجل الأكشنات'!$B$2:$B$57,$B100,'سجل الأكشنات'!$D$2:$D$57,$C100)</f>
        <v>0</v>
      </c>
      <c r="G100" s="12" t="n">
        <f aca="false">COUNTIFS('سجل الأكشنات'!$B$2:$B$57,$B100,'سجل الأكشنات'!$D$2:$D$57,$C100,'سجل الأكشنات'!$H$2:$H$57,"تفصيلي")</f>
        <v>0</v>
      </c>
      <c r="H100" s="12" t="n">
        <f aca="false">F100-G100</f>
        <v>0</v>
      </c>
      <c r="I100" s="12" t="str">
        <f aca="false">IF($B100&gt;"2026-09-02","لا توجد بيانات بعد",IF(AND(D100=0,F100=0),"بدون نشاط","نشِط"))</f>
        <v>لا توجد بيانات بعد</v>
      </c>
    </row>
    <row r="101" customFormat="false" ht="15" hidden="false" customHeight="false" outlineLevel="0" collapsed="false">
      <c r="A101" s="12" t="s">
        <v>59</v>
      </c>
      <c r="B101" s="12" t="s">
        <v>67</v>
      </c>
      <c r="C101" s="13" t="s">
        <v>30</v>
      </c>
      <c r="D101" s="12" t="n">
        <f aca="false">COUNTIFS('تفاصيل الفرص'!$B$2:$B$15,$B101,'تفاصيل الفرص'!$D$2:$D$15,$C101)</f>
        <v>0</v>
      </c>
      <c r="E101" s="12" t="n">
        <f aca="false">COUNTIFS('تفاصيل الفرص'!$B$2:$B$15,$B101,'تفاصيل الفرص'!$D$2:$D$15,$C101,'تفاصيل الفرص'!$X$2:$X$15,0)</f>
        <v>0</v>
      </c>
      <c r="F101" s="12" t="n">
        <f aca="false">COUNTIFS('سجل الأكشنات'!$B$2:$B$57,$B101,'سجل الأكشنات'!$D$2:$D$57,$C101)</f>
        <v>0</v>
      </c>
      <c r="G101" s="12" t="n">
        <f aca="false">COUNTIFS('سجل الأكشنات'!$B$2:$B$57,$B101,'سجل الأكشنات'!$D$2:$D$57,$C101,'سجل الأكشنات'!$H$2:$H$57,"تفصيلي")</f>
        <v>0</v>
      </c>
      <c r="H101" s="12" t="n">
        <f aca="false">F101-G101</f>
        <v>0</v>
      </c>
      <c r="I101" s="12" t="str">
        <f aca="false">IF($B101&gt;"2026-09-02","لا توجد بيانات بعد",IF(AND(D101=0,F101=0),"بدون نشاط","نشِط"))</f>
        <v>لا توجد بيانات بعد</v>
      </c>
    </row>
    <row r="102" customFormat="false" ht="15" hidden="false" customHeight="false" outlineLevel="0" collapsed="false">
      <c r="A102" s="5" t="s">
        <v>47</v>
      </c>
      <c r="B102" s="5" t="s">
        <v>68</v>
      </c>
      <c r="C102" s="4" t="s">
        <v>18</v>
      </c>
      <c r="D102" s="5" t="n">
        <f aca="false">COUNTIFS('تفاصيل الفرص'!$B$2:$B$15,$B102,'تفاصيل الفرص'!$D$2:$D$15,$C102)</f>
        <v>0</v>
      </c>
      <c r="E102" s="5" t="n">
        <f aca="false">COUNTIFS('تفاصيل الفرص'!$B$2:$B$15,$B102,'تفاصيل الفرص'!$D$2:$D$15,$C102,'تفاصيل الفرص'!$X$2:$X$15,0)</f>
        <v>0</v>
      </c>
      <c r="F102" s="5" t="n">
        <f aca="false">COUNTIFS('سجل الأكشنات'!$B$2:$B$57,$B102,'سجل الأكشنات'!$D$2:$D$57,$C102)</f>
        <v>0</v>
      </c>
      <c r="G102" s="5" t="n">
        <f aca="false">COUNTIFS('سجل الأكشنات'!$B$2:$B$57,$B102,'سجل الأكشنات'!$D$2:$D$57,$C102,'سجل الأكشنات'!$H$2:$H$57,"تفصيلي")</f>
        <v>0</v>
      </c>
      <c r="H102" s="5" t="n">
        <f aca="false">F102-G102</f>
        <v>0</v>
      </c>
      <c r="I102" s="5" t="str">
        <f aca="false">IF($B102&gt;"2026-09-02","لا توجد بيانات بعد",IF(AND(D102=0,F102=0),"بدون نشاط","نشِط"))</f>
        <v>لا توجد بيانات بعد</v>
      </c>
    </row>
    <row r="103" customFormat="false" ht="15" hidden="false" customHeight="false" outlineLevel="0" collapsed="false">
      <c r="A103" s="5" t="s">
        <v>47</v>
      </c>
      <c r="B103" s="5" t="s">
        <v>68</v>
      </c>
      <c r="C103" s="4" t="s">
        <v>20</v>
      </c>
      <c r="D103" s="5" t="n">
        <f aca="false">COUNTIFS('تفاصيل الفرص'!$B$2:$B$15,$B103,'تفاصيل الفرص'!$D$2:$D$15,$C103)</f>
        <v>0</v>
      </c>
      <c r="E103" s="5" t="n">
        <f aca="false">COUNTIFS('تفاصيل الفرص'!$B$2:$B$15,$B103,'تفاصيل الفرص'!$D$2:$D$15,$C103,'تفاصيل الفرص'!$X$2:$X$15,0)</f>
        <v>0</v>
      </c>
      <c r="F103" s="5" t="n">
        <f aca="false">COUNTIFS('سجل الأكشنات'!$B$2:$B$57,$B103,'سجل الأكشنات'!$D$2:$D$57,$C103)</f>
        <v>0</v>
      </c>
      <c r="G103" s="5" t="n">
        <f aca="false">COUNTIFS('سجل الأكشنات'!$B$2:$B$57,$B103,'سجل الأكشنات'!$D$2:$D$57,$C103,'سجل الأكشنات'!$H$2:$H$57,"تفصيلي")</f>
        <v>0</v>
      </c>
      <c r="H103" s="5" t="n">
        <f aca="false">F103-G103</f>
        <v>0</v>
      </c>
      <c r="I103" s="5" t="str">
        <f aca="false">IF($B103&gt;"2026-09-02","لا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5" t="s">
        <v>47</v>
      </c>
      <c r="B104" s="5" t="s">
        <v>68</v>
      </c>
      <c r="C104" s="4" t="s">
        <v>22</v>
      </c>
      <c r="D104" s="5" t="n">
        <f aca="false">COUNTIFS('تفاصيل الفرص'!$B$2:$B$15,$B104,'تفاصيل الفرص'!$D$2:$D$15,$C104)</f>
        <v>0</v>
      </c>
      <c r="E104" s="5" t="n">
        <f aca="false">COUNTIFS('تفاصيل الفرص'!$B$2:$B$15,$B104,'تفاصيل الفرص'!$D$2:$D$15,$C104,'تفاصيل الفرص'!$X$2:$X$15,0)</f>
        <v>0</v>
      </c>
      <c r="F104" s="5" t="n">
        <f aca="false">COUNTIFS('سجل الأكشنات'!$B$2:$B$57,$B104,'سجل الأكشنات'!$D$2:$D$57,$C104)</f>
        <v>0</v>
      </c>
      <c r="G104" s="5" t="n">
        <f aca="false">COUNTIFS('سجل الأكشنات'!$B$2:$B$57,$B104,'سجل الأكشنات'!$D$2:$D$57,$C104,'سجل الأكشنات'!$H$2:$H$57,"تفصيلي")</f>
        <v>0</v>
      </c>
      <c r="H104" s="5" t="n">
        <f aca="false">F104-G104</f>
        <v>0</v>
      </c>
      <c r="I104" s="5" t="str">
        <f aca="false">IF($B104&gt;"2026-09-02","لا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5" t="s">
        <v>47</v>
      </c>
      <c r="B105" s="5" t="s">
        <v>68</v>
      </c>
      <c r="C105" s="4" t="s">
        <v>24</v>
      </c>
      <c r="D105" s="5" t="n">
        <f aca="false">COUNTIFS('تفاصيل الفرص'!$B$2:$B$15,$B105,'تفاصيل الفرص'!$D$2:$D$15,$C105)</f>
        <v>0</v>
      </c>
      <c r="E105" s="5" t="n">
        <f aca="false">COUNTIFS('تفاصيل الفرص'!$B$2:$B$15,$B105,'تفاصيل الفرص'!$D$2:$D$15,$C105,'تفاصيل الفرص'!$X$2:$X$15,0)</f>
        <v>0</v>
      </c>
      <c r="F105" s="5" t="n">
        <f aca="false">COUNTIFS('سجل الأكشنات'!$B$2:$B$57,$B105,'سجل الأكشنات'!$D$2:$D$57,$C105)</f>
        <v>0</v>
      </c>
      <c r="G105" s="5" t="n">
        <f aca="false">COUNTIFS('سجل الأكشنات'!$B$2:$B$57,$B105,'سجل الأكشنات'!$D$2:$D$57,$C105,'سجل الأكشنات'!$H$2:$H$57,"تفصيلي")</f>
        <v>0</v>
      </c>
      <c r="H105" s="5" t="n">
        <f aca="false">F105-G105</f>
        <v>0</v>
      </c>
      <c r="I105" s="5" t="str">
        <f aca="false">IF($B105&gt;"2026-09-02","لا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5" t="s">
        <v>47</v>
      </c>
      <c r="B106" s="5" t="s">
        <v>68</v>
      </c>
      <c r="C106" s="4" t="s">
        <v>26</v>
      </c>
      <c r="D106" s="5" t="n">
        <f aca="false">COUNTIFS('تفاصيل الفرص'!$B$2:$B$15,$B106,'تفاصيل الفرص'!$D$2:$D$15,$C106)</f>
        <v>0</v>
      </c>
      <c r="E106" s="5" t="n">
        <f aca="false">COUNTIFS('تفاصيل الفرص'!$B$2:$B$15,$B106,'تفاصيل الفرص'!$D$2:$D$15,$C106,'تفاصيل الفرص'!$X$2:$X$15,0)</f>
        <v>0</v>
      </c>
      <c r="F106" s="5" t="n">
        <f aca="false">COUNTIFS('سجل الأكشنات'!$B$2:$B$57,$B106,'سجل الأكشنات'!$D$2:$D$57,$C106)</f>
        <v>0</v>
      </c>
      <c r="G106" s="5" t="n">
        <f aca="false">COUNTIFS('سجل الأكشنات'!$B$2:$B$57,$B106,'سجل الأكشنات'!$D$2:$D$57,$C106,'سجل الأكشنات'!$H$2:$H$57,"تفصيلي")</f>
        <v>0</v>
      </c>
      <c r="H106" s="5" t="n">
        <f aca="false">F106-G106</f>
        <v>0</v>
      </c>
      <c r="I106" s="5" t="str">
        <f aca="false">IF($B106&gt;"2026-09-02","لا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5" t="s">
        <v>47</v>
      </c>
      <c r="B107" s="5" t="s">
        <v>68</v>
      </c>
      <c r="C107" s="4" t="s">
        <v>28</v>
      </c>
      <c r="D107" s="5" t="n">
        <f aca="false">COUNTIFS('تفاصيل الفرص'!$B$2:$B$15,$B107,'تفاصيل الفرص'!$D$2:$D$15,$C107)</f>
        <v>0</v>
      </c>
      <c r="E107" s="5" t="n">
        <f aca="false">COUNTIFS('تفاصيل الفرص'!$B$2:$B$15,$B107,'تفاصيل الفرص'!$D$2:$D$15,$C107,'تفاصيل الفرص'!$X$2:$X$15,0)</f>
        <v>0</v>
      </c>
      <c r="F107" s="5" t="n">
        <f aca="false">COUNTIFS('سجل الأكشنات'!$B$2:$B$57,$B107,'سجل الأكشنات'!$D$2:$D$57,$C107)</f>
        <v>0</v>
      </c>
      <c r="G107" s="5" t="n">
        <f aca="false">COUNTIFS('سجل الأكشنات'!$B$2:$B$57,$B107,'سجل الأكشنات'!$D$2:$D$57,$C107,'سجل الأكشنات'!$H$2:$H$57,"تفصيلي")</f>
        <v>0</v>
      </c>
      <c r="H107" s="5" t="n">
        <f aca="false">F107-G107</f>
        <v>0</v>
      </c>
      <c r="I107" s="5" t="str">
        <f aca="false">IF($B107&gt;"2026-09-02","لا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5" t="s">
        <v>47</v>
      </c>
      <c r="B108" s="5" t="s">
        <v>68</v>
      </c>
      <c r="C108" s="4" t="s">
        <v>30</v>
      </c>
      <c r="D108" s="5" t="n">
        <f aca="false">COUNTIFS('تفاصيل الفرص'!$B$2:$B$15,$B108,'تفاصيل الفرص'!$D$2:$D$15,$C108)</f>
        <v>0</v>
      </c>
      <c r="E108" s="5" t="n">
        <f aca="false">COUNTIFS('تفاصيل الفرص'!$B$2:$B$15,$B108,'تفاصيل الفرص'!$D$2:$D$15,$C108,'تفاصيل الفرص'!$X$2:$X$15,0)</f>
        <v>0</v>
      </c>
      <c r="F108" s="5" t="n">
        <f aca="false">COUNTIFS('سجل الأكشنات'!$B$2:$B$57,$B108,'سجل الأكشنات'!$D$2:$D$57,$C108)</f>
        <v>0</v>
      </c>
      <c r="G108" s="5" t="n">
        <f aca="false">COUNTIFS('سجل الأكشنات'!$B$2:$B$57,$B108,'سجل الأكشنات'!$D$2:$D$57,$C108,'سجل الأكشنات'!$H$2:$H$57,"تفصيلي")</f>
        <v>0</v>
      </c>
      <c r="H108" s="5" t="n">
        <f aca="false">F108-G108</f>
        <v>0</v>
      </c>
      <c r="I108" s="5" t="str">
        <f aca="false">IF($B108&gt;"2026-09-02","لا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12" t="s">
        <v>49</v>
      </c>
      <c r="B109" s="12" t="s">
        <v>69</v>
      </c>
      <c r="C109" s="13" t="s">
        <v>18</v>
      </c>
      <c r="D109" s="12" t="n">
        <f aca="false">COUNTIFS('تفاصيل الفرص'!$B$2:$B$15,$B109,'تفاصيل الفرص'!$D$2:$D$15,$C109)</f>
        <v>0</v>
      </c>
      <c r="E109" s="12" t="n">
        <f aca="false">COUNTIFS('تفاصيل الفرص'!$B$2:$B$15,$B109,'تفاصيل الفرص'!$D$2:$D$15,$C109,'تفاصيل الفرص'!$X$2:$X$15,0)</f>
        <v>0</v>
      </c>
      <c r="F109" s="12" t="n">
        <f aca="false">COUNTIFS('سجل الأكشنات'!$B$2:$B$57,$B109,'سجل الأكشنات'!$D$2:$D$57,$C109)</f>
        <v>0</v>
      </c>
      <c r="G109" s="12" t="n">
        <f aca="false">COUNTIFS('سجل الأكشنات'!$B$2:$B$57,$B109,'سجل الأكشنات'!$D$2:$D$57,$C109,'سجل الأكشنات'!$H$2:$H$57,"تفصيلي")</f>
        <v>0</v>
      </c>
      <c r="H109" s="12" t="n">
        <f aca="false">F109-G109</f>
        <v>0</v>
      </c>
      <c r="I109" s="12" t="str">
        <f aca="false">IF($B109&gt;"2026-09-02","لا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12" t="s">
        <v>49</v>
      </c>
      <c r="B110" s="12" t="s">
        <v>69</v>
      </c>
      <c r="C110" s="13" t="s">
        <v>20</v>
      </c>
      <c r="D110" s="12" t="n">
        <f aca="false">COUNTIFS('تفاصيل الفرص'!$B$2:$B$15,$B110,'تفاصيل الفرص'!$D$2:$D$15,$C110)</f>
        <v>0</v>
      </c>
      <c r="E110" s="12" t="n">
        <f aca="false">COUNTIFS('تفاصيل الفرص'!$B$2:$B$15,$B110,'تفاصيل الفرص'!$D$2:$D$15,$C110,'تفاصيل الفرص'!$X$2:$X$15,0)</f>
        <v>0</v>
      </c>
      <c r="F110" s="12" t="n">
        <f aca="false">COUNTIFS('سجل الأكشنات'!$B$2:$B$57,$B110,'سجل الأكشنات'!$D$2:$D$57,$C110)</f>
        <v>0</v>
      </c>
      <c r="G110" s="12" t="n">
        <f aca="false">COUNTIFS('سجل الأكشنات'!$B$2:$B$57,$B110,'سجل الأكشنات'!$D$2:$D$57,$C110,'سجل الأكشنات'!$H$2:$H$57,"تفصيلي")</f>
        <v>0</v>
      </c>
      <c r="H110" s="12" t="n">
        <f aca="false">F110-G110</f>
        <v>0</v>
      </c>
      <c r="I110" s="12" t="str">
        <f aca="false">IF($B110&gt;"2026-09-02","لا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12" t="s">
        <v>49</v>
      </c>
      <c r="B111" s="12" t="s">
        <v>69</v>
      </c>
      <c r="C111" s="13" t="s">
        <v>22</v>
      </c>
      <c r="D111" s="12" t="n">
        <f aca="false">COUNTIFS('تفاصيل الفرص'!$B$2:$B$15,$B111,'تفاصيل الفرص'!$D$2:$D$15,$C111)</f>
        <v>0</v>
      </c>
      <c r="E111" s="12" t="n">
        <f aca="false">COUNTIFS('تفاصيل الفرص'!$B$2:$B$15,$B111,'تفاصيل الفرص'!$D$2:$D$15,$C111,'تفاصيل الفرص'!$X$2:$X$15,0)</f>
        <v>0</v>
      </c>
      <c r="F111" s="12" t="n">
        <f aca="false">COUNTIFS('سجل الأكشنات'!$B$2:$B$57,$B111,'سجل الأكشنات'!$D$2:$D$57,$C111)</f>
        <v>0</v>
      </c>
      <c r="G111" s="12" t="n">
        <f aca="false">COUNTIFS('سجل الأكشنات'!$B$2:$B$57,$B111,'سجل الأكشنات'!$D$2:$D$57,$C111,'سجل الأكشنات'!$H$2:$H$57,"تفصيلي")</f>
        <v>0</v>
      </c>
      <c r="H111" s="12" t="n">
        <f aca="false">F111-G111</f>
        <v>0</v>
      </c>
      <c r="I111" s="12" t="str">
        <f aca="false">IF($B111&gt;"2026-09-02","لا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12" t="s">
        <v>49</v>
      </c>
      <c r="B112" s="12" t="s">
        <v>69</v>
      </c>
      <c r="C112" s="13" t="s">
        <v>24</v>
      </c>
      <c r="D112" s="12" t="n">
        <f aca="false">COUNTIFS('تفاصيل الفرص'!$B$2:$B$15,$B112,'تفاصيل الفرص'!$D$2:$D$15,$C112)</f>
        <v>0</v>
      </c>
      <c r="E112" s="12" t="n">
        <f aca="false">COUNTIFS('تفاصيل الفرص'!$B$2:$B$15,$B112,'تفاصيل الفرص'!$D$2:$D$15,$C112,'تفاصيل الفرص'!$X$2:$X$15,0)</f>
        <v>0</v>
      </c>
      <c r="F112" s="12" t="n">
        <f aca="false">COUNTIFS('سجل الأكشنات'!$B$2:$B$57,$B112,'سجل الأكشنات'!$D$2:$D$57,$C112)</f>
        <v>0</v>
      </c>
      <c r="G112" s="12" t="n">
        <f aca="false">COUNTIFS('سجل الأكشنات'!$B$2:$B$57,$B112,'سجل الأكشنات'!$D$2:$D$57,$C112,'سجل الأكشنات'!$H$2:$H$57,"تفصيلي")</f>
        <v>0</v>
      </c>
      <c r="H112" s="12" t="n">
        <f aca="false">F112-G112</f>
        <v>0</v>
      </c>
      <c r="I112" s="12" t="str">
        <f aca="false">IF($B112&gt;"2026-09-02","لا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12" t="s">
        <v>49</v>
      </c>
      <c r="B113" s="12" t="s">
        <v>69</v>
      </c>
      <c r="C113" s="13" t="s">
        <v>26</v>
      </c>
      <c r="D113" s="12" t="n">
        <f aca="false">COUNTIFS('تفاصيل الفرص'!$B$2:$B$15,$B113,'تفاصيل الفرص'!$D$2:$D$15,$C113)</f>
        <v>0</v>
      </c>
      <c r="E113" s="12" t="n">
        <f aca="false">COUNTIFS('تفاصيل الفرص'!$B$2:$B$15,$B113,'تفاصيل الفرص'!$D$2:$D$15,$C113,'تفاصيل الفرص'!$X$2:$X$15,0)</f>
        <v>0</v>
      </c>
      <c r="F113" s="12" t="n">
        <f aca="false">COUNTIFS('سجل الأكشنات'!$B$2:$B$57,$B113,'سجل الأكشنات'!$D$2:$D$57,$C113)</f>
        <v>0</v>
      </c>
      <c r="G113" s="12" t="n">
        <f aca="false">COUNTIFS('سجل الأكشنات'!$B$2:$B$57,$B113,'سجل الأكشنات'!$D$2:$D$57,$C113,'سجل الأكشنات'!$H$2:$H$57,"تفصيلي")</f>
        <v>0</v>
      </c>
      <c r="H113" s="12" t="n">
        <f aca="false">F113-G113</f>
        <v>0</v>
      </c>
      <c r="I113" s="12" t="str">
        <f aca="false">IF($B113&gt;"2026-09-02","لا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12" t="s">
        <v>49</v>
      </c>
      <c r="B114" s="12" t="s">
        <v>69</v>
      </c>
      <c r="C114" s="13" t="s">
        <v>28</v>
      </c>
      <c r="D114" s="12" t="n">
        <f aca="false">COUNTIFS('تفاصيل الفرص'!$B$2:$B$15,$B114,'تفاصيل الفرص'!$D$2:$D$15,$C114)</f>
        <v>0</v>
      </c>
      <c r="E114" s="12" t="n">
        <f aca="false">COUNTIFS('تفاصيل الفرص'!$B$2:$B$15,$B114,'تفاصيل الفرص'!$D$2:$D$15,$C114,'تفاصيل الفرص'!$X$2:$X$15,0)</f>
        <v>0</v>
      </c>
      <c r="F114" s="12" t="n">
        <f aca="false">COUNTIFS('سجل الأكشنات'!$B$2:$B$57,$B114,'سجل الأكشنات'!$D$2:$D$57,$C114)</f>
        <v>0</v>
      </c>
      <c r="G114" s="12" t="n">
        <f aca="false">COUNTIFS('سجل الأكشنات'!$B$2:$B$57,$B114,'سجل الأكشنات'!$D$2:$D$57,$C114,'سجل الأكشنات'!$H$2:$H$57,"تفصيلي")</f>
        <v>0</v>
      </c>
      <c r="H114" s="12" t="n">
        <f aca="false">F114-G114</f>
        <v>0</v>
      </c>
      <c r="I114" s="12" t="str">
        <f aca="false">IF($B114&gt;"2026-09-02","لا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12" t="s">
        <v>49</v>
      </c>
      <c r="B115" s="12" t="s">
        <v>69</v>
      </c>
      <c r="C115" s="13" t="s">
        <v>30</v>
      </c>
      <c r="D115" s="12" t="n">
        <f aca="false">COUNTIFS('تفاصيل الفرص'!$B$2:$B$15,$B115,'تفاصيل الفرص'!$D$2:$D$15,$C115)</f>
        <v>0</v>
      </c>
      <c r="E115" s="12" t="n">
        <f aca="false">COUNTIFS('تفاصيل الفرص'!$B$2:$B$15,$B115,'تفاصيل الفرص'!$D$2:$D$15,$C115,'تفاصيل الفرص'!$X$2:$X$15,0)</f>
        <v>0</v>
      </c>
      <c r="F115" s="12" t="n">
        <f aca="false">COUNTIFS('سجل الأكشنات'!$B$2:$B$57,$B115,'سجل الأكشنات'!$D$2:$D$57,$C115)</f>
        <v>0</v>
      </c>
      <c r="G115" s="12" t="n">
        <f aca="false">COUNTIFS('سجل الأكشنات'!$B$2:$B$57,$B115,'سجل الأكشنات'!$D$2:$D$57,$C115,'سجل الأكشنات'!$H$2:$H$57,"تفصيلي")</f>
        <v>0</v>
      </c>
      <c r="H115" s="12" t="n">
        <f aca="false">F115-G115</f>
        <v>0</v>
      </c>
      <c r="I115" s="12" t="str">
        <f aca="false">IF($B115&gt;"2026-09-02","لا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51</v>
      </c>
      <c r="B116" s="5" t="s">
        <v>70</v>
      </c>
      <c r="C116" s="4" t="s">
        <v>18</v>
      </c>
      <c r="D116" s="5" t="n">
        <f aca="false">COUNTIFS('تفاصيل الفرص'!$B$2:$B$15,$B116,'تفاصيل الفرص'!$D$2:$D$15,$C116)</f>
        <v>0</v>
      </c>
      <c r="E116" s="5" t="n">
        <f aca="false">COUNTIFS('تفاصيل الفرص'!$B$2:$B$15,$B116,'تفاصيل الفرص'!$D$2:$D$15,$C116,'تفاصيل الفرص'!$X$2:$X$15,0)</f>
        <v>0</v>
      </c>
      <c r="F116" s="5" t="n">
        <f aca="false">COUNTIFS('سجل الأكشنات'!$B$2:$B$57,$B116,'سجل الأكشنات'!$D$2:$D$57,$C116)</f>
        <v>0</v>
      </c>
      <c r="G116" s="5" t="n">
        <f aca="false">COUNTIFS('سجل الأكشنات'!$B$2:$B$57,$B116,'سجل الأكشنات'!$D$2:$D$57,$C116,'سجل الأكشنات'!$H$2:$H$57,"تفصيلي")</f>
        <v>0</v>
      </c>
      <c r="H116" s="5" t="n">
        <f aca="false">F116-G116</f>
        <v>0</v>
      </c>
      <c r="I116" s="5" t="str">
        <f aca="false">IF($B116&gt;"2026-09-02","لا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51</v>
      </c>
      <c r="B117" s="5" t="s">
        <v>70</v>
      </c>
      <c r="C117" s="4" t="s">
        <v>20</v>
      </c>
      <c r="D117" s="5" t="n">
        <f aca="false">COUNTIFS('تفاصيل الفرص'!$B$2:$B$15,$B117,'تفاصيل الفرص'!$D$2:$D$15,$C117)</f>
        <v>0</v>
      </c>
      <c r="E117" s="5" t="n">
        <f aca="false">COUNTIFS('تفاصيل الفرص'!$B$2:$B$15,$B117,'تفاصيل الفرص'!$D$2:$D$15,$C117,'تفاصيل الفرص'!$X$2:$X$15,0)</f>
        <v>0</v>
      </c>
      <c r="F117" s="5" t="n">
        <f aca="false">COUNTIFS('سجل الأكشنات'!$B$2:$B$57,$B117,'سجل الأكشنات'!$D$2:$D$57,$C117)</f>
        <v>0</v>
      </c>
      <c r="G117" s="5" t="n">
        <f aca="false">COUNTIFS('سجل الأكشنات'!$B$2:$B$57,$B117,'سجل الأكشنات'!$D$2:$D$57,$C117,'سجل الأكشنات'!$H$2:$H$57,"تفصيلي")</f>
        <v>0</v>
      </c>
      <c r="H117" s="5" t="n">
        <f aca="false">F117-G117</f>
        <v>0</v>
      </c>
      <c r="I117" s="5" t="str">
        <f aca="false">IF($B117&gt;"2026-09-02","لا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51</v>
      </c>
      <c r="B118" s="5" t="s">
        <v>70</v>
      </c>
      <c r="C118" s="4" t="s">
        <v>22</v>
      </c>
      <c r="D118" s="5" t="n">
        <f aca="false">COUNTIFS('تفاصيل الفرص'!$B$2:$B$15,$B118,'تفاصيل الفرص'!$D$2:$D$15,$C118)</f>
        <v>0</v>
      </c>
      <c r="E118" s="5" t="n">
        <f aca="false">COUNTIFS('تفاصيل الفرص'!$B$2:$B$15,$B118,'تفاصيل الفرص'!$D$2:$D$15,$C118,'تفاصيل الفرص'!$X$2:$X$15,0)</f>
        <v>0</v>
      </c>
      <c r="F118" s="5" t="n">
        <f aca="false">COUNTIFS('سجل الأكشنات'!$B$2:$B$57,$B118,'سجل الأكشنات'!$D$2:$D$57,$C118)</f>
        <v>0</v>
      </c>
      <c r="G118" s="5" t="n">
        <f aca="false">COUNTIFS('سجل الأكشنات'!$B$2:$B$57,$B118,'سجل الأكشنات'!$D$2:$D$57,$C118,'سجل الأكشنات'!$H$2:$H$57,"تفصيلي")</f>
        <v>0</v>
      </c>
      <c r="H118" s="5" t="n">
        <f aca="false">F118-G118</f>
        <v>0</v>
      </c>
      <c r="I118" s="5" t="str">
        <f aca="false">IF($B118&gt;"2026-09-02","لا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51</v>
      </c>
      <c r="B119" s="5" t="s">
        <v>70</v>
      </c>
      <c r="C119" s="4" t="s">
        <v>24</v>
      </c>
      <c r="D119" s="5" t="n">
        <f aca="false">COUNTIFS('تفاصيل الفرص'!$B$2:$B$15,$B119,'تفاصيل الفرص'!$D$2:$D$15,$C119)</f>
        <v>0</v>
      </c>
      <c r="E119" s="5" t="n">
        <f aca="false">COUNTIFS('تفاصيل الفرص'!$B$2:$B$15,$B119,'تفاصيل الفرص'!$D$2:$D$15,$C119,'تفاصيل الفرص'!$X$2:$X$15,0)</f>
        <v>0</v>
      </c>
      <c r="F119" s="5" t="n">
        <f aca="false">COUNTIFS('سجل الأكشنات'!$B$2:$B$57,$B119,'سجل الأكشنات'!$D$2:$D$57,$C119)</f>
        <v>0</v>
      </c>
      <c r="G119" s="5" t="n">
        <f aca="false">COUNTIFS('سجل الأكشنات'!$B$2:$B$57,$B119,'سجل الأكشنات'!$D$2:$D$57,$C119,'سجل الأكشنات'!$H$2:$H$57,"تفصيلي")</f>
        <v>0</v>
      </c>
      <c r="H119" s="5" t="n">
        <f aca="false">F119-G119</f>
        <v>0</v>
      </c>
      <c r="I119" s="5" t="str">
        <f aca="false">IF($B119&gt;"2026-09-02","لا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5" t="s">
        <v>51</v>
      </c>
      <c r="B120" s="5" t="s">
        <v>70</v>
      </c>
      <c r="C120" s="4" t="s">
        <v>26</v>
      </c>
      <c r="D120" s="5" t="n">
        <f aca="false">COUNTIFS('تفاصيل الفرص'!$B$2:$B$15,$B120,'تفاصيل الفرص'!$D$2:$D$15,$C120)</f>
        <v>0</v>
      </c>
      <c r="E120" s="5" t="n">
        <f aca="false">COUNTIFS('تفاصيل الفرص'!$B$2:$B$15,$B120,'تفاصيل الفرص'!$D$2:$D$15,$C120,'تفاصيل الفرص'!$X$2:$X$15,0)</f>
        <v>0</v>
      </c>
      <c r="F120" s="5" t="n">
        <f aca="false">COUNTIFS('سجل الأكشنات'!$B$2:$B$57,$B120,'سجل الأكشنات'!$D$2:$D$57,$C120)</f>
        <v>0</v>
      </c>
      <c r="G120" s="5" t="n">
        <f aca="false">COUNTIFS('سجل الأكشنات'!$B$2:$B$57,$B120,'سجل الأكشنات'!$D$2:$D$57,$C120,'سجل الأكشنات'!$H$2:$H$57,"تفصيلي")</f>
        <v>0</v>
      </c>
      <c r="H120" s="5" t="n">
        <f aca="false">F120-G120</f>
        <v>0</v>
      </c>
      <c r="I120" s="5" t="str">
        <f aca="false">IF($B120&gt;"2026-09-02","لا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5" t="s">
        <v>51</v>
      </c>
      <c r="B121" s="5" t="s">
        <v>70</v>
      </c>
      <c r="C121" s="4" t="s">
        <v>28</v>
      </c>
      <c r="D121" s="5" t="n">
        <f aca="false">COUNTIFS('تفاصيل الفرص'!$B$2:$B$15,$B121,'تفاصيل الفرص'!$D$2:$D$15,$C121)</f>
        <v>0</v>
      </c>
      <c r="E121" s="5" t="n">
        <f aca="false">COUNTIFS('تفاصيل الفرص'!$B$2:$B$15,$B121,'تفاصيل الفرص'!$D$2:$D$15,$C121,'تفاصيل الفرص'!$X$2:$X$15,0)</f>
        <v>0</v>
      </c>
      <c r="F121" s="5" t="n">
        <f aca="false">COUNTIFS('سجل الأكشنات'!$B$2:$B$57,$B121,'سجل الأكشنات'!$D$2:$D$57,$C121)</f>
        <v>0</v>
      </c>
      <c r="G121" s="5" t="n">
        <f aca="false">COUNTIFS('سجل الأكشنات'!$B$2:$B$57,$B121,'سجل الأكشنات'!$D$2:$D$57,$C121,'سجل الأكشنات'!$H$2:$H$57,"تفصيلي")</f>
        <v>0</v>
      </c>
      <c r="H121" s="5" t="n">
        <f aca="false">F121-G121</f>
        <v>0</v>
      </c>
      <c r="I121" s="5" t="str">
        <f aca="false">IF($B121&gt;"2026-09-02","لا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5" t="s">
        <v>51</v>
      </c>
      <c r="B122" s="5" t="s">
        <v>70</v>
      </c>
      <c r="C122" s="4" t="s">
        <v>30</v>
      </c>
      <c r="D122" s="5" t="n">
        <f aca="false">COUNTIFS('تفاصيل الفرص'!$B$2:$B$15,$B122,'تفاصيل الفرص'!$D$2:$D$15,$C122)</f>
        <v>0</v>
      </c>
      <c r="E122" s="5" t="n">
        <f aca="false">COUNTIFS('تفاصيل الفرص'!$B$2:$B$15,$B122,'تفاصيل الفرص'!$D$2:$D$15,$C122,'تفاصيل الفرص'!$X$2:$X$15,0)</f>
        <v>0</v>
      </c>
      <c r="F122" s="5" t="n">
        <f aca="false">COUNTIFS('سجل الأكشنات'!$B$2:$B$57,$B122,'سجل الأكشنات'!$D$2:$D$57,$C122)</f>
        <v>0</v>
      </c>
      <c r="G122" s="5" t="n">
        <f aca="false">COUNTIFS('سجل الأكشنات'!$B$2:$B$57,$B122,'سجل الأكشنات'!$D$2:$D$57,$C122,'سجل الأكشنات'!$H$2:$H$57,"تفصيلي")</f>
        <v>0</v>
      </c>
      <c r="H122" s="5" t="n">
        <f aca="false">F122-G122</f>
        <v>0</v>
      </c>
      <c r="I122" s="5" t="str">
        <f aca="false">IF($B122&gt;"2026-09-02","لا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12" t="s">
        <v>53</v>
      </c>
      <c r="B123" s="12" t="s">
        <v>71</v>
      </c>
      <c r="C123" s="13" t="s">
        <v>18</v>
      </c>
      <c r="D123" s="12" t="n">
        <f aca="false">COUNTIFS('تفاصيل الفرص'!$B$2:$B$15,$B123,'تفاصيل الفرص'!$D$2:$D$15,$C123)</f>
        <v>0</v>
      </c>
      <c r="E123" s="12" t="n">
        <f aca="false">COUNTIFS('تفاصيل الفرص'!$B$2:$B$15,$B123,'تفاصيل الفرص'!$D$2:$D$15,$C123,'تفاصيل الفرص'!$X$2:$X$15,0)</f>
        <v>0</v>
      </c>
      <c r="F123" s="12" t="n">
        <f aca="false">COUNTIFS('سجل الأكشنات'!$B$2:$B$57,$B123,'سجل الأكشنات'!$D$2:$D$57,$C123)</f>
        <v>0</v>
      </c>
      <c r="G123" s="12" t="n">
        <f aca="false">COUNTIFS('سجل الأكشنات'!$B$2:$B$57,$B123,'سجل الأكشنات'!$D$2:$D$57,$C123,'سجل الأكشنات'!$H$2:$H$57,"تفصيلي")</f>
        <v>0</v>
      </c>
      <c r="H123" s="12" t="n">
        <f aca="false">F123-G123</f>
        <v>0</v>
      </c>
      <c r="I123" s="12" t="str">
        <f aca="false">IF($B123&gt;"2026-09-02","لا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53</v>
      </c>
      <c r="B124" s="12" t="s">
        <v>71</v>
      </c>
      <c r="C124" s="13" t="s">
        <v>20</v>
      </c>
      <c r="D124" s="12" t="n">
        <f aca="false">COUNTIFS('تفاصيل الفرص'!$B$2:$B$15,$B124,'تفاصيل الفرص'!$D$2:$D$15,$C124)</f>
        <v>0</v>
      </c>
      <c r="E124" s="12" t="n">
        <f aca="false">COUNTIFS('تفاصيل الفرص'!$B$2:$B$15,$B124,'تفاصيل الفرص'!$D$2:$D$15,$C124,'تفاصيل الفرص'!$X$2:$X$15,0)</f>
        <v>0</v>
      </c>
      <c r="F124" s="12" t="n">
        <f aca="false">COUNTIFS('سجل الأكشنات'!$B$2:$B$57,$B124,'سجل الأكشنات'!$D$2:$D$57,$C124)</f>
        <v>0</v>
      </c>
      <c r="G124" s="12" t="n">
        <f aca="false">COUNTIFS('سجل الأكشنات'!$B$2:$B$57,$B124,'سجل الأكشنات'!$D$2:$D$57,$C124,'سجل الأكشنات'!$H$2:$H$57,"تفصيلي")</f>
        <v>0</v>
      </c>
      <c r="H124" s="12" t="n">
        <f aca="false">F124-G124</f>
        <v>0</v>
      </c>
      <c r="I124" s="12" t="str">
        <f aca="false">IF($B124&gt;"2026-09-02","لا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53</v>
      </c>
      <c r="B125" s="12" t="s">
        <v>71</v>
      </c>
      <c r="C125" s="13" t="s">
        <v>22</v>
      </c>
      <c r="D125" s="12" t="n">
        <f aca="false">COUNTIFS('تفاصيل الفرص'!$B$2:$B$15,$B125,'تفاصيل الفرص'!$D$2:$D$15,$C125)</f>
        <v>0</v>
      </c>
      <c r="E125" s="12" t="n">
        <f aca="false">COUNTIFS('تفاصيل الفرص'!$B$2:$B$15,$B125,'تفاصيل الفرص'!$D$2:$D$15,$C125,'تفاصيل الفرص'!$X$2:$X$15,0)</f>
        <v>0</v>
      </c>
      <c r="F125" s="12" t="n">
        <f aca="false">COUNTIFS('سجل الأكشنات'!$B$2:$B$57,$B125,'سجل الأكشنات'!$D$2:$D$57,$C125)</f>
        <v>0</v>
      </c>
      <c r="G125" s="12" t="n">
        <f aca="false">COUNTIFS('سجل الأكشنات'!$B$2:$B$57,$B125,'سجل الأكشنات'!$D$2:$D$57,$C125,'سجل الأكشنات'!$H$2:$H$57,"تفصيلي")</f>
        <v>0</v>
      </c>
      <c r="H125" s="12" t="n">
        <f aca="false">F125-G125</f>
        <v>0</v>
      </c>
      <c r="I125" s="12" t="str">
        <f aca="false">IF($B125&gt;"2026-09-02","لا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53</v>
      </c>
      <c r="B126" s="12" t="s">
        <v>71</v>
      </c>
      <c r="C126" s="13" t="s">
        <v>24</v>
      </c>
      <c r="D126" s="12" t="n">
        <f aca="false">COUNTIFS('تفاصيل الفرص'!$B$2:$B$15,$B126,'تفاصيل الفرص'!$D$2:$D$15,$C126)</f>
        <v>0</v>
      </c>
      <c r="E126" s="12" t="n">
        <f aca="false">COUNTIFS('تفاصيل الفرص'!$B$2:$B$15,$B126,'تفاصيل الفرص'!$D$2:$D$15,$C126,'تفاصيل الفرص'!$X$2:$X$15,0)</f>
        <v>0</v>
      </c>
      <c r="F126" s="12" t="n">
        <f aca="false">COUNTIFS('سجل الأكشنات'!$B$2:$B$57,$B126,'سجل الأكشنات'!$D$2:$D$57,$C126)</f>
        <v>0</v>
      </c>
      <c r="G126" s="12" t="n">
        <f aca="false">COUNTIFS('سجل الأكشنات'!$B$2:$B$57,$B126,'سجل الأكشنات'!$D$2:$D$57,$C126,'سجل الأكشنات'!$H$2:$H$57,"تفصيلي")</f>
        <v>0</v>
      </c>
      <c r="H126" s="12" t="n">
        <f aca="false">F126-G126</f>
        <v>0</v>
      </c>
      <c r="I126" s="12" t="str">
        <f aca="false">IF($B126&gt;"2026-09-02","لا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53</v>
      </c>
      <c r="B127" s="12" t="s">
        <v>71</v>
      </c>
      <c r="C127" s="13" t="s">
        <v>26</v>
      </c>
      <c r="D127" s="12" t="n">
        <f aca="false">COUNTIFS('تفاصيل الفرص'!$B$2:$B$15,$B127,'تفاصيل الفرص'!$D$2:$D$15,$C127)</f>
        <v>0</v>
      </c>
      <c r="E127" s="12" t="n">
        <f aca="false">COUNTIFS('تفاصيل الفرص'!$B$2:$B$15,$B127,'تفاصيل الفرص'!$D$2:$D$15,$C127,'تفاصيل الفرص'!$X$2:$X$15,0)</f>
        <v>0</v>
      </c>
      <c r="F127" s="12" t="n">
        <f aca="false">COUNTIFS('سجل الأكشنات'!$B$2:$B$57,$B127,'سجل الأكشنات'!$D$2:$D$57,$C127)</f>
        <v>0</v>
      </c>
      <c r="G127" s="12" t="n">
        <f aca="false">COUNTIFS('سجل الأكشنات'!$B$2:$B$57,$B127,'سجل الأكشنات'!$D$2:$D$57,$C127,'سجل الأكشنات'!$H$2:$H$57,"تفصيلي")</f>
        <v>0</v>
      </c>
      <c r="H127" s="12" t="n">
        <f aca="false">F127-G127</f>
        <v>0</v>
      </c>
      <c r="I127" s="12" t="str">
        <f aca="false">IF($B127&gt;"2026-09-02","لا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53</v>
      </c>
      <c r="B128" s="12" t="s">
        <v>71</v>
      </c>
      <c r="C128" s="13" t="s">
        <v>28</v>
      </c>
      <c r="D128" s="12" t="n">
        <f aca="false">COUNTIFS('تفاصيل الفرص'!$B$2:$B$15,$B128,'تفاصيل الفرص'!$D$2:$D$15,$C128)</f>
        <v>0</v>
      </c>
      <c r="E128" s="12" t="n">
        <f aca="false">COUNTIFS('تفاصيل الفرص'!$B$2:$B$15,$B128,'تفاصيل الفرص'!$D$2:$D$15,$C128,'تفاصيل الفرص'!$X$2:$X$15,0)</f>
        <v>0</v>
      </c>
      <c r="F128" s="12" t="n">
        <f aca="false">COUNTIFS('سجل الأكشنات'!$B$2:$B$57,$B128,'سجل الأكشنات'!$D$2:$D$57,$C128)</f>
        <v>0</v>
      </c>
      <c r="G128" s="12" t="n">
        <f aca="false">COUNTIFS('سجل الأكشنات'!$B$2:$B$57,$B128,'سجل الأكشنات'!$D$2:$D$57,$C128,'سجل الأكشنات'!$H$2:$H$57,"تفصيلي")</f>
        <v>0</v>
      </c>
      <c r="H128" s="12" t="n">
        <f aca="false">F128-G128</f>
        <v>0</v>
      </c>
      <c r="I128" s="12" t="str">
        <f aca="false">IF($B128&gt;"2026-09-02","لا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53</v>
      </c>
      <c r="B129" s="12" t="s">
        <v>71</v>
      </c>
      <c r="C129" s="13" t="s">
        <v>30</v>
      </c>
      <c r="D129" s="12" t="n">
        <f aca="false">COUNTIFS('تفاصيل الفرص'!$B$2:$B$15,$B129,'تفاصيل الفرص'!$D$2:$D$15,$C129)</f>
        <v>0</v>
      </c>
      <c r="E129" s="12" t="n">
        <f aca="false">COUNTIFS('تفاصيل الفرص'!$B$2:$B$15,$B129,'تفاصيل الفرص'!$D$2:$D$15,$C129,'تفاصيل الفرص'!$X$2:$X$15,0)</f>
        <v>0</v>
      </c>
      <c r="F129" s="12" t="n">
        <f aca="false">COUNTIFS('سجل الأكشنات'!$B$2:$B$57,$B129,'سجل الأكشنات'!$D$2:$D$57,$C129)</f>
        <v>0</v>
      </c>
      <c r="G129" s="12" t="n">
        <f aca="false">COUNTIFS('سجل الأكشنات'!$B$2:$B$57,$B129,'سجل الأكشنات'!$D$2:$D$57,$C129,'سجل الأكشنات'!$H$2:$H$57,"تفصيلي")</f>
        <v>0</v>
      </c>
      <c r="H129" s="12" t="n">
        <f aca="false">F129-G129</f>
        <v>0</v>
      </c>
      <c r="I129" s="12" t="str">
        <f aca="false">IF($B129&gt;"2026-09-02","لا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5" t="s">
        <v>55</v>
      </c>
      <c r="B130" s="5" t="s">
        <v>72</v>
      </c>
      <c r="C130" s="4" t="s">
        <v>18</v>
      </c>
      <c r="D130" s="5" t="n">
        <f aca="false">COUNTIFS('تفاصيل الفرص'!$B$2:$B$15,$B130,'تفاصيل الفرص'!$D$2:$D$15,$C130)</f>
        <v>0</v>
      </c>
      <c r="E130" s="5" t="n">
        <f aca="false">COUNTIFS('تفاصيل الفرص'!$B$2:$B$15,$B130,'تفاصيل الفرص'!$D$2:$D$15,$C130,'تفاصيل الفرص'!$X$2:$X$15,0)</f>
        <v>0</v>
      </c>
      <c r="F130" s="5" t="n">
        <f aca="false">COUNTIFS('سجل الأكشنات'!$B$2:$B$57,$B130,'سجل الأكشنات'!$D$2:$D$57,$C130)</f>
        <v>0</v>
      </c>
      <c r="G130" s="5" t="n">
        <f aca="false">COUNTIFS('سجل الأكشنات'!$B$2:$B$57,$B130,'سجل الأكشنات'!$D$2:$D$57,$C130,'سجل الأكشنات'!$H$2:$H$57,"تفصيلي")</f>
        <v>0</v>
      </c>
      <c r="H130" s="5" t="n">
        <f aca="false">F130-G130</f>
        <v>0</v>
      </c>
      <c r="I130" s="5" t="str">
        <f aca="false">IF($B130&gt;"2026-09-02","لا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5" t="s">
        <v>55</v>
      </c>
      <c r="B131" s="5" t="s">
        <v>72</v>
      </c>
      <c r="C131" s="4" t="s">
        <v>20</v>
      </c>
      <c r="D131" s="5" t="n">
        <f aca="false">COUNTIFS('تفاصيل الفرص'!$B$2:$B$15,$B131,'تفاصيل الفرص'!$D$2:$D$15,$C131)</f>
        <v>0</v>
      </c>
      <c r="E131" s="5" t="n">
        <f aca="false">COUNTIFS('تفاصيل الفرص'!$B$2:$B$15,$B131,'تفاصيل الفرص'!$D$2:$D$15,$C131,'تفاصيل الفرص'!$X$2:$X$15,0)</f>
        <v>0</v>
      </c>
      <c r="F131" s="5" t="n">
        <f aca="false">COUNTIFS('سجل الأكشنات'!$B$2:$B$57,$B131,'سجل الأكشنات'!$D$2:$D$57,$C131)</f>
        <v>0</v>
      </c>
      <c r="G131" s="5" t="n">
        <f aca="false">COUNTIFS('سجل الأكشنات'!$B$2:$B$57,$B131,'سجل الأكشنات'!$D$2:$D$57,$C131,'سجل الأكشنات'!$H$2:$H$57,"تفصيلي")</f>
        <v>0</v>
      </c>
      <c r="H131" s="5" t="n">
        <f aca="false">F131-G131</f>
        <v>0</v>
      </c>
      <c r="I131" s="5" t="str">
        <f aca="false">IF($B131&gt;"2026-09-02","لا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55</v>
      </c>
      <c r="B132" s="5" t="s">
        <v>72</v>
      </c>
      <c r="C132" s="4" t="s">
        <v>22</v>
      </c>
      <c r="D132" s="5" t="n">
        <f aca="false">COUNTIFS('تفاصيل الفرص'!$B$2:$B$15,$B132,'تفاصيل الفرص'!$D$2:$D$15,$C132)</f>
        <v>0</v>
      </c>
      <c r="E132" s="5" t="n">
        <f aca="false">COUNTIFS('تفاصيل الفرص'!$B$2:$B$15,$B132,'تفاصيل الفرص'!$D$2:$D$15,$C132,'تفاصيل الفرص'!$X$2:$X$15,0)</f>
        <v>0</v>
      </c>
      <c r="F132" s="5" t="n">
        <f aca="false">COUNTIFS('سجل الأكشنات'!$B$2:$B$57,$B132,'سجل الأكشنات'!$D$2:$D$57,$C132)</f>
        <v>0</v>
      </c>
      <c r="G132" s="5" t="n">
        <f aca="false">COUNTIFS('سجل الأكشنات'!$B$2:$B$57,$B132,'سجل الأكشنات'!$D$2:$D$57,$C132,'سجل الأكشنات'!$H$2:$H$57,"تفصيلي")</f>
        <v>0</v>
      </c>
      <c r="H132" s="5" t="n">
        <f aca="false">F132-G132</f>
        <v>0</v>
      </c>
      <c r="I132" s="5" t="str">
        <f aca="false">IF($B132&gt;"2026-09-02","لا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55</v>
      </c>
      <c r="B133" s="5" t="s">
        <v>72</v>
      </c>
      <c r="C133" s="4" t="s">
        <v>24</v>
      </c>
      <c r="D133" s="5" t="n">
        <f aca="false">COUNTIFS('تفاصيل الفرص'!$B$2:$B$15,$B133,'تفاصيل الفرص'!$D$2:$D$15,$C133)</f>
        <v>0</v>
      </c>
      <c r="E133" s="5" t="n">
        <f aca="false">COUNTIFS('تفاصيل الفرص'!$B$2:$B$15,$B133,'تفاصيل الفرص'!$D$2:$D$15,$C133,'تفاصيل الفرص'!$X$2:$X$15,0)</f>
        <v>0</v>
      </c>
      <c r="F133" s="5" t="n">
        <f aca="false">COUNTIFS('سجل الأكشنات'!$B$2:$B$57,$B133,'سجل الأكشنات'!$D$2:$D$57,$C133)</f>
        <v>0</v>
      </c>
      <c r="G133" s="5" t="n">
        <f aca="false">COUNTIFS('سجل الأكشنات'!$B$2:$B$57,$B133,'سجل الأكشنات'!$D$2:$D$57,$C133,'سجل الأكشنات'!$H$2:$H$57,"تفصيلي")</f>
        <v>0</v>
      </c>
      <c r="H133" s="5" t="n">
        <f aca="false">F133-G133</f>
        <v>0</v>
      </c>
      <c r="I133" s="5" t="str">
        <f aca="false">IF($B133&gt;"2026-09-02","لا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55</v>
      </c>
      <c r="B134" s="5" t="s">
        <v>72</v>
      </c>
      <c r="C134" s="4" t="s">
        <v>26</v>
      </c>
      <c r="D134" s="5" t="n">
        <f aca="false">COUNTIFS('تفاصيل الفرص'!$B$2:$B$15,$B134,'تفاصيل الفرص'!$D$2:$D$15,$C134)</f>
        <v>0</v>
      </c>
      <c r="E134" s="5" t="n">
        <f aca="false">COUNTIFS('تفاصيل الفرص'!$B$2:$B$15,$B134,'تفاصيل الفرص'!$D$2:$D$15,$C134,'تفاصيل الفرص'!$X$2:$X$15,0)</f>
        <v>0</v>
      </c>
      <c r="F134" s="5" t="n">
        <f aca="false">COUNTIFS('سجل الأكشنات'!$B$2:$B$57,$B134,'سجل الأكشنات'!$D$2:$D$57,$C134)</f>
        <v>0</v>
      </c>
      <c r="G134" s="5" t="n">
        <f aca="false">COUNTIFS('سجل الأكشنات'!$B$2:$B$57,$B134,'سجل الأكشنات'!$D$2:$D$57,$C134,'سجل الأكشنات'!$H$2:$H$57,"تفصيلي")</f>
        <v>0</v>
      </c>
      <c r="H134" s="5" t="n">
        <f aca="false">F134-G134</f>
        <v>0</v>
      </c>
      <c r="I134" s="5" t="str">
        <f aca="false">IF($B134&gt;"2026-09-02","لا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55</v>
      </c>
      <c r="B135" s="5" t="s">
        <v>72</v>
      </c>
      <c r="C135" s="4" t="s">
        <v>28</v>
      </c>
      <c r="D135" s="5" t="n">
        <f aca="false">COUNTIFS('تفاصيل الفرص'!$B$2:$B$15,$B135,'تفاصيل الفرص'!$D$2:$D$15,$C135)</f>
        <v>0</v>
      </c>
      <c r="E135" s="5" t="n">
        <f aca="false">COUNTIFS('تفاصيل الفرص'!$B$2:$B$15,$B135,'تفاصيل الفرص'!$D$2:$D$15,$C135,'تفاصيل الفرص'!$X$2:$X$15,0)</f>
        <v>0</v>
      </c>
      <c r="F135" s="5" t="n">
        <f aca="false">COUNTIFS('سجل الأكشنات'!$B$2:$B$57,$B135,'سجل الأكشنات'!$D$2:$D$57,$C135)</f>
        <v>0</v>
      </c>
      <c r="G135" s="5" t="n">
        <f aca="false">COUNTIFS('سجل الأكشنات'!$B$2:$B$57,$B135,'سجل الأكشنات'!$D$2:$D$57,$C135,'سجل الأكشنات'!$H$2:$H$57,"تفصيلي")</f>
        <v>0</v>
      </c>
      <c r="H135" s="5" t="n">
        <f aca="false">F135-G135</f>
        <v>0</v>
      </c>
      <c r="I135" s="5" t="str">
        <f aca="false">IF($B135&gt;"2026-09-02","لا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55</v>
      </c>
      <c r="B136" s="5" t="s">
        <v>72</v>
      </c>
      <c r="C136" s="4" t="s">
        <v>30</v>
      </c>
      <c r="D136" s="5" t="n">
        <f aca="false">COUNTIFS('تفاصيل الفرص'!$B$2:$B$15,$B136,'تفاصيل الفرص'!$D$2:$D$15,$C136)</f>
        <v>0</v>
      </c>
      <c r="E136" s="5" t="n">
        <f aca="false">COUNTIFS('تفاصيل الفرص'!$B$2:$B$15,$B136,'تفاصيل الفرص'!$D$2:$D$15,$C136,'تفاصيل الفرص'!$X$2:$X$15,0)</f>
        <v>0</v>
      </c>
      <c r="F136" s="5" t="n">
        <f aca="false">COUNTIFS('سجل الأكشنات'!$B$2:$B$57,$B136,'سجل الأكشنات'!$D$2:$D$57,$C136)</f>
        <v>0</v>
      </c>
      <c r="G136" s="5" t="n">
        <f aca="false">COUNTIFS('سجل الأكشنات'!$B$2:$B$57,$B136,'سجل الأكشنات'!$D$2:$D$57,$C136,'سجل الأكشنات'!$H$2:$H$57,"تفصيلي")</f>
        <v>0</v>
      </c>
      <c r="H136" s="5" t="n">
        <f aca="false">F136-G136</f>
        <v>0</v>
      </c>
      <c r="I136" s="5" t="str">
        <f aca="false">IF($B136&gt;"2026-09-02","لا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12" t="s">
        <v>57</v>
      </c>
      <c r="B137" s="12" t="s">
        <v>73</v>
      </c>
      <c r="C137" s="13" t="s">
        <v>18</v>
      </c>
      <c r="D137" s="12" t="n">
        <f aca="false">COUNTIFS('تفاصيل الفرص'!$B$2:$B$15,$B137,'تفاصيل الفرص'!$D$2:$D$15,$C137)</f>
        <v>0</v>
      </c>
      <c r="E137" s="12" t="n">
        <f aca="false">COUNTIFS('تفاصيل الفرص'!$B$2:$B$15,$B137,'تفاصيل الفرص'!$D$2:$D$15,$C137,'تفاصيل الفرص'!$X$2:$X$15,0)</f>
        <v>0</v>
      </c>
      <c r="F137" s="12" t="n">
        <f aca="false">COUNTIFS('سجل الأكشنات'!$B$2:$B$57,$B137,'سجل الأكشنات'!$D$2:$D$57,$C137)</f>
        <v>0</v>
      </c>
      <c r="G137" s="12" t="n">
        <f aca="false">COUNTIFS('سجل الأكشنات'!$B$2:$B$57,$B137,'سجل الأكشنات'!$D$2:$D$57,$C137,'سجل الأكشنات'!$H$2:$H$57,"تفصيلي")</f>
        <v>0</v>
      </c>
      <c r="H137" s="12" t="n">
        <f aca="false">F137-G137</f>
        <v>0</v>
      </c>
      <c r="I137" s="12" t="str">
        <f aca="false">IF($B137&gt;"2026-09-02","لا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12" t="s">
        <v>57</v>
      </c>
      <c r="B138" s="12" t="s">
        <v>73</v>
      </c>
      <c r="C138" s="13" t="s">
        <v>20</v>
      </c>
      <c r="D138" s="12" t="n">
        <f aca="false">COUNTIFS('تفاصيل الفرص'!$B$2:$B$15,$B138,'تفاصيل الفرص'!$D$2:$D$15,$C138)</f>
        <v>0</v>
      </c>
      <c r="E138" s="12" t="n">
        <f aca="false">COUNTIFS('تفاصيل الفرص'!$B$2:$B$15,$B138,'تفاصيل الفرص'!$D$2:$D$15,$C138,'تفاصيل الفرص'!$X$2:$X$15,0)</f>
        <v>0</v>
      </c>
      <c r="F138" s="12" t="n">
        <f aca="false">COUNTIFS('سجل الأكشنات'!$B$2:$B$57,$B138,'سجل الأكشنات'!$D$2:$D$57,$C138)</f>
        <v>0</v>
      </c>
      <c r="G138" s="12" t="n">
        <f aca="false">COUNTIFS('سجل الأكشنات'!$B$2:$B$57,$B138,'سجل الأكشنات'!$D$2:$D$57,$C138,'سجل الأكشنات'!$H$2:$H$57,"تفصيلي")</f>
        <v>0</v>
      </c>
      <c r="H138" s="12" t="n">
        <f aca="false">F138-G138</f>
        <v>0</v>
      </c>
      <c r="I138" s="12" t="str">
        <f aca="false">IF($B138&gt;"2026-09-02","لا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12" t="s">
        <v>57</v>
      </c>
      <c r="B139" s="12" t="s">
        <v>73</v>
      </c>
      <c r="C139" s="13" t="s">
        <v>22</v>
      </c>
      <c r="D139" s="12" t="n">
        <f aca="false">COUNTIFS('تفاصيل الفرص'!$B$2:$B$15,$B139,'تفاصيل الفرص'!$D$2:$D$15,$C139)</f>
        <v>0</v>
      </c>
      <c r="E139" s="12" t="n">
        <f aca="false">COUNTIFS('تفاصيل الفرص'!$B$2:$B$15,$B139,'تفاصيل الفرص'!$D$2:$D$15,$C139,'تفاصيل الفرص'!$X$2:$X$15,0)</f>
        <v>0</v>
      </c>
      <c r="F139" s="12" t="n">
        <f aca="false">COUNTIFS('سجل الأكشنات'!$B$2:$B$57,$B139,'سجل الأكشنات'!$D$2:$D$57,$C139)</f>
        <v>0</v>
      </c>
      <c r="G139" s="12" t="n">
        <f aca="false">COUNTIFS('سجل الأكشنات'!$B$2:$B$57,$B139,'سجل الأكشنات'!$D$2:$D$57,$C139,'سجل الأكشنات'!$H$2:$H$57,"تفصيلي")</f>
        <v>0</v>
      </c>
      <c r="H139" s="12" t="n">
        <f aca="false">F139-G139</f>
        <v>0</v>
      </c>
      <c r="I139" s="12" t="str">
        <f aca="false">IF($B139&gt;"2026-09-02","لا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57</v>
      </c>
      <c r="B140" s="12" t="s">
        <v>73</v>
      </c>
      <c r="C140" s="13" t="s">
        <v>24</v>
      </c>
      <c r="D140" s="12" t="n">
        <f aca="false">COUNTIFS('تفاصيل الفرص'!$B$2:$B$15,$B140,'تفاصيل الفرص'!$D$2:$D$15,$C140)</f>
        <v>0</v>
      </c>
      <c r="E140" s="12" t="n">
        <f aca="false">COUNTIFS('تفاصيل الفرص'!$B$2:$B$15,$B140,'تفاصيل الفرص'!$D$2:$D$15,$C140,'تفاصيل الفرص'!$X$2:$X$15,0)</f>
        <v>0</v>
      </c>
      <c r="F140" s="12" t="n">
        <f aca="false">COUNTIFS('سجل الأكشنات'!$B$2:$B$57,$B140,'سجل الأكشنات'!$D$2:$D$57,$C140)</f>
        <v>0</v>
      </c>
      <c r="G140" s="12" t="n">
        <f aca="false">COUNTIFS('سجل الأكشنات'!$B$2:$B$57,$B140,'سجل الأكشنات'!$D$2:$D$57,$C140,'سجل الأكشنات'!$H$2:$H$57,"تفصيلي")</f>
        <v>0</v>
      </c>
      <c r="H140" s="12" t="n">
        <f aca="false">F140-G140</f>
        <v>0</v>
      </c>
      <c r="I140" s="12" t="str">
        <f aca="false">IF($B140&gt;"2026-09-02","لا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57</v>
      </c>
      <c r="B141" s="12" t="s">
        <v>73</v>
      </c>
      <c r="C141" s="13" t="s">
        <v>26</v>
      </c>
      <c r="D141" s="12" t="n">
        <f aca="false">COUNTIFS('تفاصيل الفرص'!$B$2:$B$15,$B141,'تفاصيل الفرص'!$D$2:$D$15,$C141)</f>
        <v>0</v>
      </c>
      <c r="E141" s="12" t="n">
        <f aca="false">COUNTIFS('تفاصيل الفرص'!$B$2:$B$15,$B141,'تفاصيل الفرص'!$D$2:$D$15,$C141,'تفاصيل الفرص'!$X$2:$X$15,0)</f>
        <v>0</v>
      </c>
      <c r="F141" s="12" t="n">
        <f aca="false">COUNTIFS('سجل الأكشنات'!$B$2:$B$57,$B141,'سجل الأكشنات'!$D$2:$D$57,$C141)</f>
        <v>0</v>
      </c>
      <c r="G141" s="12" t="n">
        <f aca="false">COUNTIFS('سجل الأكشنات'!$B$2:$B$57,$B141,'سجل الأكشنات'!$D$2:$D$57,$C141,'سجل الأكشنات'!$H$2:$H$57,"تفصيلي")</f>
        <v>0</v>
      </c>
      <c r="H141" s="12" t="n">
        <f aca="false">F141-G141</f>
        <v>0</v>
      </c>
      <c r="I141" s="12" t="str">
        <f aca="false">IF($B141&gt;"2026-09-02","لا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57</v>
      </c>
      <c r="B142" s="12" t="s">
        <v>73</v>
      </c>
      <c r="C142" s="13" t="s">
        <v>28</v>
      </c>
      <c r="D142" s="12" t="n">
        <f aca="false">COUNTIFS('تفاصيل الفرص'!$B$2:$B$15,$B142,'تفاصيل الفرص'!$D$2:$D$15,$C142)</f>
        <v>0</v>
      </c>
      <c r="E142" s="12" t="n">
        <f aca="false">COUNTIFS('تفاصيل الفرص'!$B$2:$B$15,$B142,'تفاصيل الفرص'!$D$2:$D$15,$C142,'تفاصيل الفرص'!$X$2:$X$15,0)</f>
        <v>0</v>
      </c>
      <c r="F142" s="12" t="n">
        <f aca="false">COUNTIFS('سجل الأكشنات'!$B$2:$B$57,$B142,'سجل الأكشنات'!$D$2:$D$57,$C142)</f>
        <v>0</v>
      </c>
      <c r="G142" s="12" t="n">
        <f aca="false">COUNTIFS('سجل الأكشنات'!$B$2:$B$57,$B142,'سجل الأكشنات'!$D$2:$D$57,$C142,'سجل الأكشنات'!$H$2:$H$57,"تفصيلي")</f>
        <v>0</v>
      </c>
      <c r="H142" s="12" t="n">
        <f aca="false">F142-G142</f>
        <v>0</v>
      </c>
      <c r="I142" s="12" t="str">
        <f aca="false">IF($B142&gt;"2026-09-02","لا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57</v>
      </c>
      <c r="B143" s="12" t="s">
        <v>73</v>
      </c>
      <c r="C143" s="13" t="s">
        <v>30</v>
      </c>
      <c r="D143" s="12" t="n">
        <f aca="false">COUNTIFS('تفاصيل الفرص'!$B$2:$B$15,$B143,'تفاصيل الفرص'!$D$2:$D$15,$C143)</f>
        <v>0</v>
      </c>
      <c r="E143" s="12" t="n">
        <f aca="false">COUNTIFS('تفاصيل الفرص'!$B$2:$B$15,$B143,'تفاصيل الفرص'!$D$2:$D$15,$C143,'تفاصيل الفرص'!$X$2:$X$15,0)</f>
        <v>0</v>
      </c>
      <c r="F143" s="12" t="n">
        <f aca="false">COUNTIFS('سجل الأكشنات'!$B$2:$B$57,$B143,'سجل الأكشنات'!$D$2:$D$57,$C143)</f>
        <v>0</v>
      </c>
      <c r="G143" s="12" t="n">
        <f aca="false">COUNTIFS('سجل الأكشنات'!$B$2:$B$57,$B143,'سجل الأكشنات'!$D$2:$D$57,$C143,'سجل الأكشنات'!$H$2:$H$57,"تفصيلي")</f>
        <v>0</v>
      </c>
      <c r="H143" s="12" t="n">
        <f aca="false">F143-G143</f>
        <v>0</v>
      </c>
      <c r="I143" s="12" t="str">
        <f aca="false">IF($B143&gt;"2026-09-02","لا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5" t="s">
        <v>59</v>
      </c>
      <c r="B144" s="5" t="s">
        <v>74</v>
      </c>
      <c r="C144" s="4" t="s">
        <v>18</v>
      </c>
      <c r="D144" s="5" t="n">
        <f aca="false">COUNTIFS('تفاصيل الفرص'!$B$2:$B$15,$B144,'تفاصيل الفرص'!$D$2:$D$15,$C144)</f>
        <v>0</v>
      </c>
      <c r="E144" s="5" t="n">
        <f aca="false">COUNTIFS('تفاصيل الفرص'!$B$2:$B$15,$B144,'تفاصيل الفرص'!$D$2:$D$15,$C144,'تفاصيل الفرص'!$X$2:$X$15,0)</f>
        <v>0</v>
      </c>
      <c r="F144" s="5" t="n">
        <f aca="false">COUNTIFS('سجل الأكشنات'!$B$2:$B$57,$B144,'سجل الأكشنات'!$D$2:$D$57,$C144)</f>
        <v>0</v>
      </c>
      <c r="G144" s="5" t="n">
        <f aca="false">COUNTIFS('سجل الأكشنات'!$B$2:$B$57,$B144,'سجل الأكشنات'!$D$2:$D$57,$C144,'سجل الأكشنات'!$H$2:$H$57,"تفصيلي")</f>
        <v>0</v>
      </c>
      <c r="H144" s="5" t="n">
        <f aca="false">F144-G144</f>
        <v>0</v>
      </c>
      <c r="I144" s="5" t="str">
        <f aca="false">IF($B144&gt;"2026-09-02","لا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5" t="s">
        <v>59</v>
      </c>
      <c r="B145" s="5" t="s">
        <v>74</v>
      </c>
      <c r="C145" s="4" t="s">
        <v>20</v>
      </c>
      <c r="D145" s="5" t="n">
        <f aca="false">COUNTIFS('تفاصيل الفرص'!$B$2:$B$15,$B145,'تفاصيل الفرص'!$D$2:$D$15,$C145)</f>
        <v>0</v>
      </c>
      <c r="E145" s="5" t="n">
        <f aca="false">COUNTIFS('تفاصيل الفرص'!$B$2:$B$15,$B145,'تفاصيل الفرص'!$D$2:$D$15,$C145,'تفاصيل الفرص'!$X$2:$X$15,0)</f>
        <v>0</v>
      </c>
      <c r="F145" s="5" t="n">
        <f aca="false">COUNTIFS('سجل الأكشنات'!$B$2:$B$57,$B145,'سجل الأكشنات'!$D$2:$D$57,$C145)</f>
        <v>0</v>
      </c>
      <c r="G145" s="5" t="n">
        <f aca="false">COUNTIFS('سجل الأكشنات'!$B$2:$B$57,$B145,'سجل الأكشنات'!$D$2:$D$57,$C145,'سجل الأكشنات'!$H$2:$H$57,"تفصيلي")</f>
        <v>0</v>
      </c>
      <c r="H145" s="5" t="n">
        <f aca="false">F145-G145</f>
        <v>0</v>
      </c>
      <c r="I145" s="5" t="str">
        <f aca="false">IF($B145&gt;"2026-09-02","لا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5" t="s">
        <v>59</v>
      </c>
      <c r="B146" s="5" t="s">
        <v>74</v>
      </c>
      <c r="C146" s="4" t="s">
        <v>22</v>
      </c>
      <c r="D146" s="5" t="n">
        <f aca="false">COUNTIFS('تفاصيل الفرص'!$B$2:$B$15,$B146,'تفاصيل الفرص'!$D$2:$D$15,$C146)</f>
        <v>0</v>
      </c>
      <c r="E146" s="5" t="n">
        <f aca="false">COUNTIFS('تفاصيل الفرص'!$B$2:$B$15,$B146,'تفاصيل الفرص'!$D$2:$D$15,$C146,'تفاصيل الفرص'!$X$2:$X$15,0)</f>
        <v>0</v>
      </c>
      <c r="F146" s="5" t="n">
        <f aca="false">COUNTIFS('سجل الأكشنات'!$B$2:$B$57,$B146,'سجل الأكشنات'!$D$2:$D$57,$C146)</f>
        <v>0</v>
      </c>
      <c r="G146" s="5" t="n">
        <f aca="false">COUNTIFS('سجل الأكشنات'!$B$2:$B$57,$B146,'سجل الأكشنات'!$D$2:$D$57,$C146,'سجل الأكشنات'!$H$2:$H$57,"تفصيلي")</f>
        <v>0</v>
      </c>
      <c r="H146" s="5" t="n">
        <f aca="false">F146-G146</f>
        <v>0</v>
      </c>
      <c r="I146" s="5" t="str">
        <f aca="false">IF($B146&gt;"2026-09-02","لا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5" t="s">
        <v>59</v>
      </c>
      <c r="B147" s="5" t="s">
        <v>74</v>
      </c>
      <c r="C147" s="4" t="s">
        <v>24</v>
      </c>
      <c r="D147" s="5" t="n">
        <f aca="false">COUNTIFS('تفاصيل الفرص'!$B$2:$B$15,$B147,'تفاصيل الفرص'!$D$2:$D$15,$C147)</f>
        <v>0</v>
      </c>
      <c r="E147" s="5" t="n">
        <f aca="false">COUNTIFS('تفاصيل الفرص'!$B$2:$B$15,$B147,'تفاصيل الفرص'!$D$2:$D$15,$C147,'تفاصيل الفرص'!$X$2:$X$15,0)</f>
        <v>0</v>
      </c>
      <c r="F147" s="5" t="n">
        <f aca="false">COUNTIFS('سجل الأكشنات'!$B$2:$B$57,$B147,'سجل الأكشنات'!$D$2:$D$57,$C147)</f>
        <v>0</v>
      </c>
      <c r="G147" s="5" t="n">
        <f aca="false">COUNTIFS('سجل الأكشنات'!$B$2:$B$57,$B147,'سجل الأكشنات'!$D$2:$D$57,$C147,'سجل الأكشنات'!$H$2:$H$57,"تفصيلي")</f>
        <v>0</v>
      </c>
      <c r="H147" s="5" t="n">
        <f aca="false">F147-G147</f>
        <v>0</v>
      </c>
      <c r="I147" s="5" t="str">
        <f aca="false">IF($B147&gt;"2026-09-02","لا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59</v>
      </c>
      <c r="B148" s="5" t="s">
        <v>74</v>
      </c>
      <c r="C148" s="4" t="s">
        <v>26</v>
      </c>
      <c r="D148" s="5" t="n">
        <f aca="false">COUNTIFS('تفاصيل الفرص'!$B$2:$B$15,$B148,'تفاصيل الفرص'!$D$2:$D$15,$C148)</f>
        <v>0</v>
      </c>
      <c r="E148" s="5" t="n">
        <f aca="false">COUNTIFS('تفاصيل الفرص'!$B$2:$B$15,$B148,'تفاصيل الفرص'!$D$2:$D$15,$C148,'تفاصيل الفرص'!$X$2:$X$15,0)</f>
        <v>0</v>
      </c>
      <c r="F148" s="5" t="n">
        <f aca="false">COUNTIFS('سجل الأكشنات'!$B$2:$B$57,$B148,'سجل الأكشنات'!$D$2:$D$57,$C148)</f>
        <v>0</v>
      </c>
      <c r="G148" s="5" t="n">
        <f aca="false">COUNTIFS('سجل الأكشنات'!$B$2:$B$57,$B148,'سجل الأكشنات'!$D$2:$D$57,$C148,'سجل الأكشنات'!$H$2:$H$57,"تفصيلي")</f>
        <v>0</v>
      </c>
      <c r="H148" s="5" t="n">
        <f aca="false">F148-G148</f>
        <v>0</v>
      </c>
      <c r="I148" s="5" t="str">
        <f aca="false">IF($B148&gt;"2026-09-02","لا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59</v>
      </c>
      <c r="B149" s="5" t="s">
        <v>74</v>
      </c>
      <c r="C149" s="4" t="s">
        <v>28</v>
      </c>
      <c r="D149" s="5" t="n">
        <f aca="false">COUNTIFS('تفاصيل الفرص'!$B$2:$B$15,$B149,'تفاصيل الفرص'!$D$2:$D$15,$C149)</f>
        <v>0</v>
      </c>
      <c r="E149" s="5" t="n">
        <f aca="false">COUNTIFS('تفاصيل الفرص'!$B$2:$B$15,$B149,'تفاصيل الفرص'!$D$2:$D$15,$C149,'تفاصيل الفرص'!$X$2:$X$15,0)</f>
        <v>0</v>
      </c>
      <c r="F149" s="5" t="n">
        <f aca="false">COUNTIFS('سجل الأكشنات'!$B$2:$B$57,$B149,'سجل الأكشنات'!$D$2:$D$57,$C149)</f>
        <v>0</v>
      </c>
      <c r="G149" s="5" t="n">
        <f aca="false">COUNTIFS('سجل الأكشنات'!$B$2:$B$57,$B149,'سجل الأكشنات'!$D$2:$D$57,$C149,'سجل الأكشنات'!$H$2:$H$57,"تفصيلي")</f>
        <v>0</v>
      </c>
      <c r="H149" s="5" t="n">
        <f aca="false">F149-G149</f>
        <v>0</v>
      </c>
      <c r="I149" s="5" t="str">
        <f aca="false">IF($B149&gt;"2026-09-02","لا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59</v>
      </c>
      <c r="B150" s="5" t="s">
        <v>74</v>
      </c>
      <c r="C150" s="4" t="s">
        <v>30</v>
      </c>
      <c r="D150" s="5" t="n">
        <f aca="false">COUNTIFS('تفاصيل الفرص'!$B$2:$B$15,$B150,'تفاصيل الفرص'!$D$2:$D$15,$C150)</f>
        <v>0</v>
      </c>
      <c r="E150" s="5" t="n">
        <f aca="false">COUNTIFS('تفاصيل الفرص'!$B$2:$B$15,$B150,'تفاصيل الفرص'!$D$2:$D$15,$C150,'تفاصيل الفرص'!$X$2:$X$15,0)</f>
        <v>0</v>
      </c>
      <c r="F150" s="5" t="n">
        <f aca="false">COUNTIFS('سجل الأكشنات'!$B$2:$B$57,$B150,'سجل الأكشنات'!$D$2:$D$57,$C150)</f>
        <v>0</v>
      </c>
      <c r="G150" s="5" t="n">
        <f aca="false">COUNTIFS('سجل الأكشنات'!$B$2:$B$57,$B150,'سجل الأكشنات'!$D$2:$D$57,$C150,'سجل الأكشنات'!$H$2:$H$57,"تفصيلي")</f>
        <v>0</v>
      </c>
      <c r="H150" s="5" t="n">
        <f aca="false">F150-G150</f>
        <v>0</v>
      </c>
      <c r="I150" s="5" t="str">
        <f aca="false">IF($B150&gt;"2026-09-02","لا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12" t="s">
        <v>47</v>
      </c>
      <c r="B151" s="12" t="s">
        <v>75</v>
      </c>
      <c r="C151" s="13" t="s">
        <v>18</v>
      </c>
      <c r="D151" s="12" t="n">
        <f aca="false">COUNTIFS('تفاصيل الفرص'!$B$2:$B$15,$B151,'تفاصيل الفرص'!$D$2:$D$15,$C151)</f>
        <v>0</v>
      </c>
      <c r="E151" s="12" t="n">
        <f aca="false">COUNTIFS('تفاصيل الفرص'!$B$2:$B$15,$B151,'تفاصيل الفرص'!$D$2:$D$15,$C151,'تفاصيل الفرص'!$X$2:$X$15,0)</f>
        <v>0</v>
      </c>
      <c r="F151" s="12" t="n">
        <f aca="false">COUNTIFS('سجل الأكشنات'!$B$2:$B$57,$B151,'سجل الأكشنات'!$D$2:$D$57,$C151)</f>
        <v>0</v>
      </c>
      <c r="G151" s="12" t="n">
        <f aca="false">COUNTIFS('سجل الأكشنات'!$B$2:$B$57,$B151,'سجل الأكشنات'!$D$2:$D$57,$C151,'سجل الأكشنات'!$H$2:$H$57,"تفصيلي")</f>
        <v>0</v>
      </c>
      <c r="H151" s="12" t="n">
        <f aca="false">F151-G151</f>
        <v>0</v>
      </c>
      <c r="I151" s="12" t="str">
        <f aca="false">IF($B151&gt;"2026-09-02","لا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12" t="s">
        <v>47</v>
      </c>
      <c r="B152" s="12" t="s">
        <v>75</v>
      </c>
      <c r="C152" s="13" t="s">
        <v>20</v>
      </c>
      <c r="D152" s="12" t="n">
        <f aca="false">COUNTIFS('تفاصيل الفرص'!$B$2:$B$15,$B152,'تفاصيل الفرص'!$D$2:$D$15,$C152)</f>
        <v>0</v>
      </c>
      <c r="E152" s="12" t="n">
        <f aca="false">COUNTIFS('تفاصيل الفرص'!$B$2:$B$15,$B152,'تفاصيل الفرص'!$D$2:$D$15,$C152,'تفاصيل الفرص'!$X$2:$X$15,0)</f>
        <v>0</v>
      </c>
      <c r="F152" s="12" t="n">
        <f aca="false">COUNTIFS('سجل الأكشنات'!$B$2:$B$57,$B152,'سجل الأكشنات'!$D$2:$D$57,$C152)</f>
        <v>0</v>
      </c>
      <c r="G152" s="12" t="n">
        <f aca="false">COUNTIFS('سجل الأكشنات'!$B$2:$B$57,$B152,'سجل الأكشنات'!$D$2:$D$57,$C152,'سجل الأكشنات'!$H$2:$H$57,"تفصيلي")</f>
        <v>0</v>
      </c>
      <c r="H152" s="12" t="n">
        <f aca="false">F152-G152</f>
        <v>0</v>
      </c>
      <c r="I152" s="12" t="str">
        <f aca="false">IF($B152&gt;"2026-09-02","لا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12" t="s">
        <v>47</v>
      </c>
      <c r="B153" s="12" t="s">
        <v>75</v>
      </c>
      <c r="C153" s="13" t="s">
        <v>22</v>
      </c>
      <c r="D153" s="12" t="n">
        <f aca="false">COUNTIFS('تفاصيل الفرص'!$B$2:$B$15,$B153,'تفاصيل الفرص'!$D$2:$D$15,$C153)</f>
        <v>0</v>
      </c>
      <c r="E153" s="12" t="n">
        <f aca="false">COUNTIFS('تفاصيل الفرص'!$B$2:$B$15,$B153,'تفاصيل الفرص'!$D$2:$D$15,$C153,'تفاصيل الفرص'!$X$2:$X$15,0)</f>
        <v>0</v>
      </c>
      <c r="F153" s="12" t="n">
        <f aca="false">COUNTIFS('سجل الأكشنات'!$B$2:$B$57,$B153,'سجل الأكشنات'!$D$2:$D$57,$C153)</f>
        <v>0</v>
      </c>
      <c r="G153" s="12" t="n">
        <f aca="false">COUNTIFS('سجل الأكشنات'!$B$2:$B$57,$B153,'سجل الأكشنات'!$D$2:$D$57,$C153,'سجل الأكشنات'!$H$2:$H$57,"تفصيلي")</f>
        <v>0</v>
      </c>
      <c r="H153" s="12" t="n">
        <f aca="false">F153-G153</f>
        <v>0</v>
      </c>
      <c r="I153" s="12" t="str">
        <f aca="false">IF($B153&gt;"2026-09-02","لا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12" t="s">
        <v>47</v>
      </c>
      <c r="B154" s="12" t="s">
        <v>75</v>
      </c>
      <c r="C154" s="13" t="s">
        <v>24</v>
      </c>
      <c r="D154" s="12" t="n">
        <f aca="false">COUNTIFS('تفاصيل الفرص'!$B$2:$B$15,$B154,'تفاصيل الفرص'!$D$2:$D$15,$C154)</f>
        <v>0</v>
      </c>
      <c r="E154" s="12" t="n">
        <f aca="false">COUNTIFS('تفاصيل الفرص'!$B$2:$B$15,$B154,'تفاصيل الفرص'!$D$2:$D$15,$C154,'تفاصيل الفرص'!$X$2:$X$15,0)</f>
        <v>0</v>
      </c>
      <c r="F154" s="12" t="n">
        <f aca="false">COUNTIFS('سجل الأكشنات'!$B$2:$B$57,$B154,'سجل الأكشنات'!$D$2:$D$57,$C154)</f>
        <v>0</v>
      </c>
      <c r="G154" s="12" t="n">
        <f aca="false">COUNTIFS('سجل الأكشنات'!$B$2:$B$57,$B154,'سجل الأكشنات'!$D$2:$D$57,$C154,'سجل الأكشنات'!$H$2:$H$57,"تفصيلي")</f>
        <v>0</v>
      </c>
      <c r="H154" s="12" t="n">
        <f aca="false">F154-G154</f>
        <v>0</v>
      </c>
      <c r="I154" s="12" t="str">
        <f aca="false">IF($B154&gt;"2026-09-02","لا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12" t="s">
        <v>47</v>
      </c>
      <c r="B155" s="12" t="s">
        <v>75</v>
      </c>
      <c r="C155" s="13" t="s">
        <v>26</v>
      </c>
      <c r="D155" s="12" t="n">
        <f aca="false">COUNTIFS('تفاصيل الفرص'!$B$2:$B$15,$B155,'تفاصيل الفرص'!$D$2:$D$15,$C155)</f>
        <v>0</v>
      </c>
      <c r="E155" s="12" t="n">
        <f aca="false">COUNTIFS('تفاصيل الفرص'!$B$2:$B$15,$B155,'تفاصيل الفرص'!$D$2:$D$15,$C155,'تفاصيل الفرص'!$X$2:$X$15,0)</f>
        <v>0</v>
      </c>
      <c r="F155" s="12" t="n">
        <f aca="false">COUNTIFS('سجل الأكشنات'!$B$2:$B$57,$B155,'سجل الأكشنات'!$D$2:$D$57,$C155)</f>
        <v>0</v>
      </c>
      <c r="G155" s="12" t="n">
        <f aca="false">COUNTIFS('سجل الأكشنات'!$B$2:$B$57,$B155,'سجل الأكشنات'!$D$2:$D$57,$C155,'سجل الأكشنات'!$H$2:$H$57,"تفصيلي")</f>
        <v>0</v>
      </c>
      <c r="H155" s="12" t="n">
        <f aca="false">F155-G155</f>
        <v>0</v>
      </c>
      <c r="I155" s="12" t="str">
        <f aca="false">IF($B155&gt;"2026-09-02","لا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12" t="s">
        <v>47</v>
      </c>
      <c r="B156" s="12" t="s">
        <v>75</v>
      </c>
      <c r="C156" s="13" t="s">
        <v>28</v>
      </c>
      <c r="D156" s="12" t="n">
        <f aca="false">COUNTIFS('تفاصيل الفرص'!$B$2:$B$15,$B156,'تفاصيل الفرص'!$D$2:$D$15,$C156)</f>
        <v>0</v>
      </c>
      <c r="E156" s="12" t="n">
        <f aca="false">COUNTIFS('تفاصيل الفرص'!$B$2:$B$15,$B156,'تفاصيل الفرص'!$D$2:$D$15,$C156,'تفاصيل الفرص'!$X$2:$X$15,0)</f>
        <v>0</v>
      </c>
      <c r="F156" s="12" t="n">
        <f aca="false">COUNTIFS('سجل الأكشنات'!$B$2:$B$57,$B156,'سجل الأكشنات'!$D$2:$D$57,$C156)</f>
        <v>0</v>
      </c>
      <c r="G156" s="12" t="n">
        <f aca="false">COUNTIFS('سجل الأكشنات'!$B$2:$B$57,$B156,'سجل الأكشنات'!$D$2:$D$57,$C156,'سجل الأكشنات'!$H$2:$H$57,"تفصيلي")</f>
        <v>0</v>
      </c>
      <c r="H156" s="12" t="n">
        <f aca="false">F156-G156</f>
        <v>0</v>
      </c>
      <c r="I156" s="12" t="str">
        <f aca="false">IF($B156&gt;"2026-09-02","لا توجد بيانات بعد",IF(AND(D156=0,F156=0),"بدون نشاط","نشِط"))</f>
        <v>لا توجد بيانات بعد</v>
      </c>
    </row>
    <row r="157" customFormat="false" ht="15" hidden="false" customHeight="false" outlineLevel="0" collapsed="false">
      <c r="A157" s="12" t="s">
        <v>47</v>
      </c>
      <c r="B157" s="12" t="s">
        <v>75</v>
      </c>
      <c r="C157" s="13" t="s">
        <v>30</v>
      </c>
      <c r="D157" s="12" t="n">
        <f aca="false">COUNTIFS('تفاصيل الفرص'!$B$2:$B$15,$B157,'تفاصيل الفرص'!$D$2:$D$15,$C157)</f>
        <v>0</v>
      </c>
      <c r="E157" s="12" t="n">
        <f aca="false">COUNTIFS('تفاصيل الفرص'!$B$2:$B$15,$B157,'تفاصيل الفرص'!$D$2:$D$15,$C157,'تفاصيل الفرص'!$X$2:$X$15,0)</f>
        <v>0</v>
      </c>
      <c r="F157" s="12" t="n">
        <f aca="false">COUNTIFS('سجل الأكشنات'!$B$2:$B$57,$B157,'سجل الأكشنات'!$D$2:$D$57,$C157)</f>
        <v>0</v>
      </c>
      <c r="G157" s="12" t="n">
        <f aca="false">COUNTIFS('سجل الأكشنات'!$B$2:$B$57,$B157,'سجل الأكشنات'!$D$2:$D$57,$C157,'سجل الأكشنات'!$H$2:$H$57,"تفصيلي")</f>
        <v>0</v>
      </c>
      <c r="H157" s="12" t="n">
        <f aca="false">F157-G157</f>
        <v>0</v>
      </c>
      <c r="I157" s="12" t="str">
        <f aca="false">IF($B157&gt;"2026-09-02","لا توجد بيانات بعد",IF(AND(D157=0,F157=0),"بدون نشاط","نشِط"))</f>
        <v>لا توجد بيانات بعد</v>
      </c>
    </row>
    <row r="158" customFormat="false" ht="15" hidden="false" customHeight="false" outlineLevel="0" collapsed="false">
      <c r="A158" s="5" t="s">
        <v>49</v>
      </c>
      <c r="B158" s="5" t="s">
        <v>76</v>
      </c>
      <c r="C158" s="4" t="s">
        <v>18</v>
      </c>
      <c r="D158" s="5" t="n">
        <f aca="false">COUNTIFS('تفاصيل الفرص'!$B$2:$B$15,$B158,'تفاصيل الفرص'!$D$2:$D$15,$C158)</f>
        <v>0</v>
      </c>
      <c r="E158" s="5" t="n">
        <f aca="false">COUNTIFS('تفاصيل الفرص'!$B$2:$B$15,$B158,'تفاصيل الفرص'!$D$2:$D$15,$C158,'تفاصيل الفرص'!$X$2:$X$15,0)</f>
        <v>0</v>
      </c>
      <c r="F158" s="5" t="n">
        <f aca="false">COUNTIFS('سجل الأكشنات'!$B$2:$B$57,$B158,'سجل الأكشنات'!$D$2:$D$57,$C158)</f>
        <v>0</v>
      </c>
      <c r="G158" s="5" t="n">
        <f aca="false">COUNTIFS('سجل الأكشنات'!$B$2:$B$57,$B158,'سجل الأكشنات'!$D$2:$D$57,$C158,'سجل الأكشنات'!$H$2:$H$57,"تفصيلي")</f>
        <v>0</v>
      </c>
      <c r="H158" s="5" t="n">
        <f aca="false">F158-G158</f>
        <v>0</v>
      </c>
      <c r="I158" s="5" t="str">
        <f aca="false">IF($B158&gt;"2026-09-02","لا توجد بيانات بعد",IF(AND(D158=0,F158=0),"بدون نشاط","نشِط"))</f>
        <v>لا توجد بيانات بعد</v>
      </c>
    </row>
    <row r="159" customFormat="false" ht="15" hidden="false" customHeight="false" outlineLevel="0" collapsed="false">
      <c r="A159" s="5" t="s">
        <v>49</v>
      </c>
      <c r="B159" s="5" t="s">
        <v>76</v>
      </c>
      <c r="C159" s="4" t="s">
        <v>20</v>
      </c>
      <c r="D159" s="5" t="n">
        <f aca="false">COUNTIFS('تفاصيل الفرص'!$B$2:$B$15,$B159,'تفاصيل الفرص'!$D$2:$D$15,$C159)</f>
        <v>0</v>
      </c>
      <c r="E159" s="5" t="n">
        <f aca="false">COUNTIFS('تفاصيل الفرص'!$B$2:$B$15,$B159,'تفاصيل الفرص'!$D$2:$D$15,$C159,'تفاصيل الفرص'!$X$2:$X$15,0)</f>
        <v>0</v>
      </c>
      <c r="F159" s="5" t="n">
        <f aca="false">COUNTIFS('سجل الأكشنات'!$B$2:$B$57,$B159,'سجل الأكشنات'!$D$2:$D$57,$C159)</f>
        <v>0</v>
      </c>
      <c r="G159" s="5" t="n">
        <f aca="false">COUNTIFS('سجل الأكشنات'!$B$2:$B$57,$B159,'سجل الأكشنات'!$D$2:$D$57,$C159,'سجل الأكشنات'!$H$2:$H$57,"تفصيلي")</f>
        <v>0</v>
      </c>
      <c r="H159" s="5" t="n">
        <f aca="false">F159-G159</f>
        <v>0</v>
      </c>
      <c r="I159" s="5" t="str">
        <f aca="false">IF($B159&gt;"2026-09-02","لا توجد بيانات بعد",IF(AND(D159=0,F159=0),"بدون نشاط","نشِط"))</f>
        <v>لا توجد بيانات بعد</v>
      </c>
    </row>
    <row r="160" customFormat="false" ht="15" hidden="false" customHeight="false" outlineLevel="0" collapsed="false">
      <c r="A160" s="5" t="s">
        <v>49</v>
      </c>
      <c r="B160" s="5" t="s">
        <v>76</v>
      </c>
      <c r="C160" s="4" t="s">
        <v>22</v>
      </c>
      <c r="D160" s="5" t="n">
        <f aca="false">COUNTIFS('تفاصيل الفرص'!$B$2:$B$15,$B160,'تفاصيل الفرص'!$D$2:$D$15,$C160)</f>
        <v>0</v>
      </c>
      <c r="E160" s="5" t="n">
        <f aca="false">COUNTIFS('تفاصيل الفرص'!$B$2:$B$15,$B160,'تفاصيل الفرص'!$D$2:$D$15,$C160,'تفاصيل الفرص'!$X$2:$X$15,0)</f>
        <v>0</v>
      </c>
      <c r="F160" s="5" t="n">
        <f aca="false">COUNTIFS('سجل الأكشنات'!$B$2:$B$57,$B160,'سجل الأكشنات'!$D$2:$D$57,$C160)</f>
        <v>0</v>
      </c>
      <c r="G160" s="5" t="n">
        <f aca="false">COUNTIFS('سجل الأكشنات'!$B$2:$B$57,$B160,'سجل الأكشنات'!$D$2:$D$57,$C160,'سجل الأكشنات'!$H$2:$H$57,"تفصيلي")</f>
        <v>0</v>
      </c>
      <c r="H160" s="5" t="n">
        <f aca="false">F160-G160</f>
        <v>0</v>
      </c>
      <c r="I160" s="5" t="str">
        <f aca="false">IF($B160&gt;"2026-09-02","لا توجد بيانات بعد",IF(AND(D160=0,F160=0),"بدون نشاط","نشِط"))</f>
        <v>لا توجد بيانات بعد</v>
      </c>
    </row>
    <row r="161" customFormat="false" ht="15" hidden="false" customHeight="false" outlineLevel="0" collapsed="false">
      <c r="A161" s="5" t="s">
        <v>49</v>
      </c>
      <c r="B161" s="5" t="s">
        <v>76</v>
      </c>
      <c r="C161" s="4" t="s">
        <v>24</v>
      </c>
      <c r="D161" s="5" t="n">
        <f aca="false">COUNTIFS('تفاصيل الفرص'!$B$2:$B$15,$B161,'تفاصيل الفرص'!$D$2:$D$15,$C161)</f>
        <v>0</v>
      </c>
      <c r="E161" s="5" t="n">
        <f aca="false">COUNTIFS('تفاصيل الفرص'!$B$2:$B$15,$B161,'تفاصيل الفرص'!$D$2:$D$15,$C161,'تفاصيل الفرص'!$X$2:$X$15,0)</f>
        <v>0</v>
      </c>
      <c r="F161" s="5" t="n">
        <f aca="false">COUNTIFS('سجل الأكشنات'!$B$2:$B$57,$B161,'سجل الأكشنات'!$D$2:$D$57,$C161)</f>
        <v>0</v>
      </c>
      <c r="G161" s="5" t="n">
        <f aca="false">COUNTIFS('سجل الأكشنات'!$B$2:$B$57,$B161,'سجل الأكشنات'!$D$2:$D$57,$C161,'سجل الأكشنات'!$H$2:$H$57,"تفصيلي")</f>
        <v>0</v>
      </c>
      <c r="H161" s="5" t="n">
        <f aca="false">F161-G161</f>
        <v>0</v>
      </c>
      <c r="I161" s="5" t="str">
        <f aca="false">IF($B161&gt;"2026-09-02","لا توجد بيانات بعد",IF(AND(D161=0,F161=0),"بدون نشاط","نشِط"))</f>
        <v>لا توجد بيانات بعد</v>
      </c>
    </row>
    <row r="162" customFormat="false" ht="15" hidden="false" customHeight="false" outlineLevel="0" collapsed="false">
      <c r="A162" s="5" t="s">
        <v>49</v>
      </c>
      <c r="B162" s="5" t="s">
        <v>76</v>
      </c>
      <c r="C162" s="4" t="s">
        <v>26</v>
      </c>
      <c r="D162" s="5" t="n">
        <f aca="false">COUNTIFS('تفاصيل الفرص'!$B$2:$B$15,$B162,'تفاصيل الفرص'!$D$2:$D$15,$C162)</f>
        <v>0</v>
      </c>
      <c r="E162" s="5" t="n">
        <f aca="false">COUNTIFS('تفاصيل الفرص'!$B$2:$B$15,$B162,'تفاصيل الفرص'!$D$2:$D$15,$C162,'تفاصيل الفرص'!$X$2:$X$15,0)</f>
        <v>0</v>
      </c>
      <c r="F162" s="5" t="n">
        <f aca="false">COUNTIFS('سجل الأكشنات'!$B$2:$B$57,$B162,'سجل الأكشنات'!$D$2:$D$57,$C162)</f>
        <v>0</v>
      </c>
      <c r="G162" s="5" t="n">
        <f aca="false">COUNTIFS('سجل الأكشنات'!$B$2:$B$57,$B162,'سجل الأكشنات'!$D$2:$D$57,$C162,'سجل الأكشنات'!$H$2:$H$57,"تفصيلي")</f>
        <v>0</v>
      </c>
      <c r="H162" s="5" t="n">
        <f aca="false">F162-G162</f>
        <v>0</v>
      </c>
      <c r="I162" s="5" t="str">
        <f aca="false">IF($B162&gt;"2026-09-02","لا توجد بيانات بعد",IF(AND(D162=0,F162=0),"بدون نشاط","نشِط"))</f>
        <v>لا توجد بيانات بعد</v>
      </c>
    </row>
    <row r="163" customFormat="false" ht="15" hidden="false" customHeight="false" outlineLevel="0" collapsed="false">
      <c r="A163" s="5" t="s">
        <v>49</v>
      </c>
      <c r="B163" s="5" t="s">
        <v>76</v>
      </c>
      <c r="C163" s="4" t="s">
        <v>28</v>
      </c>
      <c r="D163" s="5" t="n">
        <f aca="false">COUNTIFS('تفاصيل الفرص'!$B$2:$B$15,$B163,'تفاصيل الفرص'!$D$2:$D$15,$C163)</f>
        <v>0</v>
      </c>
      <c r="E163" s="5" t="n">
        <f aca="false">COUNTIFS('تفاصيل الفرص'!$B$2:$B$15,$B163,'تفاصيل الفرص'!$D$2:$D$15,$C163,'تفاصيل الفرص'!$X$2:$X$15,0)</f>
        <v>0</v>
      </c>
      <c r="F163" s="5" t="n">
        <f aca="false">COUNTIFS('سجل الأكشنات'!$B$2:$B$57,$B163,'سجل الأكشنات'!$D$2:$D$57,$C163)</f>
        <v>0</v>
      </c>
      <c r="G163" s="5" t="n">
        <f aca="false">COUNTIFS('سجل الأكشنات'!$B$2:$B$57,$B163,'سجل الأكشنات'!$D$2:$D$57,$C163,'سجل الأكشنات'!$H$2:$H$57,"تفصيلي")</f>
        <v>0</v>
      </c>
      <c r="H163" s="5" t="n">
        <f aca="false">F163-G163</f>
        <v>0</v>
      </c>
      <c r="I163" s="5" t="str">
        <f aca="false">IF($B163&gt;"2026-09-02","لا توجد بيانات بعد",IF(AND(D163=0,F163=0),"بدون نشاط","نشِط"))</f>
        <v>لا توجد بيانات بعد</v>
      </c>
    </row>
    <row r="164" customFormat="false" ht="15" hidden="false" customHeight="false" outlineLevel="0" collapsed="false">
      <c r="A164" s="5" t="s">
        <v>49</v>
      </c>
      <c r="B164" s="5" t="s">
        <v>76</v>
      </c>
      <c r="C164" s="4" t="s">
        <v>30</v>
      </c>
      <c r="D164" s="5" t="n">
        <f aca="false">COUNTIFS('تفاصيل الفرص'!$B$2:$B$15,$B164,'تفاصيل الفرص'!$D$2:$D$15,$C164)</f>
        <v>0</v>
      </c>
      <c r="E164" s="5" t="n">
        <f aca="false">COUNTIFS('تفاصيل الفرص'!$B$2:$B$15,$B164,'تفاصيل الفرص'!$D$2:$D$15,$C164,'تفاصيل الفرص'!$X$2:$X$15,0)</f>
        <v>0</v>
      </c>
      <c r="F164" s="5" t="n">
        <f aca="false">COUNTIFS('سجل الأكشنات'!$B$2:$B$57,$B164,'سجل الأكشنات'!$D$2:$D$57,$C164)</f>
        <v>0</v>
      </c>
      <c r="G164" s="5" t="n">
        <f aca="false">COUNTIFS('سجل الأكشنات'!$B$2:$B$57,$B164,'سجل الأكشنات'!$D$2:$D$57,$C164,'سجل الأكشنات'!$H$2:$H$57,"تفصيلي")</f>
        <v>0</v>
      </c>
      <c r="H164" s="5" t="n">
        <f aca="false">F164-G164</f>
        <v>0</v>
      </c>
      <c r="I164" s="5" t="str">
        <f aca="false">IF($B164&gt;"2026-09-02","لا توجد بيانات بعد",IF(AND(D164=0,F164=0),"بدون نشاط","نشِط"))</f>
        <v>لا توجد بيانات بعد</v>
      </c>
    </row>
    <row r="165" customFormat="false" ht="15" hidden="false" customHeight="false" outlineLevel="0" collapsed="false">
      <c r="A165" s="12" t="s">
        <v>51</v>
      </c>
      <c r="B165" s="12" t="s">
        <v>77</v>
      </c>
      <c r="C165" s="13" t="s">
        <v>18</v>
      </c>
      <c r="D165" s="12" t="n">
        <f aca="false">COUNTIFS('تفاصيل الفرص'!$B$2:$B$15,$B165,'تفاصيل الفرص'!$D$2:$D$15,$C165)</f>
        <v>0</v>
      </c>
      <c r="E165" s="12" t="n">
        <f aca="false">COUNTIFS('تفاصيل الفرص'!$B$2:$B$15,$B165,'تفاصيل الفرص'!$D$2:$D$15,$C165,'تفاصيل الفرص'!$X$2:$X$15,0)</f>
        <v>0</v>
      </c>
      <c r="F165" s="12" t="n">
        <f aca="false">COUNTIFS('سجل الأكشنات'!$B$2:$B$57,$B165,'سجل الأكشنات'!$D$2:$D$57,$C165)</f>
        <v>0</v>
      </c>
      <c r="G165" s="12" t="n">
        <f aca="false">COUNTIFS('سجل الأكشنات'!$B$2:$B$57,$B165,'سجل الأكشنات'!$D$2:$D$57,$C165,'سجل الأكشنات'!$H$2:$H$57,"تفصيلي")</f>
        <v>0</v>
      </c>
      <c r="H165" s="12" t="n">
        <f aca="false">F165-G165</f>
        <v>0</v>
      </c>
      <c r="I165" s="12" t="str">
        <f aca="false">IF($B165&gt;"2026-09-02","لا توجد بيانات بعد",IF(AND(D165=0,F165=0),"بدون نشاط","نشِط"))</f>
        <v>لا توجد بيانات بعد</v>
      </c>
    </row>
    <row r="166" customFormat="false" ht="15" hidden="false" customHeight="false" outlineLevel="0" collapsed="false">
      <c r="A166" s="12" t="s">
        <v>51</v>
      </c>
      <c r="B166" s="12" t="s">
        <v>77</v>
      </c>
      <c r="C166" s="13" t="s">
        <v>20</v>
      </c>
      <c r="D166" s="12" t="n">
        <f aca="false">COUNTIFS('تفاصيل الفرص'!$B$2:$B$15,$B166,'تفاصيل الفرص'!$D$2:$D$15,$C166)</f>
        <v>0</v>
      </c>
      <c r="E166" s="12" t="n">
        <f aca="false">COUNTIFS('تفاصيل الفرص'!$B$2:$B$15,$B166,'تفاصيل الفرص'!$D$2:$D$15,$C166,'تفاصيل الفرص'!$X$2:$X$15,0)</f>
        <v>0</v>
      </c>
      <c r="F166" s="12" t="n">
        <f aca="false">COUNTIFS('سجل الأكشنات'!$B$2:$B$57,$B166,'سجل الأكشنات'!$D$2:$D$57,$C166)</f>
        <v>0</v>
      </c>
      <c r="G166" s="12" t="n">
        <f aca="false">COUNTIFS('سجل الأكشنات'!$B$2:$B$57,$B166,'سجل الأكشنات'!$D$2:$D$57,$C166,'سجل الأكشنات'!$H$2:$H$57,"تفصيلي")</f>
        <v>0</v>
      </c>
      <c r="H166" s="12" t="n">
        <f aca="false">F166-G166</f>
        <v>0</v>
      </c>
      <c r="I166" s="12" t="str">
        <f aca="false">IF($B166&gt;"2026-09-02","لا توجد بيانات بعد",IF(AND(D166=0,F166=0),"بدون نشاط","نشِط"))</f>
        <v>لا توجد بيانات بعد</v>
      </c>
    </row>
    <row r="167" customFormat="false" ht="15" hidden="false" customHeight="false" outlineLevel="0" collapsed="false">
      <c r="A167" s="12" t="s">
        <v>51</v>
      </c>
      <c r="B167" s="12" t="s">
        <v>77</v>
      </c>
      <c r="C167" s="13" t="s">
        <v>22</v>
      </c>
      <c r="D167" s="12" t="n">
        <f aca="false">COUNTIFS('تفاصيل الفرص'!$B$2:$B$15,$B167,'تفاصيل الفرص'!$D$2:$D$15,$C167)</f>
        <v>0</v>
      </c>
      <c r="E167" s="12" t="n">
        <f aca="false">COUNTIFS('تفاصيل الفرص'!$B$2:$B$15,$B167,'تفاصيل الفرص'!$D$2:$D$15,$C167,'تفاصيل الفرص'!$X$2:$X$15,0)</f>
        <v>0</v>
      </c>
      <c r="F167" s="12" t="n">
        <f aca="false">COUNTIFS('سجل الأكشنات'!$B$2:$B$57,$B167,'سجل الأكشنات'!$D$2:$D$57,$C167)</f>
        <v>0</v>
      </c>
      <c r="G167" s="12" t="n">
        <f aca="false">COUNTIFS('سجل الأكشنات'!$B$2:$B$57,$B167,'سجل الأكشنات'!$D$2:$D$57,$C167,'سجل الأكشنات'!$H$2:$H$57,"تفصيلي")</f>
        <v>0</v>
      </c>
      <c r="H167" s="12" t="n">
        <f aca="false">F167-G167</f>
        <v>0</v>
      </c>
      <c r="I167" s="12" t="str">
        <f aca="false">IF($B167&gt;"2026-09-02","لا توجد بيانات بعد",IF(AND(D167=0,F167=0),"بدون نشاط","نشِط"))</f>
        <v>لا توجد بيانات بعد</v>
      </c>
    </row>
    <row r="168" customFormat="false" ht="15" hidden="false" customHeight="false" outlineLevel="0" collapsed="false">
      <c r="A168" s="12" t="s">
        <v>51</v>
      </c>
      <c r="B168" s="12" t="s">
        <v>77</v>
      </c>
      <c r="C168" s="13" t="s">
        <v>24</v>
      </c>
      <c r="D168" s="12" t="n">
        <f aca="false">COUNTIFS('تفاصيل الفرص'!$B$2:$B$15,$B168,'تفاصيل الفرص'!$D$2:$D$15,$C168)</f>
        <v>0</v>
      </c>
      <c r="E168" s="12" t="n">
        <f aca="false">COUNTIFS('تفاصيل الفرص'!$B$2:$B$15,$B168,'تفاصيل الفرص'!$D$2:$D$15,$C168,'تفاصيل الفرص'!$X$2:$X$15,0)</f>
        <v>0</v>
      </c>
      <c r="F168" s="12" t="n">
        <f aca="false">COUNTIFS('سجل الأكشنات'!$B$2:$B$57,$B168,'سجل الأكشنات'!$D$2:$D$57,$C168)</f>
        <v>0</v>
      </c>
      <c r="G168" s="12" t="n">
        <f aca="false">COUNTIFS('سجل الأكشنات'!$B$2:$B$57,$B168,'سجل الأكشنات'!$D$2:$D$57,$C168,'سجل الأكشنات'!$H$2:$H$57,"تفصيلي")</f>
        <v>0</v>
      </c>
      <c r="H168" s="12" t="n">
        <f aca="false">F168-G168</f>
        <v>0</v>
      </c>
      <c r="I168" s="12" t="str">
        <f aca="false">IF($B168&gt;"2026-09-02","لا توجد بيانات بعد",IF(AND(D168=0,F168=0),"بدون نشاط","نشِط"))</f>
        <v>لا توجد بيانات بعد</v>
      </c>
    </row>
    <row r="169" customFormat="false" ht="15" hidden="false" customHeight="false" outlineLevel="0" collapsed="false">
      <c r="A169" s="12" t="s">
        <v>51</v>
      </c>
      <c r="B169" s="12" t="s">
        <v>77</v>
      </c>
      <c r="C169" s="13" t="s">
        <v>26</v>
      </c>
      <c r="D169" s="12" t="n">
        <f aca="false">COUNTIFS('تفاصيل الفرص'!$B$2:$B$15,$B169,'تفاصيل الفرص'!$D$2:$D$15,$C169)</f>
        <v>0</v>
      </c>
      <c r="E169" s="12" t="n">
        <f aca="false">COUNTIFS('تفاصيل الفرص'!$B$2:$B$15,$B169,'تفاصيل الفرص'!$D$2:$D$15,$C169,'تفاصيل الفرص'!$X$2:$X$15,0)</f>
        <v>0</v>
      </c>
      <c r="F169" s="12" t="n">
        <f aca="false">COUNTIFS('سجل الأكشنات'!$B$2:$B$57,$B169,'سجل الأكشنات'!$D$2:$D$57,$C169)</f>
        <v>0</v>
      </c>
      <c r="G169" s="12" t="n">
        <f aca="false">COUNTIFS('سجل الأكشنات'!$B$2:$B$57,$B169,'سجل الأكشنات'!$D$2:$D$57,$C169,'سجل الأكشنات'!$H$2:$H$57,"تفصيلي")</f>
        <v>0</v>
      </c>
      <c r="H169" s="12" t="n">
        <f aca="false">F169-G169</f>
        <v>0</v>
      </c>
      <c r="I169" s="12" t="str">
        <f aca="false">IF($B169&gt;"2026-09-02","لا توجد بيانات بعد",IF(AND(D169=0,F169=0),"بدون نشاط","نشِط"))</f>
        <v>لا توجد بيانات بعد</v>
      </c>
    </row>
    <row r="170" customFormat="false" ht="15" hidden="false" customHeight="false" outlineLevel="0" collapsed="false">
      <c r="A170" s="12" t="s">
        <v>51</v>
      </c>
      <c r="B170" s="12" t="s">
        <v>77</v>
      </c>
      <c r="C170" s="13" t="s">
        <v>28</v>
      </c>
      <c r="D170" s="12" t="n">
        <f aca="false">COUNTIFS('تفاصيل الفرص'!$B$2:$B$15,$B170,'تفاصيل الفرص'!$D$2:$D$15,$C170)</f>
        <v>0</v>
      </c>
      <c r="E170" s="12" t="n">
        <f aca="false">COUNTIFS('تفاصيل الفرص'!$B$2:$B$15,$B170,'تفاصيل الفرص'!$D$2:$D$15,$C170,'تفاصيل الفرص'!$X$2:$X$15,0)</f>
        <v>0</v>
      </c>
      <c r="F170" s="12" t="n">
        <f aca="false">COUNTIFS('سجل الأكشنات'!$B$2:$B$57,$B170,'سجل الأكشنات'!$D$2:$D$57,$C170)</f>
        <v>0</v>
      </c>
      <c r="G170" s="12" t="n">
        <f aca="false">COUNTIFS('سجل الأكشنات'!$B$2:$B$57,$B170,'سجل الأكشنات'!$D$2:$D$57,$C170,'سجل الأكشنات'!$H$2:$H$57,"تفصيلي")</f>
        <v>0</v>
      </c>
      <c r="H170" s="12" t="n">
        <f aca="false">F170-G170</f>
        <v>0</v>
      </c>
      <c r="I170" s="12" t="str">
        <f aca="false">IF($B170&gt;"2026-09-02","لا توجد بيانات بعد",IF(AND(D170=0,F170=0),"بدون نشاط","نشِط"))</f>
        <v>لا توجد بيانات بعد</v>
      </c>
    </row>
    <row r="171" customFormat="false" ht="15" hidden="false" customHeight="false" outlineLevel="0" collapsed="false">
      <c r="A171" s="12" t="s">
        <v>51</v>
      </c>
      <c r="B171" s="12" t="s">
        <v>77</v>
      </c>
      <c r="C171" s="13" t="s">
        <v>30</v>
      </c>
      <c r="D171" s="12" t="n">
        <f aca="false">COUNTIFS('تفاصيل الفرص'!$B$2:$B$15,$B171,'تفاصيل الفرص'!$D$2:$D$15,$C171)</f>
        <v>0</v>
      </c>
      <c r="E171" s="12" t="n">
        <f aca="false">COUNTIFS('تفاصيل الفرص'!$B$2:$B$15,$B171,'تفاصيل الفرص'!$D$2:$D$15,$C171,'تفاصيل الفرص'!$X$2:$X$15,0)</f>
        <v>0</v>
      </c>
      <c r="F171" s="12" t="n">
        <f aca="false">COUNTIFS('سجل الأكشنات'!$B$2:$B$57,$B171,'سجل الأكشنات'!$D$2:$D$57,$C171)</f>
        <v>0</v>
      </c>
      <c r="G171" s="12" t="n">
        <f aca="false">COUNTIFS('سجل الأكشنات'!$B$2:$B$57,$B171,'سجل الأكشنات'!$D$2:$D$57,$C171,'سجل الأكشنات'!$H$2:$H$57,"تفصيلي")</f>
        <v>0</v>
      </c>
      <c r="H171" s="12" t="n">
        <f aca="false">F171-G171</f>
        <v>0</v>
      </c>
      <c r="I171" s="12" t="str">
        <f aca="false">IF($B171&gt;"2026-09-02","لا توجد بيانات بعد",IF(AND(D171=0,F171=0),"بدون نشاط","نشِط"))</f>
        <v>لا توجد بيانات بعد</v>
      </c>
    </row>
    <row r="172" customFormat="false" ht="15" hidden="false" customHeight="false" outlineLevel="0" collapsed="false">
      <c r="A172" s="5" t="s">
        <v>53</v>
      </c>
      <c r="B172" s="5" t="s">
        <v>78</v>
      </c>
      <c r="C172" s="4" t="s">
        <v>18</v>
      </c>
      <c r="D172" s="5" t="n">
        <f aca="false">COUNTIFS('تفاصيل الفرص'!$B$2:$B$15,$B172,'تفاصيل الفرص'!$D$2:$D$15,$C172)</f>
        <v>0</v>
      </c>
      <c r="E172" s="5" t="n">
        <f aca="false">COUNTIFS('تفاصيل الفرص'!$B$2:$B$15,$B172,'تفاصيل الفرص'!$D$2:$D$15,$C172,'تفاصيل الفرص'!$X$2:$X$15,0)</f>
        <v>0</v>
      </c>
      <c r="F172" s="5" t="n">
        <f aca="false">COUNTIFS('سجل الأكشنات'!$B$2:$B$57,$B172,'سجل الأكشنات'!$D$2:$D$57,$C172)</f>
        <v>0</v>
      </c>
      <c r="G172" s="5" t="n">
        <f aca="false">COUNTIFS('سجل الأكشنات'!$B$2:$B$57,$B172,'سجل الأكشنات'!$D$2:$D$57,$C172,'سجل الأكشنات'!$H$2:$H$57,"تفصيلي")</f>
        <v>0</v>
      </c>
      <c r="H172" s="5" t="n">
        <f aca="false">F172-G172</f>
        <v>0</v>
      </c>
      <c r="I172" s="5" t="str">
        <f aca="false">IF($B172&gt;"2026-09-02","لا توجد بيانات بعد",IF(AND(D172=0,F172=0),"بدون نشاط","نشِط"))</f>
        <v>لا توجد بيانات بعد</v>
      </c>
    </row>
    <row r="173" customFormat="false" ht="15" hidden="false" customHeight="false" outlineLevel="0" collapsed="false">
      <c r="A173" s="5" t="s">
        <v>53</v>
      </c>
      <c r="B173" s="5" t="s">
        <v>78</v>
      </c>
      <c r="C173" s="4" t="s">
        <v>20</v>
      </c>
      <c r="D173" s="5" t="n">
        <f aca="false">COUNTIFS('تفاصيل الفرص'!$B$2:$B$15,$B173,'تفاصيل الفرص'!$D$2:$D$15,$C173)</f>
        <v>0</v>
      </c>
      <c r="E173" s="5" t="n">
        <f aca="false">COUNTIFS('تفاصيل الفرص'!$B$2:$B$15,$B173,'تفاصيل الفرص'!$D$2:$D$15,$C173,'تفاصيل الفرص'!$X$2:$X$15,0)</f>
        <v>0</v>
      </c>
      <c r="F173" s="5" t="n">
        <f aca="false">COUNTIFS('سجل الأكشنات'!$B$2:$B$57,$B173,'سجل الأكشنات'!$D$2:$D$57,$C173)</f>
        <v>0</v>
      </c>
      <c r="G173" s="5" t="n">
        <f aca="false">COUNTIFS('سجل الأكشنات'!$B$2:$B$57,$B173,'سجل الأكشنات'!$D$2:$D$57,$C173,'سجل الأكشنات'!$H$2:$H$57,"تفصيلي")</f>
        <v>0</v>
      </c>
      <c r="H173" s="5" t="n">
        <f aca="false">F173-G173</f>
        <v>0</v>
      </c>
      <c r="I173" s="5" t="str">
        <f aca="false">IF($B173&gt;"2026-09-02","لا توجد بيانات بعد",IF(AND(D173=0,F173=0),"بدون نشاط","نشِط"))</f>
        <v>لا توجد بيانات بعد</v>
      </c>
    </row>
    <row r="174" customFormat="false" ht="15" hidden="false" customHeight="false" outlineLevel="0" collapsed="false">
      <c r="A174" s="5" t="s">
        <v>53</v>
      </c>
      <c r="B174" s="5" t="s">
        <v>78</v>
      </c>
      <c r="C174" s="4" t="s">
        <v>22</v>
      </c>
      <c r="D174" s="5" t="n">
        <f aca="false">COUNTIFS('تفاصيل الفرص'!$B$2:$B$15,$B174,'تفاصيل الفرص'!$D$2:$D$15,$C174)</f>
        <v>0</v>
      </c>
      <c r="E174" s="5" t="n">
        <f aca="false">COUNTIFS('تفاصيل الفرص'!$B$2:$B$15,$B174,'تفاصيل الفرص'!$D$2:$D$15,$C174,'تفاصيل الفرص'!$X$2:$X$15,0)</f>
        <v>0</v>
      </c>
      <c r="F174" s="5" t="n">
        <f aca="false">COUNTIFS('سجل الأكشنات'!$B$2:$B$57,$B174,'سجل الأكشنات'!$D$2:$D$57,$C174)</f>
        <v>0</v>
      </c>
      <c r="G174" s="5" t="n">
        <f aca="false">COUNTIFS('سجل الأكشنات'!$B$2:$B$57,$B174,'سجل الأكشنات'!$D$2:$D$57,$C174,'سجل الأكشنات'!$H$2:$H$57,"تفصيلي")</f>
        <v>0</v>
      </c>
      <c r="H174" s="5" t="n">
        <f aca="false">F174-G174</f>
        <v>0</v>
      </c>
      <c r="I174" s="5" t="str">
        <f aca="false">IF($B174&gt;"2026-09-02","لا توجد بيانات بعد",IF(AND(D174=0,F174=0),"بدون نشاط","نشِط"))</f>
        <v>لا توجد بيانات بعد</v>
      </c>
    </row>
    <row r="175" customFormat="false" ht="15" hidden="false" customHeight="false" outlineLevel="0" collapsed="false">
      <c r="A175" s="5" t="s">
        <v>53</v>
      </c>
      <c r="B175" s="5" t="s">
        <v>78</v>
      </c>
      <c r="C175" s="4" t="s">
        <v>24</v>
      </c>
      <c r="D175" s="5" t="n">
        <f aca="false">COUNTIFS('تفاصيل الفرص'!$B$2:$B$15,$B175,'تفاصيل الفرص'!$D$2:$D$15,$C175)</f>
        <v>0</v>
      </c>
      <c r="E175" s="5" t="n">
        <f aca="false">COUNTIFS('تفاصيل الفرص'!$B$2:$B$15,$B175,'تفاصيل الفرص'!$D$2:$D$15,$C175,'تفاصيل الفرص'!$X$2:$X$15,0)</f>
        <v>0</v>
      </c>
      <c r="F175" s="5" t="n">
        <f aca="false">COUNTIFS('سجل الأكشنات'!$B$2:$B$57,$B175,'سجل الأكشنات'!$D$2:$D$57,$C175)</f>
        <v>0</v>
      </c>
      <c r="G175" s="5" t="n">
        <f aca="false">COUNTIFS('سجل الأكشنات'!$B$2:$B$57,$B175,'سجل الأكشنات'!$D$2:$D$57,$C175,'سجل الأكشنات'!$H$2:$H$57,"تفصيلي")</f>
        <v>0</v>
      </c>
      <c r="H175" s="5" t="n">
        <f aca="false">F175-G175</f>
        <v>0</v>
      </c>
      <c r="I175" s="5" t="str">
        <f aca="false">IF($B175&gt;"2026-09-02","لا توجد بيانات بعد",IF(AND(D175=0,F175=0),"بدون نشاط","نشِط"))</f>
        <v>لا توجد بيانات بعد</v>
      </c>
    </row>
    <row r="176" customFormat="false" ht="15" hidden="false" customHeight="false" outlineLevel="0" collapsed="false">
      <c r="A176" s="5" t="s">
        <v>53</v>
      </c>
      <c r="B176" s="5" t="s">
        <v>78</v>
      </c>
      <c r="C176" s="4" t="s">
        <v>26</v>
      </c>
      <c r="D176" s="5" t="n">
        <f aca="false">COUNTIFS('تفاصيل الفرص'!$B$2:$B$15,$B176,'تفاصيل الفرص'!$D$2:$D$15,$C176)</f>
        <v>0</v>
      </c>
      <c r="E176" s="5" t="n">
        <f aca="false">COUNTIFS('تفاصيل الفرص'!$B$2:$B$15,$B176,'تفاصيل الفرص'!$D$2:$D$15,$C176,'تفاصيل الفرص'!$X$2:$X$15,0)</f>
        <v>0</v>
      </c>
      <c r="F176" s="5" t="n">
        <f aca="false">COUNTIFS('سجل الأكشنات'!$B$2:$B$57,$B176,'سجل الأكشنات'!$D$2:$D$57,$C176)</f>
        <v>0</v>
      </c>
      <c r="G176" s="5" t="n">
        <f aca="false">COUNTIFS('سجل الأكشنات'!$B$2:$B$57,$B176,'سجل الأكشنات'!$D$2:$D$57,$C176,'سجل الأكشنات'!$H$2:$H$57,"تفصيلي")</f>
        <v>0</v>
      </c>
      <c r="H176" s="5" t="n">
        <f aca="false">F176-G176</f>
        <v>0</v>
      </c>
      <c r="I176" s="5" t="str">
        <f aca="false">IF($B176&gt;"2026-09-02","لا توجد بيانات بعد",IF(AND(D176=0,F176=0),"بدون نشاط","نشِط"))</f>
        <v>لا توجد بيانات بعد</v>
      </c>
    </row>
    <row r="177" customFormat="false" ht="15" hidden="false" customHeight="false" outlineLevel="0" collapsed="false">
      <c r="A177" s="5" t="s">
        <v>53</v>
      </c>
      <c r="B177" s="5" t="s">
        <v>78</v>
      </c>
      <c r="C177" s="4" t="s">
        <v>28</v>
      </c>
      <c r="D177" s="5" t="n">
        <f aca="false">COUNTIFS('تفاصيل الفرص'!$B$2:$B$15,$B177,'تفاصيل الفرص'!$D$2:$D$15,$C177)</f>
        <v>0</v>
      </c>
      <c r="E177" s="5" t="n">
        <f aca="false">COUNTIFS('تفاصيل الفرص'!$B$2:$B$15,$B177,'تفاصيل الفرص'!$D$2:$D$15,$C177,'تفاصيل الفرص'!$X$2:$X$15,0)</f>
        <v>0</v>
      </c>
      <c r="F177" s="5" t="n">
        <f aca="false">COUNTIFS('سجل الأكشنات'!$B$2:$B$57,$B177,'سجل الأكشنات'!$D$2:$D$57,$C177)</f>
        <v>0</v>
      </c>
      <c r="G177" s="5" t="n">
        <f aca="false">COUNTIFS('سجل الأكشنات'!$B$2:$B$57,$B177,'سجل الأكشنات'!$D$2:$D$57,$C177,'سجل الأكشنات'!$H$2:$H$57,"تفصيلي")</f>
        <v>0</v>
      </c>
      <c r="H177" s="5" t="n">
        <f aca="false">F177-G177</f>
        <v>0</v>
      </c>
      <c r="I177" s="5" t="str">
        <f aca="false">IF($B177&gt;"2026-09-02","لا توجد بيانات بعد",IF(AND(D177=0,F177=0),"بدون نشاط","نشِط"))</f>
        <v>لا توجد بيانات بعد</v>
      </c>
    </row>
    <row r="178" customFormat="false" ht="15" hidden="false" customHeight="false" outlineLevel="0" collapsed="false">
      <c r="A178" s="5" t="s">
        <v>53</v>
      </c>
      <c r="B178" s="5" t="s">
        <v>78</v>
      </c>
      <c r="C178" s="4" t="s">
        <v>30</v>
      </c>
      <c r="D178" s="5" t="n">
        <f aca="false">COUNTIFS('تفاصيل الفرص'!$B$2:$B$15,$B178,'تفاصيل الفرص'!$D$2:$D$15,$C178)</f>
        <v>0</v>
      </c>
      <c r="E178" s="5" t="n">
        <f aca="false">COUNTIFS('تفاصيل الفرص'!$B$2:$B$15,$B178,'تفاصيل الفرص'!$D$2:$D$15,$C178,'تفاصيل الفرص'!$X$2:$X$15,0)</f>
        <v>0</v>
      </c>
      <c r="F178" s="5" t="n">
        <f aca="false">COUNTIFS('سجل الأكشنات'!$B$2:$B$57,$B178,'سجل الأكشنات'!$D$2:$D$57,$C178)</f>
        <v>0</v>
      </c>
      <c r="G178" s="5" t="n">
        <f aca="false">COUNTIFS('سجل الأكشنات'!$B$2:$B$57,$B178,'سجل الأكشنات'!$D$2:$D$57,$C178,'سجل الأكشنات'!$H$2:$H$57,"تفصيلي")</f>
        <v>0</v>
      </c>
      <c r="H178" s="5" t="n">
        <f aca="false">F178-G178</f>
        <v>0</v>
      </c>
      <c r="I178" s="5" t="str">
        <f aca="false">IF($B178&gt;"2026-09-02","لا توجد بيانات بعد",IF(AND(D178=0,F178=0),"بدون نشاط","نشِط"))</f>
        <v>لا توجد بيانات بعد</v>
      </c>
    </row>
    <row r="179" customFormat="false" ht="15" hidden="false" customHeight="false" outlineLevel="0" collapsed="false">
      <c r="A179" s="12" t="s">
        <v>55</v>
      </c>
      <c r="B179" s="12" t="s">
        <v>79</v>
      </c>
      <c r="C179" s="13" t="s">
        <v>18</v>
      </c>
      <c r="D179" s="12" t="n">
        <f aca="false">COUNTIFS('تفاصيل الفرص'!$B$2:$B$15,$B179,'تفاصيل الفرص'!$D$2:$D$15,$C179)</f>
        <v>0</v>
      </c>
      <c r="E179" s="12" t="n">
        <f aca="false">COUNTIFS('تفاصيل الفرص'!$B$2:$B$15,$B179,'تفاصيل الفرص'!$D$2:$D$15,$C179,'تفاصيل الفرص'!$X$2:$X$15,0)</f>
        <v>0</v>
      </c>
      <c r="F179" s="12" t="n">
        <f aca="false">COUNTIFS('سجل الأكشنات'!$B$2:$B$57,$B179,'سجل الأكشنات'!$D$2:$D$57,$C179)</f>
        <v>0</v>
      </c>
      <c r="G179" s="12" t="n">
        <f aca="false">COUNTIFS('سجل الأكشنات'!$B$2:$B$57,$B179,'سجل الأكشنات'!$D$2:$D$57,$C179,'سجل الأكشنات'!$H$2:$H$57,"تفصيلي")</f>
        <v>0</v>
      </c>
      <c r="H179" s="12" t="n">
        <f aca="false">F179-G179</f>
        <v>0</v>
      </c>
      <c r="I179" s="12" t="str">
        <f aca="false">IF($B179&gt;"2026-09-02","لا توجد بيانات بعد",IF(AND(D179=0,F179=0),"بدون نشاط","نشِط"))</f>
        <v>لا توجد بيانات بعد</v>
      </c>
    </row>
    <row r="180" customFormat="false" ht="15" hidden="false" customHeight="false" outlineLevel="0" collapsed="false">
      <c r="A180" s="12" t="s">
        <v>55</v>
      </c>
      <c r="B180" s="12" t="s">
        <v>79</v>
      </c>
      <c r="C180" s="13" t="s">
        <v>20</v>
      </c>
      <c r="D180" s="12" t="n">
        <f aca="false">COUNTIFS('تفاصيل الفرص'!$B$2:$B$15,$B180,'تفاصيل الفرص'!$D$2:$D$15,$C180)</f>
        <v>0</v>
      </c>
      <c r="E180" s="12" t="n">
        <f aca="false">COUNTIFS('تفاصيل الفرص'!$B$2:$B$15,$B180,'تفاصيل الفرص'!$D$2:$D$15,$C180,'تفاصيل الفرص'!$X$2:$X$15,0)</f>
        <v>0</v>
      </c>
      <c r="F180" s="12" t="n">
        <f aca="false">COUNTIFS('سجل الأكشنات'!$B$2:$B$57,$B180,'سجل الأكشنات'!$D$2:$D$57,$C180)</f>
        <v>0</v>
      </c>
      <c r="G180" s="12" t="n">
        <f aca="false">COUNTIFS('سجل الأكشنات'!$B$2:$B$57,$B180,'سجل الأكشنات'!$D$2:$D$57,$C180,'سجل الأكشنات'!$H$2:$H$57,"تفصيلي")</f>
        <v>0</v>
      </c>
      <c r="H180" s="12" t="n">
        <f aca="false">F180-G180</f>
        <v>0</v>
      </c>
      <c r="I180" s="12" t="str">
        <f aca="false">IF($B180&gt;"2026-09-02","لا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12" t="s">
        <v>55</v>
      </c>
      <c r="B181" s="12" t="s">
        <v>79</v>
      </c>
      <c r="C181" s="13" t="s">
        <v>22</v>
      </c>
      <c r="D181" s="12" t="n">
        <f aca="false">COUNTIFS('تفاصيل الفرص'!$B$2:$B$15,$B181,'تفاصيل الفرص'!$D$2:$D$15,$C181)</f>
        <v>0</v>
      </c>
      <c r="E181" s="12" t="n">
        <f aca="false">COUNTIFS('تفاصيل الفرص'!$B$2:$B$15,$B181,'تفاصيل الفرص'!$D$2:$D$15,$C181,'تفاصيل الفرص'!$X$2:$X$15,0)</f>
        <v>0</v>
      </c>
      <c r="F181" s="12" t="n">
        <f aca="false">COUNTIFS('سجل الأكشنات'!$B$2:$B$57,$B181,'سجل الأكشنات'!$D$2:$D$57,$C181)</f>
        <v>0</v>
      </c>
      <c r="G181" s="12" t="n">
        <f aca="false">COUNTIFS('سجل الأكشنات'!$B$2:$B$57,$B181,'سجل الأكشنات'!$D$2:$D$57,$C181,'سجل الأكشنات'!$H$2:$H$57,"تفصيلي")</f>
        <v>0</v>
      </c>
      <c r="H181" s="12" t="n">
        <f aca="false">F181-G181</f>
        <v>0</v>
      </c>
      <c r="I181" s="12" t="str">
        <f aca="false">IF($B181&gt;"2026-09-02","لا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12" t="s">
        <v>55</v>
      </c>
      <c r="B182" s="12" t="s">
        <v>79</v>
      </c>
      <c r="C182" s="13" t="s">
        <v>24</v>
      </c>
      <c r="D182" s="12" t="n">
        <f aca="false">COUNTIFS('تفاصيل الفرص'!$B$2:$B$15,$B182,'تفاصيل الفرص'!$D$2:$D$15,$C182)</f>
        <v>0</v>
      </c>
      <c r="E182" s="12" t="n">
        <f aca="false">COUNTIFS('تفاصيل الفرص'!$B$2:$B$15,$B182,'تفاصيل الفرص'!$D$2:$D$15,$C182,'تفاصيل الفرص'!$X$2:$X$15,0)</f>
        <v>0</v>
      </c>
      <c r="F182" s="12" t="n">
        <f aca="false">COUNTIFS('سجل الأكشنات'!$B$2:$B$57,$B182,'سجل الأكشنات'!$D$2:$D$57,$C182)</f>
        <v>0</v>
      </c>
      <c r="G182" s="12" t="n">
        <f aca="false">COUNTIFS('سجل الأكشنات'!$B$2:$B$57,$B182,'سجل الأكشنات'!$D$2:$D$57,$C182,'سجل الأكشنات'!$H$2:$H$57,"تفصيلي")</f>
        <v>0</v>
      </c>
      <c r="H182" s="12" t="n">
        <f aca="false">F182-G182</f>
        <v>0</v>
      </c>
      <c r="I182" s="12" t="str">
        <f aca="false">IF($B182&gt;"2026-09-02","لا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12" t="s">
        <v>55</v>
      </c>
      <c r="B183" s="12" t="s">
        <v>79</v>
      </c>
      <c r="C183" s="13" t="s">
        <v>26</v>
      </c>
      <c r="D183" s="12" t="n">
        <f aca="false">COUNTIFS('تفاصيل الفرص'!$B$2:$B$15,$B183,'تفاصيل الفرص'!$D$2:$D$15,$C183)</f>
        <v>0</v>
      </c>
      <c r="E183" s="12" t="n">
        <f aca="false">COUNTIFS('تفاصيل الفرص'!$B$2:$B$15,$B183,'تفاصيل الفرص'!$D$2:$D$15,$C183,'تفاصيل الفرص'!$X$2:$X$15,0)</f>
        <v>0</v>
      </c>
      <c r="F183" s="12" t="n">
        <f aca="false">COUNTIFS('سجل الأكشنات'!$B$2:$B$57,$B183,'سجل الأكشنات'!$D$2:$D$57,$C183)</f>
        <v>0</v>
      </c>
      <c r="G183" s="12" t="n">
        <f aca="false">COUNTIFS('سجل الأكشنات'!$B$2:$B$57,$B183,'سجل الأكشنات'!$D$2:$D$57,$C183,'سجل الأكشنات'!$H$2:$H$57,"تفصيلي")</f>
        <v>0</v>
      </c>
      <c r="H183" s="12" t="n">
        <f aca="false">F183-G183</f>
        <v>0</v>
      </c>
      <c r="I183" s="12" t="str">
        <f aca="false">IF($B183&gt;"2026-09-02","لا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12" t="s">
        <v>55</v>
      </c>
      <c r="B184" s="12" t="s">
        <v>79</v>
      </c>
      <c r="C184" s="13" t="s">
        <v>28</v>
      </c>
      <c r="D184" s="12" t="n">
        <f aca="false">COUNTIFS('تفاصيل الفرص'!$B$2:$B$15,$B184,'تفاصيل الفرص'!$D$2:$D$15,$C184)</f>
        <v>0</v>
      </c>
      <c r="E184" s="12" t="n">
        <f aca="false">COUNTIFS('تفاصيل الفرص'!$B$2:$B$15,$B184,'تفاصيل الفرص'!$D$2:$D$15,$C184,'تفاصيل الفرص'!$X$2:$X$15,0)</f>
        <v>0</v>
      </c>
      <c r="F184" s="12" t="n">
        <f aca="false">COUNTIFS('سجل الأكشنات'!$B$2:$B$57,$B184,'سجل الأكشنات'!$D$2:$D$57,$C184)</f>
        <v>0</v>
      </c>
      <c r="G184" s="12" t="n">
        <f aca="false">COUNTIFS('سجل الأكشنات'!$B$2:$B$57,$B184,'سجل الأكشنات'!$D$2:$D$57,$C184,'سجل الأكشنات'!$H$2:$H$57,"تفصيلي")</f>
        <v>0</v>
      </c>
      <c r="H184" s="12" t="n">
        <f aca="false">F184-G184</f>
        <v>0</v>
      </c>
      <c r="I184" s="12" t="str">
        <f aca="false">IF($B184&gt;"2026-09-02","لا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12" t="s">
        <v>55</v>
      </c>
      <c r="B185" s="12" t="s">
        <v>79</v>
      </c>
      <c r="C185" s="13" t="s">
        <v>30</v>
      </c>
      <c r="D185" s="12" t="n">
        <f aca="false">COUNTIFS('تفاصيل الفرص'!$B$2:$B$15,$B185,'تفاصيل الفرص'!$D$2:$D$15,$C185)</f>
        <v>0</v>
      </c>
      <c r="E185" s="12" t="n">
        <f aca="false">COUNTIFS('تفاصيل الفرص'!$B$2:$B$15,$B185,'تفاصيل الفرص'!$D$2:$D$15,$C185,'تفاصيل الفرص'!$X$2:$X$15,0)</f>
        <v>0</v>
      </c>
      <c r="F185" s="12" t="n">
        <f aca="false">COUNTIFS('سجل الأكشنات'!$B$2:$B$57,$B185,'سجل الأكشنات'!$D$2:$D$57,$C185)</f>
        <v>0</v>
      </c>
      <c r="G185" s="12" t="n">
        <f aca="false">COUNTIFS('سجل الأكشنات'!$B$2:$B$57,$B185,'سجل الأكشنات'!$D$2:$D$57,$C185,'سجل الأكشنات'!$H$2:$H$57,"تفصيلي")</f>
        <v>0</v>
      </c>
      <c r="H185" s="12" t="n">
        <f aca="false">F185-G185</f>
        <v>0</v>
      </c>
      <c r="I185" s="12" t="str">
        <f aca="false">IF($B185&gt;"2026-09-02","لا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57</v>
      </c>
      <c r="B186" s="5" t="s">
        <v>80</v>
      </c>
      <c r="C186" s="4" t="s">
        <v>18</v>
      </c>
      <c r="D186" s="5" t="n">
        <f aca="false">COUNTIFS('تفاصيل الفرص'!$B$2:$B$15,$B186,'تفاصيل الفرص'!$D$2:$D$15,$C186)</f>
        <v>0</v>
      </c>
      <c r="E186" s="5" t="n">
        <f aca="false">COUNTIFS('تفاصيل الفرص'!$B$2:$B$15,$B186,'تفاصيل الفرص'!$D$2:$D$15,$C186,'تفاصيل الفرص'!$X$2:$X$15,0)</f>
        <v>0</v>
      </c>
      <c r="F186" s="5" t="n">
        <f aca="false">COUNTIFS('سجل الأكشنات'!$B$2:$B$57,$B186,'سجل الأكشنات'!$D$2:$D$57,$C186)</f>
        <v>0</v>
      </c>
      <c r="G186" s="5" t="n">
        <f aca="false">COUNTIFS('سجل الأكشنات'!$B$2:$B$57,$B186,'سجل الأكشنات'!$D$2:$D$57,$C186,'سجل الأكشنات'!$H$2:$H$57,"تفصيلي")</f>
        <v>0</v>
      </c>
      <c r="H186" s="5" t="n">
        <f aca="false">F186-G186</f>
        <v>0</v>
      </c>
      <c r="I186" s="5" t="str">
        <f aca="false">IF($B186&gt;"2026-09-02","لا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57</v>
      </c>
      <c r="B187" s="5" t="s">
        <v>80</v>
      </c>
      <c r="C187" s="4" t="s">
        <v>20</v>
      </c>
      <c r="D187" s="5" t="n">
        <f aca="false">COUNTIFS('تفاصيل الفرص'!$B$2:$B$15,$B187,'تفاصيل الفرص'!$D$2:$D$15,$C187)</f>
        <v>0</v>
      </c>
      <c r="E187" s="5" t="n">
        <f aca="false">COUNTIFS('تفاصيل الفرص'!$B$2:$B$15,$B187,'تفاصيل الفرص'!$D$2:$D$15,$C187,'تفاصيل الفرص'!$X$2:$X$15,0)</f>
        <v>0</v>
      </c>
      <c r="F187" s="5" t="n">
        <f aca="false">COUNTIFS('سجل الأكشنات'!$B$2:$B$57,$B187,'سجل الأكشنات'!$D$2:$D$57,$C187)</f>
        <v>0</v>
      </c>
      <c r="G187" s="5" t="n">
        <f aca="false">COUNTIFS('سجل الأكشنات'!$B$2:$B$57,$B187,'سجل الأكشنات'!$D$2:$D$57,$C187,'سجل الأكشنات'!$H$2:$H$57,"تفصيلي")</f>
        <v>0</v>
      </c>
      <c r="H187" s="5" t="n">
        <f aca="false">F187-G187</f>
        <v>0</v>
      </c>
      <c r="I187" s="5" t="str">
        <f aca="false">IF($B187&gt;"2026-09-02","لا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5" t="s">
        <v>57</v>
      </c>
      <c r="B188" s="5" t="s">
        <v>80</v>
      </c>
      <c r="C188" s="4" t="s">
        <v>22</v>
      </c>
      <c r="D188" s="5" t="n">
        <f aca="false">COUNTIFS('تفاصيل الفرص'!$B$2:$B$15,$B188,'تفاصيل الفرص'!$D$2:$D$15,$C188)</f>
        <v>0</v>
      </c>
      <c r="E188" s="5" t="n">
        <f aca="false">COUNTIFS('تفاصيل الفرص'!$B$2:$B$15,$B188,'تفاصيل الفرص'!$D$2:$D$15,$C188,'تفاصيل الفرص'!$X$2:$X$15,0)</f>
        <v>0</v>
      </c>
      <c r="F188" s="5" t="n">
        <f aca="false">COUNTIFS('سجل الأكشنات'!$B$2:$B$57,$B188,'سجل الأكشنات'!$D$2:$D$57,$C188)</f>
        <v>0</v>
      </c>
      <c r="G188" s="5" t="n">
        <f aca="false">COUNTIFS('سجل الأكشنات'!$B$2:$B$57,$B188,'سجل الأكشنات'!$D$2:$D$57,$C188,'سجل الأكشنات'!$H$2:$H$57,"تفصيلي")</f>
        <v>0</v>
      </c>
      <c r="H188" s="5" t="n">
        <f aca="false">F188-G188</f>
        <v>0</v>
      </c>
      <c r="I188" s="5" t="str">
        <f aca="false">IF($B188&gt;"2026-09-02","لا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5" t="s">
        <v>57</v>
      </c>
      <c r="B189" s="5" t="s">
        <v>80</v>
      </c>
      <c r="C189" s="4" t="s">
        <v>24</v>
      </c>
      <c r="D189" s="5" t="n">
        <f aca="false">COUNTIFS('تفاصيل الفرص'!$B$2:$B$15,$B189,'تفاصيل الفرص'!$D$2:$D$15,$C189)</f>
        <v>0</v>
      </c>
      <c r="E189" s="5" t="n">
        <f aca="false">COUNTIFS('تفاصيل الفرص'!$B$2:$B$15,$B189,'تفاصيل الفرص'!$D$2:$D$15,$C189,'تفاصيل الفرص'!$X$2:$X$15,0)</f>
        <v>0</v>
      </c>
      <c r="F189" s="5" t="n">
        <f aca="false">COUNTIFS('سجل الأكشنات'!$B$2:$B$57,$B189,'سجل الأكشنات'!$D$2:$D$57,$C189)</f>
        <v>0</v>
      </c>
      <c r="G189" s="5" t="n">
        <f aca="false">COUNTIFS('سجل الأكشنات'!$B$2:$B$57,$B189,'سجل الأكشنات'!$D$2:$D$57,$C189,'سجل الأكشنات'!$H$2:$H$57,"تفصيلي")</f>
        <v>0</v>
      </c>
      <c r="H189" s="5" t="n">
        <f aca="false">F189-G189</f>
        <v>0</v>
      </c>
      <c r="I189" s="5" t="str">
        <f aca="false">IF($B189&gt;"2026-09-02","لا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5" t="s">
        <v>57</v>
      </c>
      <c r="B190" s="5" t="s">
        <v>80</v>
      </c>
      <c r="C190" s="4" t="s">
        <v>26</v>
      </c>
      <c r="D190" s="5" t="n">
        <f aca="false">COUNTIFS('تفاصيل الفرص'!$B$2:$B$15,$B190,'تفاصيل الفرص'!$D$2:$D$15,$C190)</f>
        <v>0</v>
      </c>
      <c r="E190" s="5" t="n">
        <f aca="false">COUNTIFS('تفاصيل الفرص'!$B$2:$B$15,$B190,'تفاصيل الفرص'!$D$2:$D$15,$C190,'تفاصيل الفرص'!$X$2:$X$15,0)</f>
        <v>0</v>
      </c>
      <c r="F190" s="5" t="n">
        <f aca="false">COUNTIFS('سجل الأكشنات'!$B$2:$B$57,$B190,'سجل الأكشنات'!$D$2:$D$57,$C190)</f>
        <v>0</v>
      </c>
      <c r="G190" s="5" t="n">
        <f aca="false">COUNTIFS('سجل الأكشنات'!$B$2:$B$57,$B190,'سجل الأكشنات'!$D$2:$D$57,$C190,'سجل الأكشنات'!$H$2:$H$57,"تفصيلي")</f>
        <v>0</v>
      </c>
      <c r="H190" s="5" t="n">
        <f aca="false">F190-G190</f>
        <v>0</v>
      </c>
      <c r="I190" s="5" t="str">
        <f aca="false">IF($B190&gt;"2026-09-02","لا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5" t="s">
        <v>57</v>
      </c>
      <c r="B191" s="5" t="s">
        <v>80</v>
      </c>
      <c r="C191" s="4" t="s">
        <v>28</v>
      </c>
      <c r="D191" s="5" t="n">
        <f aca="false">COUNTIFS('تفاصيل الفرص'!$B$2:$B$15,$B191,'تفاصيل الفرص'!$D$2:$D$15,$C191)</f>
        <v>0</v>
      </c>
      <c r="E191" s="5" t="n">
        <f aca="false">COUNTIFS('تفاصيل الفرص'!$B$2:$B$15,$B191,'تفاصيل الفرص'!$D$2:$D$15,$C191,'تفاصيل الفرص'!$X$2:$X$15,0)</f>
        <v>0</v>
      </c>
      <c r="F191" s="5" t="n">
        <f aca="false">COUNTIFS('سجل الأكشنات'!$B$2:$B$57,$B191,'سجل الأكشنات'!$D$2:$D$57,$C191)</f>
        <v>0</v>
      </c>
      <c r="G191" s="5" t="n">
        <f aca="false">COUNTIFS('سجل الأكشنات'!$B$2:$B$57,$B191,'سجل الأكشنات'!$D$2:$D$57,$C191,'سجل الأكشنات'!$H$2:$H$57,"تفصيلي")</f>
        <v>0</v>
      </c>
      <c r="H191" s="5" t="n">
        <f aca="false">F191-G191</f>
        <v>0</v>
      </c>
      <c r="I191" s="5" t="str">
        <f aca="false">IF($B191&gt;"2026-09-02","لا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5" t="s">
        <v>57</v>
      </c>
      <c r="B192" s="5" t="s">
        <v>80</v>
      </c>
      <c r="C192" s="4" t="s">
        <v>30</v>
      </c>
      <c r="D192" s="5" t="n">
        <f aca="false">COUNTIFS('تفاصيل الفرص'!$B$2:$B$15,$B192,'تفاصيل الفرص'!$D$2:$D$15,$C192)</f>
        <v>0</v>
      </c>
      <c r="E192" s="5" t="n">
        <f aca="false">COUNTIFS('تفاصيل الفرص'!$B$2:$B$15,$B192,'تفاصيل الفرص'!$D$2:$D$15,$C192,'تفاصيل الفرص'!$X$2:$X$15,0)</f>
        <v>0</v>
      </c>
      <c r="F192" s="5" t="n">
        <f aca="false">COUNTIFS('سجل الأكشنات'!$B$2:$B$57,$B192,'سجل الأكشنات'!$D$2:$D$57,$C192)</f>
        <v>0</v>
      </c>
      <c r="G192" s="5" t="n">
        <f aca="false">COUNTIFS('سجل الأكشنات'!$B$2:$B$57,$B192,'سجل الأكشنات'!$D$2:$D$57,$C192,'سجل الأكشنات'!$H$2:$H$57,"تفصيلي")</f>
        <v>0</v>
      </c>
      <c r="H192" s="5" t="n">
        <f aca="false">F192-G192</f>
        <v>0</v>
      </c>
      <c r="I192" s="5" t="str">
        <f aca="false">IF($B192&gt;"2026-09-02","لا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59</v>
      </c>
      <c r="B193" s="12" t="s">
        <v>81</v>
      </c>
      <c r="C193" s="13" t="s">
        <v>18</v>
      </c>
      <c r="D193" s="12" t="n">
        <f aca="false">COUNTIFS('تفاصيل الفرص'!$B$2:$B$15,$B193,'تفاصيل الفرص'!$D$2:$D$15,$C193)</f>
        <v>0</v>
      </c>
      <c r="E193" s="12" t="n">
        <f aca="false">COUNTIFS('تفاصيل الفرص'!$B$2:$B$15,$B193,'تفاصيل الفرص'!$D$2:$D$15,$C193,'تفاصيل الفرص'!$X$2:$X$15,0)</f>
        <v>0</v>
      </c>
      <c r="F193" s="12" t="n">
        <f aca="false">COUNTIFS('سجل الأكشنات'!$B$2:$B$57,$B193,'سجل الأكشنات'!$D$2:$D$57,$C193)</f>
        <v>0</v>
      </c>
      <c r="G193" s="12" t="n">
        <f aca="false">COUNTIFS('سجل الأكشنات'!$B$2:$B$57,$B193,'سجل الأكشنات'!$D$2:$D$57,$C193,'سجل الأكشنات'!$H$2:$H$57,"تفصيلي")</f>
        <v>0</v>
      </c>
      <c r="H193" s="12" t="n">
        <f aca="false">F193-G193</f>
        <v>0</v>
      </c>
      <c r="I193" s="12" t="str">
        <f aca="false">IF($B193&gt;"2026-09-02","لا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59</v>
      </c>
      <c r="B194" s="12" t="s">
        <v>81</v>
      </c>
      <c r="C194" s="13" t="s">
        <v>20</v>
      </c>
      <c r="D194" s="12" t="n">
        <f aca="false">COUNTIFS('تفاصيل الفرص'!$B$2:$B$15,$B194,'تفاصيل الفرص'!$D$2:$D$15,$C194)</f>
        <v>0</v>
      </c>
      <c r="E194" s="12" t="n">
        <f aca="false">COUNTIFS('تفاصيل الفرص'!$B$2:$B$15,$B194,'تفاصيل الفرص'!$D$2:$D$15,$C194,'تفاصيل الفرص'!$X$2:$X$15,0)</f>
        <v>0</v>
      </c>
      <c r="F194" s="12" t="n">
        <f aca="false">COUNTIFS('سجل الأكشنات'!$B$2:$B$57,$B194,'سجل الأكشنات'!$D$2:$D$57,$C194)</f>
        <v>0</v>
      </c>
      <c r="G194" s="12" t="n">
        <f aca="false">COUNTIFS('سجل الأكشنات'!$B$2:$B$57,$B194,'سجل الأكشنات'!$D$2:$D$57,$C194,'سجل الأكشنات'!$H$2:$H$57,"تفصيلي")</f>
        <v>0</v>
      </c>
      <c r="H194" s="12" t="n">
        <f aca="false">F194-G194</f>
        <v>0</v>
      </c>
      <c r="I194" s="12" t="str">
        <f aca="false">IF($B194&gt;"2026-09-02","لا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59</v>
      </c>
      <c r="B195" s="12" t="s">
        <v>81</v>
      </c>
      <c r="C195" s="13" t="s">
        <v>22</v>
      </c>
      <c r="D195" s="12" t="n">
        <f aca="false">COUNTIFS('تفاصيل الفرص'!$B$2:$B$15,$B195,'تفاصيل الفرص'!$D$2:$D$15,$C195)</f>
        <v>0</v>
      </c>
      <c r="E195" s="12" t="n">
        <f aca="false">COUNTIFS('تفاصيل الفرص'!$B$2:$B$15,$B195,'تفاصيل الفرص'!$D$2:$D$15,$C195,'تفاصيل الفرص'!$X$2:$X$15,0)</f>
        <v>0</v>
      </c>
      <c r="F195" s="12" t="n">
        <f aca="false">COUNTIFS('سجل الأكشنات'!$B$2:$B$57,$B195,'سجل الأكشنات'!$D$2:$D$57,$C195)</f>
        <v>0</v>
      </c>
      <c r="G195" s="12" t="n">
        <f aca="false">COUNTIFS('سجل الأكشنات'!$B$2:$B$57,$B195,'سجل الأكشنات'!$D$2:$D$57,$C195,'سجل الأكشنات'!$H$2:$H$57,"تفصيلي")</f>
        <v>0</v>
      </c>
      <c r="H195" s="12" t="n">
        <f aca="false">F195-G195</f>
        <v>0</v>
      </c>
      <c r="I195" s="12" t="str">
        <f aca="false">IF($B195&gt;"2026-09-02","لا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12" t="s">
        <v>59</v>
      </c>
      <c r="B196" s="12" t="s">
        <v>81</v>
      </c>
      <c r="C196" s="13" t="s">
        <v>24</v>
      </c>
      <c r="D196" s="12" t="n">
        <f aca="false">COUNTIFS('تفاصيل الفرص'!$B$2:$B$15,$B196,'تفاصيل الفرص'!$D$2:$D$15,$C196)</f>
        <v>0</v>
      </c>
      <c r="E196" s="12" t="n">
        <f aca="false">COUNTIFS('تفاصيل الفرص'!$B$2:$B$15,$B196,'تفاصيل الفرص'!$D$2:$D$15,$C196,'تفاصيل الفرص'!$X$2:$X$15,0)</f>
        <v>0</v>
      </c>
      <c r="F196" s="12" t="n">
        <f aca="false">COUNTIFS('سجل الأكشنات'!$B$2:$B$57,$B196,'سجل الأكشنات'!$D$2:$D$57,$C196)</f>
        <v>0</v>
      </c>
      <c r="G196" s="12" t="n">
        <f aca="false">COUNTIFS('سجل الأكشنات'!$B$2:$B$57,$B196,'سجل الأكشنات'!$D$2:$D$57,$C196,'سجل الأكشنات'!$H$2:$H$57,"تفصيلي")</f>
        <v>0</v>
      </c>
      <c r="H196" s="12" t="n">
        <f aca="false">F196-G196</f>
        <v>0</v>
      </c>
      <c r="I196" s="12" t="str">
        <f aca="false">IF($B196&gt;"2026-09-02","لا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12" t="s">
        <v>59</v>
      </c>
      <c r="B197" s="12" t="s">
        <v>81</v>
      </c>
      <c r="C197" s="13" t="s">
        <v>26</v>
      </c>
      <c r="D197" s="12" t="n">
        <f aca="false">COUNTIFS('تفاصيل الفرص'!$B$2:$B$15,$B197,'تفاصيل الفرص'!$D$2:$D$15,$C197)</f>
        <v>0</v>
      </c>
      <c r="E197" s="12" t="n">
        <f aca="false">COUNTIFS('تفاصيل الفرص'!$B$2:$B$15,$B197,'تفاصيل الفرص'!$D$2:$D$15,$C197,'تفاصيل الفرص'!$X$2:$X$15,0)</f>
        <v>0</v>
      </c>
      <c r="F197" s="12" t="n">
        <f aca="false">COUNTIFS('سجل الأكشنات'!$B$2:$B$57,$B197,'سجل الأكشنات'!$D$2:$D$57,$C197)</f>
        <v>0</v>
      </c>
      <c r="G197" s="12" t="n">
        <f aca="false">COUNTIFS('سجل الأكشنات'!$B$2:$B$57,$B197,'سجل الأكشنات'!$D$2:$D$57,$C197,'سجل الأكشنات'!$H$2:$H$57,"تفصيلي")</f>
        <v>0</v>
      </c>
      <c r="H197" s="12" t="n">
        <f aca="false">F197-G197</f>
        <v>0</v>
      </c>
      <c r="I197" s="12" t="str">
        <f aca="false">IF($B197&gt;"2026-09-02","لا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12" t="s">
        <v>59</v>
      </c>
      <c r="B198" s="12" t="s">
        <v>81</v>
      </c>
      <c r="C198" s="13" t="s">
        <v>28</v>
      </c>
      <c r="D198" s="12" t="n">
        <f aca="false">COUNTIFS('تفاصيل الفرص'!$B$2:$B$15,$B198,'تفاصيل الفرص'!$D$2:$D$15,$C198)</f>
        <v>0</v>
      </c>
      <c r="E198" s="12" t="n">
        <f aca="false">COUNTIFS('تفاصيل الفرص'!$B$2:$B$15,$B198,'تفاصيل الفرص'!$D$2:$D$15,$C198,'تفاصيل الفرص'!$X$2:$X$15,0)</f>
        <v>0</v>
      </c>
      <c r="F198" s="12" t="n">
        <f aca="false">COUNTIFS('سجل الأكشنات'!$B$2:$B$57,$B198,'سجل الأكشنات'!$D$2:$D$57,$C198)</f>
        <v>0</v>
      </c>
      <c r="G198" s="12" t="n">
        <f aca="false">COUNTIFS('سجل الأكشنات'!$B$2:$B$57,$B198,'سجل الأكشنات'!$D$2:$D$57,$C198,'سجل الأكشنات'!$H$2:$H$57,"تفصيلي")</f>
        <v>0</v>
      </c>
      <c r="H198" s="12" t="n">
        <f aca="false">F198-G198</f>
        <v>0</v>
      </c>
      <c r="I198" s="12" t="str">
        <f aca="false">IF($B198&gt;"2026-09-02","لا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12" t="s">
        <v>59</v>
      </c>
      <c r="B199" s="12" t="s">
        <v>81</v>
      </c>
      <c r="C199" s="13" t="s">
        <v>30</v>
      </c>
      <c r="D199" s="12" t="n">
        <f aca="false">COUNTIFS('تفاصيل الفرص'!$B$2:$B$15,$B199,'تفاصيل الفرص'!$D$2:$D$15,$C199)</f>
        <v>0</v>
      </c>
      <c r="E199" s="12" t="n">
        <f aca="false">COUNTIFS('تفاصيل الفرص'!$B$2:$B$15,$B199,'تفاصيل الفرص'!$D$2:$D$15,$C199,'تفاصيل الفرص'!$X$2:$X$15,0)</f>
        <v>0</v>
      </c>
      <c r="F199" s="12" t="n">
        <f aca="false">COUNTIFS('سجل الأكشنات'!$B$2:$B$57,$B199,'سجل الأكشنات'!$D$2:$D$57,$C199)</f>
        <v>0</v>
      </c>
      <c r="G199" s="12" t="n">
        <f aca="false">COUNTIFS('سجل الأكشنات'!$B$2:$B$57,$B199,'سجل الأكشنات'!$D$2:$D$57,$C199,'سجل الأكشنات'!$H$2:$H$57,"تفصيلي")</f>
        <v>0</v>
      </c>
      <c r="H199" s="12" t="n">
        <f aca="false">F199-G199</f>
        <v>0</v>
      </c>
      <c r="I199" s="12" t="str">
        <f aca="false">IF($B199&gt;"2026-09-02","لا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47</v>
      </c>
      <c r="B200" s="5" t="s">
        <v>82</v>
      </c>
      <c r="C200" s="4" t="s">
        <v>18</v>
      </c>
      <c r="D200" s="5" t="n">
        <f aca="false">COUNTIFS('تفاصيل الفرص'!$B$2:$B$15,$B200,'تفاصيل الفرص'!$D$2:$D$15,$C200)</f>
        <v>0</v>
      </c>
      <c r="E200" s="5" t="n">
        <f aca="false">COUNTIFS('تفاصيل الفرص'!$B$2:$B$15,$B200,'تفاصيل الفرص'!$D$2:$D$15,$C200,'تفاصيل الفرص'!$X$2:$X$15,0)</f>
        <v>0</v>
      </c>
      <c r="F200" s="5" t="n">
        <f aca="false">COUNTIFS('سجل الأكشنات'!$B$2:$B$57,$B200,'سجل الأكشنات'!$D$2:$D$57,$C200)</f>
        <v>0</v>
      </c>
      <c r="G200" s="5" t="n">
        <f aca="false">COUNTIFS('سجل الأكشنات'!$B$2:$B$57,$B200,'سجل الأكشنات'!$D$2:$D$57,$C200,'سجل الأكشنات'!$H$2:$H$57,"تفصيلي")</f>
        <v>0</v>
      </c>
      <c r="H200" s="5" t="n">
        <f aca="false">F200-G200</f>
        <v>0</v>
      </c>
      <c r="I200" s="5" t="str">
        <f aca="false">IF($B200&gt;"2026-09-02","لا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47</v>
      </c>
      <c r="B201" s="5" t="s">
        <v>82</v>
      </c>
      <c r="C201" s="4" t="s">
        <v>20</v>
      </c>
      <c r="D201" s="5" t="n">
        <f aca="false">COUNTIFS('تفاصيل الفرص'!$B$2:$B$15,$B201,'تفاصيل الفرص'!$D$2:$D$15,$C201)</f>
        <v>0</v>
      </c>
      <c r="E201" s="5" t="n">
        <f aca="false">COUNTIFS('تفاصيل الفرص'!$B$2:$B$15,$B201,'تفاصيل الفرص'!$D$2:$D$15,$C201,'تفاصيل الفرص'!$X$2:$X$15,0)</f>
        <v>0</v>
      </c>
      <c r="F201" s="5" t="n">
        <f aca="false">COUNTIFS('سجل الأكشنات'!$B$2:$B$57,$B201,'سجل الأكشنات'!$D$2:$D$57,$C201)</f>
        <v>0</v>
      </c>
      <c r="G201" s="5" t="n">
        <f aca="false">COUNTIFS('سجل الأكشنات'!$B$2:$B$57,$B201,'سجل الأكشنات'!$D$2:$D$57,$C201,'سجل الأكشنات'!$H$2:$H$57,"تفصيلي")</f>
        <v>0</v>
      </c>
      <c r="H201" s="5" t="n">
        <f aca="false">F201-G201</f>
        <v>0</v>
      </c>
      <c r="I201" s="5" t="str">
        <f aca="false">IF($B201&gt;"2026-09-02","لا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47</v>
      </c>
      <c r="B202" s="5" t="s">
        <v>82</v>
      </c>
      <c r="C202" s="4" t="s">
        <v>22</v>
      </c>
      <c r="D202" s="5" t="n">
        <f aca="false">COUNTIFS('تفاصيل الفرص'!$B$2:$B$15,$B202,'تفاصيل الفرص'!$D$2:$D$15,$C202)</f>
        <v>0</v>
      </c>
      <c r="E202" s="5" t="n">
        <f aca="false">COUNTIFS('تفاصيل الفرص'!$B$2:$B$15,$B202,'تفاصيل الفرص'!$D$2:$D$15,$C202,'تفاصيل الفرص'!$X$2:$X$15,0)</f>
        <v>0</v>
      </c>
      <c r="F202" s="5" t="n">
        <f aca="false">COUNTIFS('سجل الأكشنات'!$B$2:$B$57,$B202,'سجل الأكشنات'!$D$2:$D$57,$C202)</f>
        <v>0</v>
      </c>
      <c r="G202" s="5" t="n">
        <f aca="false">COUNTIFS('سجل الأكشنات'!$B$2:$B$57,$B202,'سجل الأكشنات'!$D$2:$D$57,$C202,'سجل الأكشنات'!$H$2:$H$57,"تفصيلي")</f>
        <v>0</v>
      </c>
      <c r="H202" s="5" t="n">
        <f aca="false">F202-G202</f>
        <v>0</v>
      </c>
      <c r="I202" s="5" t="str">
        <f aca="false">IF($B202&gt;"2026-09-02","لا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47</v>
      </c>
      <c r="B203" s="5" t="s">
        <v>82</v>
      </c>
      <c r="C203" s="4" t="s">
        <v>24</v>
      </c>
      <c r="D203" s="5" t="n">
        <f aca="false">COUNTIFS('تفاصيل الفرص'!$B$2:$B$15,$B203,'تفاصيل الفرص'!$D$2:$D$15,$C203)</f>
        <v>0</v>
      </c>
      <c r="E203" s="5" t="n">
        <f aca="false">COUNTIFS('تفاصيل الفرص'!$B$2:$B$15,$B203,'تفاصيل الفرص'!$D$2:$D$15,$C203,'تفاصيل الفرص'!$X$2:$X$15,0)</f>
        <v>0</v>
      </c>
      <c r="F203" s="5" t="n">
        <f aca="false">COUNTIFS('سجل الأكشنات'!$B$2:$B$57,$B203,'سجل الأكشنات'!$D$2:$D$57,$C203)</f>
        <v>0</v>
      </c>
      <c r="G203" s="5" t="n">
        <f aca="false">COUNTIFS('سجل الأكشنات'!$B$2:$B$57,$B203,'سجل الأكشنات'!$D$2:$D$57,$C203,'سجل الأكشنات'!$H$2:$H$57,"تفصيلي")</f>
        <v>0</v>
      </c>
      <c r="H203" s="5" t="n">
        <f aca="false">F203-G203</f>
        <v>0</v>
      </c>
      <c r="I203" s="5" t="str">
        <f aca="false">IF($B203&gt;"2026-09-02","لا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5" t="s">
        <v>47</v>
      </c>
      <c r="B204" s="5" t="s">
        <v>82</v>
      </c>
      <c r="C204" s="4" t="s">
        <v>26</v>
      </c>
      <c r="D204" s="5" t="n">
        <f aca="false">COUNTIFS('تفاصيل الفرص'!$B$2:$B$15,$B204,'تفاصيل الفرص'!$D$2:$D$15,$C204)</f>
        <v>0</v>
      </c>
      <c r="E204" s="5" t="n">
        <f aca="false">COUNTIFS('تفاصيل الفرص'!$B$2:$B$15,$B204,'تفاصيل الفرص'!$D$2:$D$15,$C204,'تفاصيل الفرص'!$X$2:$X$15,0)</f>
        <v>0</v>
      </c>
      <c r="F204" s="5" t="n">
        <f aca="false">COUNTIFS('سجل الأكشنات'!$B$2:$B$57,$B204,'سجل الأكشنات'!$D$2:$D$57,$C204)</f>
        <v>0</v>
      </c>
      <c r="G204" s="5" t="n">
        <f aca="false">COUNTIFS('سجل الأكشنات'!$B$2:$B$57,$B204,'سجل الأكشنات'!$D$2:$D$57,$C204,'سجل الأكشنات'!$H$2:$H$57,"تفصيلي")</f>
        <v>0</v>
      </c>
      <c r="H204" s="5" t="n">
        <f aca="false">F204-G204</f>
        <v>0</v>
      </c>
      <c r="I204" s="5" t="str">
        <f aca="false">IF($B204&gt;"2026-09-02","لا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5" t="s">
        <v>47</v>
      </c>
      <c r="B205" s="5" t="s">
        <v>82</v>
      </c>
      <c r="C205" s="4" t="s">
        <v>28</v>
      </c>
      <c r="D205" s="5" t="n">
        <f aca="false">COUNTIFS('تفاصيل الفرص'!$B$2:$B$15,$B205,'تفاصيل الفرص'!$D$2:$D$15,$C205)</f>
        <v>0</v>
      </c>
      <c r="E205" s="5" t="n">
        <f aca="false">COUNTIFS('تفاصيل الفرص'!$B$2:$B$15,$B205,'تفاصيل الفرص'!$D$2:$D$15,$C205,'تفاصيل الفرص'!$X$2:$X$15,0)</f>
        <v>0</v>
      </c>
      <c r="F205" s="5" t="n">
        <f aca="false">COUNTIFS('سجل الأكشنات'!$B$2:$B$57,$B205,'سجل الأكشنات'!$D$2:$D$57,$C205)</f>
        <v>0</v>
      </c>
      <c r="G205" s="5" t="n">
        <f aca="false">COUNTIFS('سجل الأكشنات'!$B$2:$B$57,$B205,'سجل الأكشنات'!$D$2:$D$57,$C205,'سجل الأكشنات'!$H$2:$H$57,"تفصيلي")</f>
        <v>0</v>
      </c>
      <c r="H205" s="5" t="n">
        <f aca="false">F205-G205</f>
        <v>0</v>
      </c>
      <c r="I205" s="5" t="str">
        <f aca="false">IF($B205&gt;"2026-09-02","لا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5" t="s">
        <v>47</v>
      </c>
      <c r="B206" s="5" t="s">
        <v>82</v>
      </c>
      <c r="C206" s="4" t="s">
        <v>30</v>
      </c>
      <c r="D206" s="5" t="n">
        <f aca="false">COUNTIFS('تفاصيل الفرص'!$B$2:$B$15,$B206,'تفاصيل الفرص'!$D$2:$D$15,$C206)</f>
        <v>0</v>
      </c>
      <c r="E206" s="5" t="n">
        <f aca="false">COUNTIFS('تفاصيل الفرص'!$B$2:$B$15,$B206,'تفاصيل الفرص'!$D$2:$D$15,$C206,'تفاصيل الفرص'!$X$2:$X$15,0)</f>
        <v>0</v>
      </c>
      <c r="F206" s="5" t="n">
        <f aca="false">COUNTIFS('سجل الأكشنات'!$B$2:$B$57,$B206,'سجل الأكشنات'!$D$2:$D$57,$C206)</f>
        <v>0</v>
      </c>
      <c r="G206" s="5" t="n">
        <f aca="false">COUNTIFS('سجل الأكشنات'!$B$2:$B$57,$B206,'سجل الأكشنات'!$D$2:$D$57,$C206,'سجل الأكشنات'!$H$2:$H$57,"تفصيلي")</f>
        <v>0</v>
      </c>
      <c r="H206" s="5" t="n">
        <f aca="false">F206-G206</f>
        <v>0</v>
      </c>
      <c r="I206" s="5" t="str">
        <f aca="false">IF($B206&gt;"2026-09-02","لا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49</v>
      </c>
      <c r="B207" s="12" t="s">
        <v>83</v>
      </c>
      <c r="C207" s="13" t="s">
        <v>18</v>
      </c>
      <c r="D207" s="12" t="n">
        <f aca="false">COUNTIFS('تفاصيل الفرص'!$B$2:$B$15,$B207,'تفاصيل الفرص'!$D$2:$D$15,$C207)</f>
        <v>0</v>
      </c>
      <c r="E207" s="12" t="n">
        <f aca="false">COUNTIFS('تفاصيل الفرص'!$B$2:$B$15,$B207,'تفاصيل الفرص'!$D$2:$D$15,$C207,'تفاصيل الفرص'!$X$2:$X$15,0)</f>
        <v>0</v>
      </c>
      <c r="F207" s="12" t="n">
        <f aca="false">COUNTIFS('سجل الأكشنات'!$B$2:$B$57,$B207,'سجل الأكشنات'!$D$2:$D$57,$C207)</f>
        <v>0</v>
      </c>
      <c r="G207" s="12" t="n">
        <f aca="false">COUNTIFS('سجل الأكشنات'!$B$2:$B$57,$B207,'سجل الأكشنات'!$D$2:$D$57,$C207,'سجل الأكشنات'!$H$2:$H$57,"تفصيلي")</f>
        <v>0</v>
      </c>
      <c r="H207" s="12" t="n">
        <f aca="false">F207-G207</f>
        <v>0</v>
      </c>
      <c r="I207" s="12" t="str">
        <f aca="false">IF($B207&gt;"2026-09-02","لا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49</v>
      </c>
      <c r="B208" s="12" t="s">
        <v>83</v>
      </c>
      <c r="C208" s="13" t="s">
        <v>20</v>
      </c>
      <c r="D208" s="12" t="n">
        <f aca="false">COUNTIFS('تفاصيل الفرص'!$B$2:$B$15,$B208,'تفاصيل الفرص'!$D$2:$D$15,$C208)</f>
        <v>0</v>
      </c>
      <c r="E208" s="12" t="n">
        <f aca="false">COUNTIFS('تفاصيل الفرص'!$B$2:$B$15,$B208,'تفاصيل الفرص'!$D$2:$D$15,$C208,'تفاصيل الفرص'!$X$2:$X$15,0)</f>
        <v>0</v>
      </c>
      <c r="F208" s="12" t="n">
        <f aca="false">COUNTIFS('سجل الأكشنات'!$B$2:$B$57,$B208,'سجل الأكشنات'!$D$2:$D$57,$C208)</f>
        <v>0</v>
      </c>
      <c r="G208" s="12" t="n">
        <f aca="false">COUNTIFS('سجل الأكشنات'!$B$2:$B$57,$B208,'سجل الأكشنات'!$D$2:$D$57,$C208,'سجل الأكشنات'!$H$2:$H$57,"تفصيلي")</f>
        <v>0</v>
      </c>
      <c r="H208" s="12" t="n">
        <f aca="false">F208-G208</f>
        <v>0</v>
      </c>
      <c r="I208" s="12" t="str">
        <f aca="false">IF($B208&gt;"2026-09-02","لا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49</v>
      </c>
      <c r="B209" s="12" t="s">
        <v>83</v>
      </c>
      <c r="C209" s="13" t="s">
        <v>22</v>
      </c>
      <c r="D209" s="12" t="n">
        <f aca="false">COUNTIFS('تفاصيل الفرص'!$B$2:$B$15,$B209,'تفاصيل الفرص'!$D$2:$D$15,$C209)</f>
        <v>0</v>
      </c>
      <c r="E209" s="12" t="n">
        <f aca="false">COUNTIFS('تفاصيل الفرص'!$B$2:$B$15,$B209,'تفاصيل الفرص'!$D$2:$D$15,$C209,'تفاصيل الفرص'!$X$2:$X$15,0)</f>
        <v>0</v>
      </c>
      <c r="F209" s="12" t="n">
        <f aca="false">COUNTIFS('سجل الأكشنات'!$B$2:$B$57,$B209,'سجل الأكشنات'!$D$2:$D$57,$C209)</f>
        <v>0</v>
      </c>
      <c r="G209" s="12" t="n">
        <f aca="false">COUNTIFS('سجل الأكشنات'!$B$2:$B$57,$B209,'سجل الأكشنات'!$D$2:$D$57,$C209,'سجل الأكشنات'!$H$2:$H$57,"تفصيلي")</f>
        <v>0</v>
      </c>
      <c r="H209" s="12" t="n">
        <f aca="false">F209-G209</f>
        <v>0</v>
      </c>
      <c r="I209" s="12" t="str">
        <f aca="false">IF($B209&gt;"2026-09-02","لا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49</v>
      </c>
      <c r="B210" s="12" t="s">
        <v>83</v>
      </c>
      <c r="C210" s="13" t="s">
        <v>24</v>
      </c>
      <c r="D210" s="12" t="n">
        <f aca="false">COUNTIFS('تفاصيل الفرص'!$B$2:$B$15,$B210,'تفاصيل الفرص'!$D$2:$D$15,$C210)</f>
        <v>0</v>
      </c>
      <c r="E210" s="12" t="n">
        <f aca="false">COUNTIFS('تفاصيل الفرص'!$B$2:$B$15,$B210,'تفاصيل الفرص'!$D$2:$D$15,$C210,'تفاصيل الفرص'!$X$2:$X$15,0)</f>
        <v>0</v>
      </c>
      <c r="F210" s="12" t="n">
        <f aca="false">COUNTIFS('سجل الأكشنات'!$B$2:$B$57,$B210,'سجل الأكشنات'!$D$2:$D$57,$C210)</f>
        <v>0</v>
      </c>
      <c r="G210" s="12" t="n">
        <f aca="false">COUNTIFS('سجل الأكشنات'!$B$2:$B$57,$B210,'سجل الأكشنات'!$D$2:$D$57,$C210,'سجل الأكشنات'!$H$2:$H$57,"تفصيلي")</f>
        <v>0</v>
      </c>
      <c r="H210" s="12" t="n">
        <f aca="false">F210-G210</f>
        <v>0</v>
      </c>
      <c r="I210" s="12" t="str">
        <f aca="false">IF($B210&gt;"2026-09-02","لا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49</v>
      </c>
      <c r="B211" s="12" t="s">
        <v>83</v>
      </c>
      <c r="C211" s="13" t="s">
        <v>26</v>
      </c>
      <c r="D211" s="12" t="n">
        <f aca="false">COUNTIFS('تفاصيل الفرص'!$B$2:$B$15,$B211,'تفاصيل الفرص'!$D$2:$D$15,$C211)</f>
        <v>0</v>
      </c>
      <c r="E211" s="12" t="n">
        <f aca="false">COUNTIFS('تفاصيل الفرص'!$B$2:$B$15,$B211,'تفاصيل الفرص'!$D$2:$D$15,$C211,'تفاصيل الفرص'!$X$2:$X$15,0)</f>
        <v>0</v>
      </c>
      <c r="F211" s="12" t="n">
        <f aca="false">COUNTIFS('سجل الأكشنات'!$B$2:$B$57,$B211,'سجل الأكشنات'!$D$2:$D$57,$C211)</f>
        <v>0</v>
      </c>
      <c r="G211" s="12" t="n">
        <f aca="false">COUNTIFS('سجل الأكشنات'!$B$2:$B$57,$B211,'سجل الأكشنات'!$D$2:$D$57,$C211,'سجل الأكشنات'!$H$2:$H$57,"تفصيلي")</f>
        <v>0</v>
      </c>
      <c r="H211" s="12" t="n">
        <f aca="false">F211-G211</f>
        <v>0</v>
      </c>
      <c r="I211" s="12" t="str">
        <f aca="false">IF($B211&gt;"2026-09-02","لا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12" t="s">
        <v>49</v>
      </c>
      <c r="B212" s="12" t="s">
        <v>83</v>
      </c>
      <c r="C212" s="13" t="s">
        <v>28</v>
      </c>
      <c r="D212" s="12" t="n">
        <f aca="false">COUNTIFS('تفاصيل الفرص'!$B$2:$B$15,$B212,'تفاصيل الفرص'!$D$2:$D$15,$C212)</f>
        <v>0</v>
      </c>
      <c r="E212" s="12" t="n">
        <f aca="false">COUNTIFS('تفاصيل الفرص'!$B$2:$B$15,$B212,'تفاصيل الفرص'!$D$2:$D$15,$C212,'تفاصيل الفرص'!$X$2:$X$15,0)</f>
        <v>0</v>
      </c>
      <c r="F212" s="12" t="n">
        <f aca="false">COUNTIFS('سجل الأكشنات'!$B$2:$B$57,$B212,'سجل الأكشنات'!$D$2:$D$57,$C212)</f>
        <v>0</v>
      </c>
      <c r="G212" s="12" t="n">
        <f aca="false">COUNTIFS('سجل الأكشنات'!$B$2:$B$57,$B212,'سجل الأكشنات'!$D$2:$D$57,$C212,'سجل الأكشنات'!$H$2:$H$57,"تفصيلي")</f>
        <v>0</v>
      </c>
      <c r="H212" s="12" t="n">
        <f aca="false">F212-G212</f>
        <v>0</v>
      </c>
      <c r="I212" s="12" t="str">
        <f aca="false">IF($B212&gt;"2026-09-02","لا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12" t="s">
        <v>49</v>
      </c>
      <c r="B213" s="12" t="s">
        <v>83</v>
      </c>
      <c r="C213" s="13" t="s">
        <v>30</v>
      </c>
      <c r="D213" s="12" t="n">
        <f aca="false">COUNTIFS('تفاصيل الفرص'!$B$2:$B$15,$B213,'تفاصيل الفرص'!$D$2:$D$15,$C213)</f>
        <v>0</v>
      </c>
      <c r="E213" s="12" t="n">
        <f aca="false">COUNTIFS('تفاصيل الفرص'!$B$2:$B$15,$B213,'تفاصيل الفرص'!$D$2:$D$15,$C213,'تفاصيل الفرص'!$X$2:$X$15,0)</f>
        <v>0</v>
      </c>
      <c r="F213" s="12" t="n">
        <f aca="false">COUNTIFS('سجل الأكشنات'!$B$2:$B$57,$B213,'سجل الأكشنات'!$D$2:$D$57,$C213)</f>
        <v>0</v>
      </c>
      <c r="G213" s="12" t="n">
        <f aca="false">COUNTIFS('سجل الأكشنات'!$B$2:$B$57,$B213,'سجل الأكشنات'!$D$2:$D$57,$C213,'سجل الأكشنات'!$H$2:$H$57,"تفصيلي")</f>
        <v>0</v>
      </c>
      <c r="H213" s="12" t="n">
        <f aca="false">F213-G213</f>
        <v>0</v>
      </c>
      <c r="I213" s="12" t="str">
        <f aca="false">IF($B213&gt;"2026-09-02","لا توجد بيانات بعد",IF(AND(D213=0,F213=0),"بدون نشاط","نشِط"))</f>
        <v>لا توجد بيانات بعد</v>
      </c>
    </row>
  </sheetData>
  <autoFilter ref="A3:I213"/>
  <mergeCells count="1">
    <mergeCell ref="A1:F1"/>
  </mergeCells>
  <conditionalFormatting sqref="I4:I213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13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0" min="7" style="0" width="16"/>
  </cols>
  <sheetData>
    <row r="1" customFormat="false" ht="17.35" hidden="false" customHeight="false" outlineLevel="0" collapsed="false">
      <c r="A1" s="14" t="s">
        <v>84</v>
      </c>
    </row>
    <row r="2" customFormat="false" ht="15" hidden="false" customHeight="false" outlineLevel="0" collapsed="false">
      <c r="A2" s="15" t="s">
        <v>85</v>
      </c>
    </row>
    <row r="4" customFormat="false" ht="15" hidden="false" customHeight="false" outlineLevel="0" collapsed="false">
      <c r="A4" s="16" t="s">
        <v>86</v>
      </c>
    </row>
    <row r="5" customFormat="false" ht="51.75" hidden="false" customHeight="true" outlineLevel="0" collapsed="false">
      <c r="A5" s="3" t="s">
        <v>87</v>
      </c>
      <c r="B5" s="3" t="s">
        <v>88</v>
      </c>
      <c r="C5" s="3" t="s">
        <v>89</v>
      </c>
      <c r="D5" s="3" t="s">
        <v>90</v>
      </c>
      <c r="E5" s="3" t="s">
        <v>91</v>
      </c>
      <c r="F5" s="3" t="s">
        <v>92</v>
      </c>
      <c r="G5" s="3" t="s">
        <v>18</v>
      </c>
      <c r="H5" s="3" t="s">
        <v>20</v>
      </c>
      <c r="I5" s="3" t="s">
        <v>26</v>
      </c>
      <c r="J5" s="3" t="s">
        <v>30</v>
      </c>
    </row>
    <row r="6" customFormat="false" ht="15" hidden="false" customHeight="false" outlineLevel="0" collapsed="false">
      <c r="A6" s="4" t="s">
        <v>93</v>
      </c>
      <c r="B6" s="4" t="s">
        <v>94</v>
      </c>
      <c r="C6" s="5" t="n">
        <f aca="false">COUNTIF('تفاصيل الفرص'!$I$2:$I$15,"لا")</f>
        <v>0</v>
      </c>
      <c r="D6" s="6" t="n">
        <f aca="false">IF(14=0,0,C6/14)</f>
        <v>0</v>
      </c>
      <c r="E6" s="5" t="n">
        <v>0</v>
      </c>
      <c r="F6" s="4" t="s">
        <v>95</v>
      </c>
      <c r="G6" s="5" t="n">
        <f aca="false">COUNTIFS('تفاصيل الفرص'!$D$2:$D$15,G$5,'تفاصيل الفرص'!$I$2:$I$15,"لا")</f>
        <v>0</v>
      </c>
      <c r="H6" s="5" t="n">
        <f aca="false">COUNTIFS('تفاصيل الفرص'!$D$2:$D$15,H$5,'تفاصيل الفرص'!$I$2:$I$15,"لا")</f>
        <v>0</v>
      </c>
      <c r="I6" s="5" t="n">
        <f aca="false">COUNTIFS('تفاصيل الفرص'!$D$2:$D$15,I$5,'تفاصيل الفرص'!$I$2:$I$15,"لا")</f>
        <v>0</v>
      </c>
      <c r="J6" s="5" t="n">
        <f aca="false">COUNTIFS('تفاصيل الفرص'!$D$2:$D$15,J$5,'تفاصيل الفرص'!$I$2:$I$15,"لا")</f>
        <v>0</v>
      </c>
    </row>
    <row r="7" customFormat="false" ht="15" hidden="false" customHeight="false" outlineLevel="0" collapsed="false">
      <c r="A7" s="4" t="s">
        <v>96</v>
      </c>
      <c r="B7" s="4" t="s">
        <v>5</v>
      </c>
      <c r="C7" s="5" t="n">
        <f aca="false">COUNTIF('تفاصيل الفرص'!$K$2:$K$15,"لا")</f>
        <v>14</v>
      </c>
      <c r="D7" s="6" t="n">
        <f aca="false">IF(14=0,0,C7/14)</f>
        <v>1</v>
      </c>
      <c r="E7" s="5" t="n">
        <v>4</v>
      </c>
      <c r="F7" s="4" t="s">
        <v>97</v>
      </c>
      <c r="G7" s="5" t="n">
        <f aca="false">COUNTIFS('تفاصيل الفرص'!$D$2:$D$15,G$5,'تفاصيل الفرص'!$K$2:$K$15,"لا")</f>
        <v>3</v>
      </c>
      <c r="H7" s="5" t="n">
        <f aca="false">COUNTIFS('تفاصيل الفرص'!$D$2:$D$15,H$5,'تفاصيل الفرص'!$K$2:$K$15,"لا")</f>
        <v>2</v>
      </c>
      <c r="I7" s="5" t="n">
        <f aca="false">COUNTIFS('تفاصيل الفرص'!$D$2:$D$15,I$5,'تفاصيل الفرص'!$K$2:$K$15,"لا")</f>
        <v>5</v>
      </c>
      <c r="J7" s="5" t="n">
        <f aca="false">COUNTIFS('تفاصيل الفرص'!$D$2:$D$15,J$5,'تفاصيل الفرص'!$K$2:$K$15,"لا")</f>
        <v>4</v>
      </c>
    </row>
    <row r="8" customFormat="false" ht="15" hidden="false" customHeight="false" outlineLevel="0" collapsed="false">
      <c r="A8" s="4" t="s">
        <v>98</v>
      </c>
      <c r="B8" s="4" t="s">
        <v>6</v>
      </c>
      <c r="C8" s="5" t="n">
        <f aca="false">COUNTIF('تفاصيل الفرص'!$M$2:$M$15,"لا")</f>
        <v>5</v>
      </c>
      <c r="D8" s="6" t="n">
        <f aca="false">IF(14=0,0,C8/14)</f>
        <v>0.357142857142857</v>
      </c>
      <c r="E8" s="5" t="n">
        <v>3</v>
      </c>
      <c r="F8" s="4" t="s">
        <v>99</v>
      </c>
      <c r="G8" s="5" t="n">
        <f aca="false">COUNTIFS('تفاصيل الفرص'!$D$2:$D$15,G$5,'تفاصيل الفرص'!$M$2:$M$15,"لا")</f>
        <v>2</v>
      </c>
      <c r="H8" s="5" t="n">
        <f aca="false">COUNTIFS('تفاصيل الفرص'!$D$2:$D$15,H$5,'تفاصيل الفرص'!$M$2:$M$15,"لا")</f>
        <v>1</v>
      </c>
      <c r="I8" s="5" t="n">
        <f aca="false">COUNTIFS('تفاصيل الفرص'!$D$2:$D$15,I$5,'تفاصيل الفرص'!$M$2:$M$15,"لا")</f>
        <v>2</v>
      </c>
      <c r="J8" s="5" t="n">
        <f aca="false">COUNTIFS('تفاصيل الفرص'!$D$2:$D$15,J$5,'تفاصيل الفرص'!$M$2:$M$15,"لا")</f>
        <v>0</v>
      </c>
    </row>
    <row r="9" customFormat="false" ht="15" hidden="false" customHeight="false" outlineLevel="0" collapsed="false">
      <c r="A9" s="4" t="s">
        <v>100</v>
      </c>
      <c r="B9" s="4" t="s">
        <v>7</v>
      </c>
      <c r="C9" s="5" t="n">
        <f aca="false">COUNTIF('تفاصيل الفرص'!$O$2:$O$15,"لا")</f>
        <v>8</v>
      </c>
      <c r="D9" s="6" t="n">
        <f aca="false">IF(14=0,0,C9/14)</f>
        <v>0.571428571428571</v>
      </c>
      <c r="E9" s="5" t="n">
        <v>3</v>
      </c>
      <c r="F9" s="4" t="s">
        <v>97</v>
      </c>
      <c r="G9" s="5" t="n">
        <f aca="false">COUNTIFS('تفاصيل الفرص'!$D$2:$D$15,G$5,'تفاصيل الفرص'!$O$2:$O$15,"لا")</f>
        <v>2</v>
      </c>
      <c r="H9" s="5" t="n">
        <f aca="false">COUNTIFS('تفاصيل الفرص'!$D$2:$D$15,H$5,'تفاصيل الفرص'!$O$2:$O$15,"لا")</f>
        <v>1</v>
      </c>
      <c r="I9" s="5" t="n">
        <f aca="false">COUNTIFS('تفاصيل الفرص'!$D$2:$D$15,I$5,'تفاصيل الفرص'!$O$2:$O$15,"لا")</f>
        <v>5</v>
      </c>
      <c r="J9" s="5" t="n">
        <f aca="false">COUNTIFS('تفاصيل الفرص'!$D$2:$D$15,J$5,'تفاصيل الفرص'!$O$2:$O$15,"لا")</f>
        <v>0</v>
      </c>
    </row>
    <row r="10" customFormat="false" ht="15" hidden="false" customHeight="false" outlineLevel="0" collapsed="false">
      <c r="A10" s="4" t="s">
        <v>101</v>
      </c>
      <c r="B10" s="4" t="s">
        <v>8</v>
      </c>
      <c r="C10" s="5" t="n">
        <f aca="false">COUNTIF('تفاصيل الفرص'!$Q$2:$Q$15,"لا")</f>
        <v>3</v>
      </c>
      <c r="D10" s="6" t="n">
        <f aca="false">IF(14=0,0,C10/14)</f>
        <v>0.214285714285714</v>
      </c>
      <c r="E10" s="5" t="n">
        <v>2</v>
      </c>
      <c r="F10" s="4" t="s">
        <v>102</v>
      </c>
      <c r="G10" s="5" t="n">
        <f aca="false">COUNTIFS('تفاصيل الفرص'!$D$2:$D$15,G$5,'تفاصيل الفرص'!$Q$2:$Q$15,"لا")</f>
        <v>1</v>
      </c>
      <c r="H10" s="5" t="n">
        <f aca="false">COUNTIFS('تفاصيل الفرص'!$D$2:$D$15,H$5,'تفاصيل الفرص'!$Q$2:$Q$15,"لا")</f>
        <v>0</v>
      </c>
      <c r="I10" s="5" t="n">
        <f aca="false">COUNTIFS('تفاصيل الفرص'!$D$2:$D$15,I$5,'تفاصيل الفرص'!$Q$2:$Q$15,"لا")</f>
        <v>2</v>
      </c>
      <c r="J10" s="5" t="n">
        <f aca="false">COUNTIFS('تفاصيل الفرص'!$D$2:$D$15,J$5,'تفاصيل الفرص'!$Q$2:$Q$15,"لا")</f>
        <v>0</v>
      </c>
    </row>
    <row r="11" customFormat="false" ht="15" hidden="false" customHeight="false" outlineLevel="0" collapsed="false">
      <c r="A11" s="4" t="s">
        <v>103</v>
      </c>
      <c r="B11" s="4" t="s">
        <v>9</v>
      </c>
      <c r="C11" s="5" t="n">
        <f aca="false">COUNTIF('تفاصيل الفرص'!$S$2:$S$15,"لا")</f>
        <v>14</v>
      </c>
      <c r="D11" s="6" t="n">
        <f aca="false">IF(14=0,0,C11/14)</f>
        <v>1</v>
      </c>
      <c r="E11" s="5" t="n">
        <v>4</v>
      </c>
      <c r="F11" s="4" t="s">
        <v>97</v>
      </c>
      <c r="G11" s="5" t="n">
        <f aca="false">COUNTIFS('تفاصيل الفرص'!$D$2:$D$15,G$5,'تفاصيل الفرص'!$S$2:$S$15,"لا")</f>
        <v>3</v>
      </c>
      <c r="H11" s="5" t="n">
        <f aca="false">COUNTIFS('تفاصيل الفرص'!$D$2:$D$15,H$5,'تفاصيل الفرص'!$S$2:$S$15,"لا")</f>
        <v>2</v>
      </c>
      <c r="I11" s="5" t="n">
        <f aca="false">COUNTIFS('تفاصيل الفرص'!$D$2:$D$15,I$5,'تفاصيل الفرص'!$S$2:$S$15,"لا")</f>
        <v>5</v>
      </c>
      <c r="J11" s="5" t="n">
        <f aca="false">COUNTIFS('تفاصيل الفرص'!$D$2:$D$15,J$5,'تفاصيل الفرص'!$S$2:$S$15,"لا")</f>
        <v>4</v>
      </c>
    </row>
    <row r="12" customFormat="false" ht="15" hidden="false" customHeight="false" outlineLevel="0" collapsed="false">
      <c r="A12" s="4" t="s">
        <v>104</v>
      </c>
      <c r="B12" s="4" t="s">
        <v>10</v>
      </c>
      <c r="C12" s="5" t="n">
        <f aca="false">COUNTIF('تفاصيل الفرص'!$U$2:$U$15,"لا")</f>
        <v>7</v>
      </c>
      <c r="D12" s="6" t="n">
        <f aca="false">IF(14=0,0,C12/14)</f>
        <v>0.5</v>
      </c>
      <c r="E12" s="5" t="n">
        <v>3</v>
      </c>
      <c r="F12" s="4" t="s">
        <v>105</v>
      </c>
      <c r="G12" s="5" t="n">
        <f aca="false">COUNTIFS('تفاصيل الفرص'!$D$2:$D$15,G$5,'تفاصيل الفرص'!$U$2:$U$15,"لا")</f>
        <v>3</v>
      </c>
      <c r="H12" s="5" t="n">
        <f aca="false">COUNTIFS('تفاصيل الفرص'!$D$2:$D$15,H$5,'تفاصيل الفرص'!$U$2:$U$15,"لا")</f>
        <v>2</v>
      </c>
      <c r="I12" s="5" t="n">
        <f aca="false">COUNTIFS('تفاصيل الفرص'!$D$2:$D$15,I$5,'تفاصيل الفرص'!$U$2:$U$15,"لا")</f>
        <v>2</v>
      </c>
      <c r="J12" s="5" t="n">
        <f aca="false">COUNTIFS('تفاصيل الفرص'!$D$2:$D$15,J$5,'تفاصيل الفرص'!$U$2:$U$15,"لا")</f>
        <v>0</v>
      </c>
    </row>
    <row r="13" customFormat="false" ht="15" hidden="false" customHeight="false" outlineLevel="0" collapsed="false">
      <c r="A13" s="4" t="s">
        <v>106</v>
      </c>
      <c r="B13" s="4" t="s">
        <v>11</v>
      </c>
      <c r="C13" s="5" t="n">
        <f aca="false">COUNTIF('تفاصيل الفرص'!$W$2:$W$15,"لا")</f>
        <v>12</v>
      </c>
      <c r="D13" s="6" t="n">
        <f aca="false">IF(14=0,0,C13/14)</f>
        <v>0.857142857142857</v>
      </c>
      <c r="E13" s="5" t="n">
        <v>4</v>
      </c>
      <c r="F13" s="4" t="s">
        <v>97</v>
      </c>
      <c r="G13" s="5" t="n">
        <f aca="false">COUNTIFS('تفاصيل الفرص'!$D$2:$D$15,G$5,'تفاصيل الفرص'!$W$2:$W$15,"لا")</f>
        <v>2</v>
      </c>
      <c r="H13" s="5" t="n">
        <f aca="false">COUNTIFS('تفاصيل الفرص'!$D$2:$D$15,H$5,'تفاصيل الفرص'!$W$2:$W$15,"لا")</f>
        <v>1</v>
      </c>
      <c r="I13" s="5" t="n">
        <f aca="false">COUNTIFS('تفاصيل الفرص'!$D$2:$D$15,I$5,'تفاصيل الفرص'!$W$2:$W$15,"لا")</f>
        <v>5</v>
      </c>
      <c r="J13" s="5" t="n">
        <f aca="false">COUNTIFS('تفاصيل الفرص'!$D$2:$D$15,J$5,'تفاصيل الفرص'!$W$2:$W$15,"لا")</f>
        <v>4</v>
      </c>
    </row>
    <row r="16" customFormat="false" ht="15" hidden="false" customHeight="false" outlineLevel="0" collapsed="false">
      <c r="A16" s="16" t="s">
        <v>107</v>
      </c>
    </row>
    <row r="17" customFormat="false" ht="31.5" hidden="false" customHeight="true" outlineLevel="0" collapsed="false">
      <c r="A17" s="3" t="s">
        <v>108</v>
      </c>
      <c r="B17" s="3" t="s">
        <v>3</v>
      </c>
      <c r="C17" s="3" t="s">
        <v>109</v>
      </c>
    </row>
    <row r="18" customFormat="false" ht="15" hidden="false" customHeight="false" outlineLevel="0" collapsed="false">
      <c r="A18" s="4" t="s">
        <v>110</v>
      </c>
      <c r="B18" s="5" t="n">
        <v>4</v>
      </c>
      <c r="C18" s="6" t="n">
        <f aca="false">IF(14=0,0,B18/14)</f>
        <v>0.285714285714286</v>
      </c>
    </row>
    <row r="19" customFormat="false" ht="23.85" hidden="false" customHeight="false" outlineLevel="0" collapsed="false">
      <c r="A19" s="4" t="s">
        <v>111</v>
      </c>
      <c r="B19" s="5" t="n">
        <v>3</v>
      </c>
      <c r="C19" s="6" t="n">
        <f aca="false">IF(14=0,0,B19/14)</f>
        <v>0.214285714285714</v>
      </c>
    </row>
    <row r="20" customFormat="false" ht="15" hidden="false" customHeight="false" outlineLevel="0" collapsed="false">
      <c r="A20" s="4" t="s">
        <v>112</v>
      </c>
      <c r="B20" s="5" t="n">
        <v>3</v>
      </c>
      <c r="C20" s="6" t="n">
        <f aca="false">IF(14=0,0,B20/14)</f>
        <v>0.214285714285714</v>
      </c>
    </row>
    <row r="21" customFormat="false" ht="15" hidden="false" customHeight="false" outlineLevel="0" collapsed="false">
      <c r="A21" s="4" t="s">
        <v>113</v>
      </c>
      <c r="B21" s="5" t="n">
        <v>2</v>
      </c>
      <c r="C21" s="6" t="n">
        <f aca="false">IF(14=0,0,B21/14)</f>
        <v>0.142857142857143</v>
      </c>
    </row>
    <row r="22" customFormat="false" ht="15" hidden="false" customHeight="false" outlineLevel="0" collapsed="false">
      <c r="A22" s="4" t="s">
        <v>114</v>
      </c>
      <c r="B22" s="5" t="n">
        <v>2</v>
      </c>
      <c r="C22" s="6" t="n">
        <f aca="false">IF(14=0,0,B22/14)</f>
        <v>0.142857142857143</v>
      </c>
    </row>
    <row r="25" customFormat="false" ht="15" hidden="false" customHeight="false" outlineLevel="0" collapsed="false">
      <c r="A25" s="16" t="s">
        <v>115</v>
      </c>
    </row>
    <row r="26" customFormat="false" ht="51.75" hidden="false" customHeight="true" outlineLevel="0" collapsed="false">
      <c r="A26" s="3" t="s">
        <v>116</v>
      </c>
      <c r="B26" s="3" t="s">
        <v>13</v>
      </c>
      <c r="C26" s="3" t="s">
        <v>117</v>
      </c>
      <c r="D26" s="3" t="s">
        <v>18</v>
      </c>
      <c r="E26" s="3" t="s">
        <v>20</v>
      </c>
      <c r="F26" s="3" t="s">
        <v>26</v>
      </c>
      <c r="G26" s="3" t="s">
        <v>30</v>
      </c>
    </row>
    <row r="27" customFormat="false" ht="15" hidden="false" customHeight="false" outlineLevel="0" collapsed="false">
      <c r="A27" s="4" t="s">
        <v>118</v>
      </c>
      <c r="B27" s="5" t="n">
        <f aca="false">COUNTIF('سجل الأكشنات'!$J$2:$J$57,$A27)</f>
        <v>51</v>
      </c>
      <c r="C27" s="6" t="n">
        <f aca="false">IF(56=0,0,B27/56)</f>
        <v>0.910714285714286</v>
      </c>
      <c r="D27" s="5" t="n">
        <f aca="false">COUNTIFS('سجل الأكشنات'!$D$2:$D$57,D$26,'سجل الأكشنات'!$J$2:$J$57,$A27)</f>
        <v>8</v>
      </c>
      <c r="E27" s="5" t="n">
        <f aca="false">COUNTIFS('سجل الأكشنات'!$D$2:$D$57,E$26,'سجل الأكشنات'!$J$2:$J$57,$A27)</f>
        <v>6</v>
      </c>
      <c r="F27" s="5" t="n">
        <f aca="false">COUNTIFS('سجل الأكشنات'!$D$2:$D$57,F$26,'سجل الأكشنات'!$J$2:$J$57,$A27)</f>
        <v>3</v>
      </c>
      <c r="G27" s="5" t="n">
        <f aca="false">COUNTIFS('سجل الأكشنات'!$D$2:$D$57,G$26,'سجل الأكشنات'!$J$2:$J$57,$A27)</f>
        <v>14</v>
      </c>
    </row>
    <row r="28" customFormat="false" ht="15" hidden="false" customHeight="false" outlineLevel="0" collapsed="false">
      <c r="A28" s="4" t="s">
        <v>119</v>
      </c>
      <c r="B28" s="5" t="n">
        <f aca="false">COUNTIF('سجل الأكشنات'!$J$2:$J$57,$A28)</f>
        <v>3</v>
      </c>
      <c r="C28" s="6" t="n">
        <f aca="false">IF(56=0,0,B28/56)</f>
        <v>0.0535714285714286</v>
      </c>
      <c r="D28" s="5" t="n">
        <f aca="false">COUNTIFS('سجل الأكشنات'!$D$2:$D$57,D$26,'سجل الأكشنات'!$J$2:$J$57,$A28)</f>
        <v>0</v>
      </c>
      <c r="E28" s="5" t="n">
        <f aca="false">COUNTIFS('سجل الأكشنات'!$D$2:$D$57,E$26,'سجل الأكشنات'!$J$2:$J$57,$A28)</f>
        <v>1</v>
      </c>
      <c r="F28" s="5" t="n">
        <f aca="false">COUNTIFS('سجل الأكشنات'!$D$2:$D$57,F$26,'سجل الأكشنات'!$J$2:$J$57,$A28)</f>
        <v>2</v>
      </c>
      <c r="G28" s="5" t="n">
        <f aca="false">COUNTIFS('سجل الأكشنات'!$D$2:$D$57,G$26,'سجل الأكشنات'!$J$2:$J$57,$A28)</f>
        <v>0</v>
      </c>
    </row>
    <row r="29" customFormat="false" ht="15" hidden="false" customHeight="false" outlineLevel="0" collapsed="false">
      <c r="A29" s="4" t="s">
        <v>120</v>
      </c>
      <c r="B29" s="5" t="n">
        <f aca="false">COUNTIF('سجل الأكشنات'!$J$2:$J$57,$A29)</f>
        <v>1</v>
      </c>
      <c r="C29" s="6" t="n">
        <f aca="false">IF(56=0,0,B29/56)</f>
        <v>0.0178571428571429</v>
      </c>
      <c r="D29" s="5" t="n">
        <f aca="false">COUNTIFS('سجل الأكشنات'!$D$2:$D$57,D$26,'سجل الأكشنات'!$J$2:$J$57,$A29)</f>
        <v>0</v>
      </c>
      <c r="E29" s="5" t="n">
        <f aca="false">COUNTIFS('سجل الأكشنات'!$D$2:$D$57,E$26,'سجل الأكشنات'!$J$2:$J$57,$A29)</f>
        <v>0</v>
      </c>
      <c r="F29" s="5" t="n">
        <f aca="false">COUNTIFS('سجل الأكشنات'!$D$2:$D$57,F$26,'سجل الأكشنات'!$J$2:$J$57,$A29)</f>
        <v>0</v>
      </c>
      <c r="G29" s="5" t="n">
        <f aca="false">COUNTIFS('سجل الأكشنات'!$D$2:$D$57,G$26,'سجل الأكشنات'!$J$2:$J$57,$A29)</f>
        <v>1</v>
      </c>
    </row>
    <row r="30" customFormat="false" ht="23.85" hidden="false" customHeight="false" outlineLevel="0" collapsed="false">
      <c r="A30" s="4" t="s">
        <v>121</v>
      </c>
      <c r="B30" s="5" t="n">
        <f aca="false">COUNTIF('سجل الأكشنات'!$J$2:$J$57,$A30)</f>
        <v>1</v>
      </c>
      <c r="C30" s="6" t="n">
        <f aca="false">IF(56=0,0,B30/56)</f>
        <v>0.0178571428571429</v>
      </c>
      <c r="D30" s="5" t="n">
        <f aca="false">COUNTIFS('سجل الأكشنات'!$D$2:$D$57,D$26,'سجل الأكشنات'!$J$2:$J$57,$A30)</f>
        <v>0</v>
      </c>
      <c r="E30" s="5" t="n">
        <f aca="false">COUNTIFS('سجل الأكشنات'!$D$2:$D$57,E$26,'سجل الأكشنات'!$J$2:$J$57,$A30)</f>
        <v>0</v>
      </c>
      <c r="F30" s="5" t="n">
        <f aca="false">COUNTIFS('سجل الأكشنات'!$D$2:$D$57,F$26,'سجل الأكشنات'!$J$2:$J$57,$A30)</f>
        <v>0</v>
      </c>
      <c r="G30" s="5" t="n">
        <f aca="false">COUNTIFS('سجل الأكشنات'!$D$2:$D$57,G$26,'سجل الأكشنات'!$J$2:$J$57,$A30)</f>
        <v>1</v>
      </c>
    </row>
    <row r="33" customFormat="false" ht="15" hidden="false" customHeight="false" outlineLevel="0" collapsed="false">
      <c r="A33" s="16" t="s">
        <v>122</v>
      </c>
    </row>
    <row r="34" customFormat="false" ht="31.5" hidden="false" customHeight="true" outlineLevel="0" collapsed="false">
      <c r="A34" s="3" t="s">
        <v>2</v>
      </c>
      <c r="B34" s="3" t="s">
        <v>3</v>
      </c>
      <c r="C34" s="3" t="s">
        <v>13</v>
      </c>
      <c r="D34" s="3" t="s">
        <v>123</v>
      </c>
      <c r="E34" s="3"/>
      <c r="F34" s="3"/>
      <c r="G34" s="3"/>
      <c r="H34" s="3"/>
      <c r="I34" s="3"/>
      <c r="J34" s="3"/>
    </row>
    <row r="35" customFormat="false" ht="45.75" hidden="false" customHeight="true" outlineLevel="0" collapsed="false">
      <c r="A35" s="4" t="s">
        <v>18</v>
      </c>
      <c r="B35" s="5" t="n">
        <v>3</v>
      </c>
      <c r="C35" s="5" t="n">
        <v>8</v>
      </c>
      <c r="D35" s="4"/>
      <c r="E35" s="4"/>
      <c r="F35" s="4"/>
      <c r="G35" s="4"/>
      <c r="H35" s="4"/>
      <c r="I35" s="4"/>
      <c r="J35" s="4"/>
    </row>
    <row r="36" customFormat="false" ht="45.75" hidden="false" customHeight="true" outlineLevel="0" collapsed="false">
      <c r="A36" s="4" t="s">
        <v>20</v>
      </c>
      <c r="B36" s="5" t="n">
        <v>2</v>
      </c>
      <c r="C36" s="5" t="n">
        <v>7</v>
      </c>
      <c r="D36" s="4"/>
      <c r="E36" s="4"/>
      <c r="F36" s="4"/>
      <c r="G36" s="4"/>
      <c r="H36" s="4"/>
      <c r="I36" s="4"/>
      <c r="J36" s="4"/>
    </row>
    <row r="37" customFormat="false" ht="45.75" hidden="false" customHeight="true" outlineLevel="0" collapsed="false">
      <c r="A37" s="4" t="s">
        <v>22</v>
      </c>
      <c r="B37" s="5" t="n">
        <v>0</v>
      </c>
      <c r="C37" s="5" t="n">
        <v>6</v>
      </c>
      <c r="D37" s="4"/>
      <c r="E37" s="4"/>
      <c r="F37" s="4"/>
      <c r="G37" s="4"/>
      <c r="H37" s="4"/>
      <c r="I37" s="4"/>
      <c r="J37" s="4"/>
    </row>
    <row r="38" customFormat="false" ht="45.75" hidden="false" customHeight="true" outlineLevel="0" collapsed="false">
      <c r="A38" s="4" t="s">
        <v>24</v>
      </c>
      <c r="B38" s="5" t="n">
        <v>0</v>
      </c>
      <c r="C38" s="5" t="n">
        <v>12</v>
      </c>
      <c r="D38" s="4"/>
      <c r="E38" s="4"/>
      <c r="F38" s="4"/>
      <c r="G38" s="4"/>
      <c r="H38" s="4"/>
      <c r="I38" s="4"/>
      <c r="J38" s="4"/>
    </row>
    <row r="39" customFormat="false" ht="45.75" hidden="false" customHeight="true" outlineLevel="0" collapsed="false">
      <c r="A39" s="4" t="s">
        <v>26</v>
      </c>
      <c r="B39" s="5" t="n">
        <v>5</v>
      </c>
      <c r="C39" s="5" t="n">
        <v>5</v>
      </c>
      <c r="D39" s="4"/>
      <c r="E39" s="4"/>
      <c r="F39" s="4"/>
      <c r="G39" s="4"/>
      <c r="H39" s="4"/>
      <c r="I39" s="4"/>
      <c r="J39" s="4"/>
    </row>
    <row r="40" customFormat="false" ht="45.75" hidden="false" customHeight="true" outlineLevel="0" collapsed="false">
      <c r="A40" s="4" t="s">
        <v>28</v>
      </c>
      <c r="B40" s="5" t="n">
        <v>0</v>
      </c>
      <c r="C40" s="5" t="n">
        <v>2</v>
      </c>
      <c r="D40" s="4"/>
      <c r="E40" s="4"/>
      <c r="F40" s="4"/>
      <c r="G40" s="4"/>
      <c r="H40" s="4"/>
      <c r="I40" s="4"/>
      <c r="J40" s="4"/>
    </row>
    <row r="41" customFormat="false" ht="45.75" hidden="false" customHeight="true" outlineLevel="0" collapsed="false">
      <c r="A41" s="4" t="s">
        <v>30</v>
      </c>
      <c r="B41" s="5" t="n">
        <v>4</v>
      </c>
      <c r="C41" s="5" t="n">
        <v>16</v>
      </c>
      <c r="D41" s="4"/>
      <c r="E41" s="4"/>
      <c r="F41" s="4"/>
      <c r="G41" s="4"/>
      <c r="H41" s="4"/>
      <c r="I41" s="4"/>
      <c r="J41" s="4"/>
    </row>
  </sheetData>
  <mergeCells count="8">
    <mergeCell ref="D34:J34"/>
    <mergeCell ref="D35:J35"/>
    <mergeCell ref="D36:J36"/>
    <mergeCell ref="D37:J37"/>
    <mergeCell ref="D38:J38"/>
    <mergeCell ref="D39:J39"/>
    <mergeCell ref="D40:J40"/>
    <mergeCell ref="D41:J41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124</v>
      </c>
      <c r="B1" s="3" t="s">
        <v>43</v>
      </c>
      <c r="C1" s="3" t="s">
        <v>125</v>
      </c>
      <c r="D1" s="3" t="s">
        <v>2</v>
      </c>
      <c r="E1" s="3" t="s">
        <v>126</v>
      </c>
      <c r="F1" s="3" t="s">
        <v>127</v>
      </c>
      <c r="G1" s="3" t="s">
        <v>128</v>
      </c>
      <c r="H1" s="3" t="s">
        <v>94</v>
      </c>
      <c r="I1" s="3" t="s">
        <v>129</v>
      </c>
      <c r="J1" s="3" t="s">
        <v>5</v>
      </c>
      <c r="K1" s="3" t="s">
        <v>130</v>
      </c>
      <c r="L1" s="3" t="s">
        <v>6</v>
      </c>
      <c r="M1" s="3" t="s">
        <v>131</v>
      </c>
      <c r="N1" s="3" t="s">
        <v>7</v>
      </c>
      <c r="O1" s="3" t="s">
        <v>132</v>
      </c>
      <c r="P1" s="3" t="s">
        <v>8</v>
      </c>
      <c r="Q1" s="3" t="s">
        <v>133</v>
      </c>
      <c r="R1" s="3" t="s">
        <v>134</v>
      </c>
      <c r="S1" s="3" t="s">
        <v>135</v>
      </c>
      <c r="T1" s="3" t="s">
        <v>10</v>
      </c>
      <c r="U1" s="3" t="s">
        <v>136</v>
      </c>
      <c r="V1" s="3" t="s">
        <v>137</v>
      </c>
      <c r="W1" s="3" t="s">
        <v>138</v>
      </c>
      <c r="X1" s="3" t="s">
        <v>139</v>
      </c>
      <c r="Y1" s="3" t="s">
        <v>123</v>
      </c>
    </row>
    <row r="2" customFormat="false" ht="23.85" hidden="false" customHeight="false" outlineLevel="0" collapsed="false">
      <c r="A2" s="5" t="n">
        <v>43054</v>
      </c>
      <c r="B2" s="5" t="s">
        <v>48</v>
      </c>
      <c r="C2" s="5" t="s">
        <v>140</v>
      </c>
      <c r="D2" s="4" t="s">
        <v>30</v>
      </c>
      <c r="E2" s="4" t="s">
        <v>141</v>
      </c>
      <c r="F2" s="4" t="s">
        <v>142</v>
      </c>
      <c r="G2" s="4" t="s">
        <v>143</v>
      </c>
      <c r="H2" s="4" t="s">
        <v>144</v>
      </c>
      <c r="I2" s="5" t="s">
        <v>145</v>
      </c>
      <c r="J2" s="4"/>
      <c r="K2" s="5" t="s">
        <v>146</v>
      </c>
      <c r="L2" s="4" t="s">
        <v>147</v>
      </c>
      <c r="M2" s="5" t="s">
        <v>145</v>
      </c>
      <c r="N2" s="4" t="s">
        <v>148</v>
      </c>
      <c r="O2" s="5" t="s">
        <v>145</v>
      </c>
      <c r="P2" s="4" t="s">
        <v>149</v>
      </c>
      <c r="Q2" s="5" t="s">
        <v>145</v>
      </c>
      <c r="R2" s="5" t="n">
        <v>0</v>
      </c>
      <c r="S2" s="5" t="s">
        <v>146</v>
      </c>
      <c r="T2" s="4" t="s">
        <v>149</v>
      </c>
      <c r="U2" s="5" t="s">
        <v>145</v>
      </c>
      <c r="V2" s="5" t="n">
        <v>0</v>
      </c>
      <c r="W2" s="5" t="s">
        <v>146</v>
      </c>
      <c r="X2" s="5" t="n">
        <v>3</v>
      </c>
      <c r="Y2" s="4" t="s">
        <v>150</v>
      </c>
    </row>
    <row r="3" customFormat="false" ht="23.85" hidden="false" customHeight="false" outlineLevel="0" collapsed="false">
      <c r="A3" s="5" t="n">
        <v>43060</v>
      </c>
      <c r="B3" s="5" t="s">
        <v>48</v>
      </c>
      <c r="C3" s="5" t="s">
        <v>151</v>
      </c>
      <c r="D3" s="4" t="s">
        <v>30</v>
      </c>
      <c r="E3" s="4" t="s">
        <v>141</v>
      </c>
      <c r="F3" s="4" t="s">
        <v>142</v>
      </c>
      <c r="G3" s="4" t="s">
        <v>152</v>
      </c>
      <c r="H3" s="4" t="s">
        <v>152</v>
      </c>
      <c r="I3" s="5" t="s">
        <v>145</v>
      </c>
      <c r="J3" s="4"/>
      <c r="K3" s="5" t="s">
        <v>146</v>
      </c>
      <c r="L3" s="4" t="s">
        <v>153</v>
      </c>
      <c r="M3" s="5" t="s">
        <v>145</v>
      </c>
      <c r="N3" s="4" t="s">
        <v>152</v>
      </c>
      <c r="O3" s="5" t="s">
        <v>145</v>
      </c>
      <c r="P3" s="4" t="s">
        <v>154</v>
      </c>
      <c r="Q3" s="5" t="s">
        <v>145</v>
      </c>
      <c r="R3" s="5" t="n">
        <v>0</v>
      </c>
      <c r="S3" s="5" t="s">
        <v>146</v>
      </c>
      <c r="T3" s="4" t="s">
        <v>149</v>
      </c>
      <c r="U3" s="5" t="s">
        <v>145</v>
      </c>
      <c r="V3" s="5" t="n">
        <v>0</v>
      </c>
      <c r="W3" s="5" t="s">
        <v>146</v>
      </c>
      <c r="X3" s="5" t="n">
        <v>3</v>
      </c>
      <c r="Y3" s="4" t="s">
        <v>150</v>
      </c>
    </row>
    <row r="4" customFormat="false" ht="23.85" hidden="false" customHeight="false" outlineLevel="0" collapsed="false">
      <c r="A4" s="5" t="n">
        <v>43066</v>
      </c>
      <c r="B4" s="5" t="s">
        <v>48</v>
      </c>
      <c r="C4" s="5" t="s">
        <v>155</v>
      </c>
      <c r="D4" s="4" t="s">
        <v>26</v>
      </c>
      <c r="E4" s="4" t="s">
        <v>156</v>
      </c>
      <c r="F4" s="4" t="s">
        <v>142</v>
      </c>
      <c r="G4" s="4" t="s">
        <v>157</v>
      </c>
      <c r="H4" s="4" t="s">
        <v>158</v>
      </c>
      <c r="I4" s="5" t="s">
        <v>145</v>
      </c>
      <c r="J4" s="4"/>
      <c r="K4" s="5" t="s">
        <v>146</v>
      </c>
      <c r="L4" s="4"/>
      <c r="M4" s="5" t="s">
        <v>146</v>
      </c>
      <c r="N4" s="4"/>
      <c r="O4" s="5" t="s">
        <v>146</v>
      </c>
      <c r="P4" s="4"/>
      <c r="Q4" s="5" t="s">
        <v>146</v>
      </c>
      <c r="R4" s="5" t="n">
        <v>0</v>
      </c>
      <c r="S4" s="5" t="s">
        <v>146</v>
      </c>
      <c r="T4" s="4"/>
      <c r="U4" s="5" t="s">
        <v>146</v>
      </c>
      <c r="V4" s="5" t="n">
        <v>0</v>
      </c>
      <c r="W4" s="5" t="s">
        <v>146</v>
      </c>
      <c r="X4" s="5" t="n">
        <v>7</v>
      </c>
      <c r="Y4" s="4" t="s">
        <v>159</v>
      </c>
    </row>
    <row r="5" customFormat="false" ht="23.85" hidden="false" customHeight="false" outlineLevel="0" collapsed="false">
      <c r="A5" s="5" t="n">
        <v>43067</v>
      </c>
      <c r="B5" s="5" t="s">
        <v>48</v>
      </c>
      <c r="C5" s="5" t="s">
        <v>160</v>
      </c>
      <c r="D5" s="4" t="s">
        <v>20</v>
      </c>
      <c r="E5" s="4" t="s">
        <v>161</v>
      </c>
      <c r="F5" s="4" t="s">
        <v>142</v>
      </c>
      <c r="G5" s="4" t="s">
        <v>162</v>
      </c>
      <c r="H5" s="4" t="s">
        <v>163</v>
      </c>
      <c r="I5" s="5" t="s">
        <v>145</v>
      </c>
      <c r="J5" s="4"/>
      <c r="K5" s="5" t="s">
        <v>146</v>
      </c>
      <c r="L5" s="4" t="s">
        <v>164</v>
      </c>
      <c r="M5" s="5" t="s">
        <v>145</v>
      </c>
      <c r="N5" s="4" t="s">
        <v>165</v>
      </c>
      <c r="O5" s="5" t="s">
        <v>145</v>
      </c>
      <c r="P5" s="4" t="s">
        <v>166</v>
      </c>
      <c r="Q5" s="5" t="s">
        <v>145</v>
      </c>
      <c r="R5" s="5" t="n">
        <v>0</v>
      </c>
      <c r="S5" s="5" t="s">
        <v>146</v>
      </c>
      <c r="T5" s="4"/>
      <c r="U5" s="5" t="s">
        <v>146</v>
      </c>
      <c r="V5" s="5" t="n">
        <v>0</v>
      </c>
      <c r="W5" s="5" t="s">
        <v>146</v>
      </c>
      <c r="X5" s="5" t="n">
        <v>4</v>
      </c>
      <c r="Y5" s="4" t="s">
        <v>167</v>
      </c>
    </row>
    <row r="6" customFormat="false" ht="23.85" hidden="false" customHeight="false" outlineLevel="0" collapsed="false">
      <c r="A6" s="5" t="n">
        <v>43070</v>
      </c>
      <c r="B6" s="5" t="s">
        <v>50</v>
      </c>
      <c r="C6" s="5" t="s">
        <v>168</v>
      </c>
      <c r="D6" s="4" t="s">
        <v>30</v>
      </c>
      <c r="E6" s="4" t="s">
        <v>141</v>
      </c>
      <c r="F6" s="4" t="s">
        <v>142</v>
      </c>
      <c r="G6" s="4" t="s">
        <v>169</v>
      </c>
      <c r="H6" s="4" t="s">
        <v>170</v>
      </c>
      <c r="I6" s="5" t="s">
        <v>145</v>
      </c>
      <c r="J6" s="4"/>
      <c r="K6" s="5" t="s">
        <v>146</v>
      </c>
      <c r="L6" s="4" t="s">
        <v>171</v>
      </c>
      <c r="M6" s="5" t="s">
        <v>145</v>
      </c>
      <c r="N6" s="4" t="s">
        <v>172</v>
      </c>
      <c r="O6" s="5" t="s">
        <v>145</v>
      </c>
      <c r="P6" s="4" t="s">
        <v>149</v>
      </c>
      <c r="Q6" s="5" t="s">
        <v>145</v>
      </c>
      <c r="R6" s="5" t="n">
        <v>0</v>
      </c>
      <c r="S6" s="5" t="s">
        <v>146</v>
      </c>
      <c r="T6" s="4" t="s">
        <v>173</v>
      </c>
      <c r="U6" s="5" t="s">
        <v>145</v>
      </c>
      <c r="V6" s="5" t="n">
        <v>0</v>
      </c>
      <c r="W6" s="5" t="s">
        <v>146</v>
      </c>
      <c r="X6" s="5" t="n">
        <v>3</v>
      </c>
      <c r="Y6" s="4" t="s">
        <v>150</v>
      </c>
    </row>
    <row r="7" customFormat="false" ht="23.85" hidden="false" customHeight="false" outlineLevel="0" collapsed="false">
      <c r="A7" s="5" t="n">
        <v>43074</v>
      </c>
      <c r="B7" s="5" t="s">
        <v>50</v>
      </c>
      <c r="C7" s="5" t="s">
        <v>174</v>
      </c>
      <c r="D7" s="4" t="s">
        <v>18</v>
      </c>
      <c r="E7" s="4" t="s">
        <v>141</v>
      </c>
      <c r="F7" s="4" t="s">
        <v>142</v>
      </c>
      <c r="G7" s="4" t="s">
        <v>175</v>
      </c>
      <c r="H7" s="4" t="s">
        <v>176</v>
      </c>
      <c r="I7" s="5" t="s">
        <v>145</v>
      </c>
      <c r="J7" s="4"/>
      <c r="K7" s="5" t="s">
        <v>146</v>
      </c>
      <c r="L7" s="4"/>
      <c r="M7" s="5" t="s">
        <v>146</v>
      </c>
      <c r="N7" s="4"/>
      <c r="O7" s="5" t="s">
        <v>146</v>
      </c>
      <c r="P7" s="4" t="s">
        <v>177</v>
      </c>
      <c r="Q7" s="5" t="s">
        <v>145</v>
      </c>
      <c r="R7" s="5" t="n">
        <v>0</v>
      </c>
      <c r="S7" s="5" t="s">
        <v>146</v>
      </c>
      <c r="T7" s="4"/>
      <c r="U7" s="5" t="s">
        <v>146</v>
      </c>
      <c r="V7" s="5" t="n">
        <v>24</v>
      </c>
      <c r="W7" s="5" t="s">
        <v>145</v>
      </c>
      <c r="X7" s="5" t="n">
        <v>5</v>
      </c>
      <c r="Y7" s="4" t="s">
        <v>178</v>
      </c>
    </row>
    <row r="8" customFormat="false" ht="23.85" hidden="false" customHeight="false" outlineLevel="0" collapsed="false">
      <c r="A8" s="5" t="n">
        <v>43075</v>
      </c>
      <c r="B8" s="5" t="s">
        <v>50</v>
      </c>
      <c r="C8" s="5" t="s">
        <v>179</v>
      </c>
      <c r="D8" s="4" t="s">
        <v>18</v>
      </c>
      <c r="E8" s="4" t="s">
        <v>141</v>
      </c>
      <c r="F8" s="4" t="s">
        <v>142</v>
      </c>
      <c r="G8" s="4" t="s">
        <v>180</v>
      </c>
      <c r="H8" s="4" t="s">
        <v>181</v>
      </c>
      <c r="I8" s="5" t="s">
        <v>145</v>
      </c>
      <c r="J8" s="4"/>
      <c r="K8" s="5" t="s">
        <v>146</v>
      </c>
      <c r="L8" s="4"/>
      <c r="M8" s="5" t="s">
        <v>146</v>
      </c>
      <c r="N8" s="4"/>
      <c r="O8" s="5" t="s">
        <v>146</v>
      </c>
      <c r="P8" s="4"/>
      <c r="Q8" s="5" t="s">
        <v>146</v>
      </c>
      <c r="R8" s="5" t="n">
        <v>0</v>
      </c>
      <c r="S8" s="5" t="s">
        <v>146</v>
      </c>
      <c r="T8" s="4"/>
      <c r="U8" s="5" t="s">
        <v>146</v>
      </c>
      <c r="V8" s="5" t="n">
        <v>0</v>
      </c>
      <c r="W8" s="5" t="s">
        <v>146</v>
      </c>
      <c r="X8" s="5" t="n">
        <v>7</v>
      </c>
      <c r="Y8" s="4" t="s">
        <v>159</v>
      </c>
    </row>
    <row r="9" customFormat="false" ht="23.85" hidden="false" customHeight="false" outlineLevel="0" collapsed="false">
      <c r="A9" s="5" t="n">
        <v>43076</v>
      </c>
      <c r="B9" s="5" t="s">
        <v>50</v>
      </c>
      <c r="C9" s="5" t="s">
        <v>182</v>
      </c>
      <c r="D9" s="4" t="s">
        <v>18</v>
      </c>
      <c r="E9" s="4" t="s">
        <v>141</v>
      </c>
      <c r="F9" s="4" t="s">
        <v>142</v>
      </c>
      <c r="G9" s="4" t="s">
        <v>183</v>
      </c>
      <c r="H9" s="4" t="s">
        <v>184</v>
      </c>
      <c r="I9" s="5" t="s">
        <v>145</v>
      </c>
      <c r="J9" s="4"/>
      <c r="K9" s="5" t="s">
        <v>146</v>
      </c>
      <c r="L9" s="4" t="s">
        <v>185</v>
      </c>
      <c r="M9" s="5" t="s">
        <v>145</v>
      </c>
      <c r="N9" s="4" t="s">
        <v>186</v>
      </c>
      <c r="O9" s="5" t="s">
        <v>145</v>
      </c>
      <c r="P9" s="4" t="s">
        <v>177</v>
      </c>
      <c r="Q9" s="5" t="s">
        <v>145</v>
      </c>
      <c r="R9" s="5" t="n">
        <v>0</v>
      </c>
      <c r="S9" s="5" t="s">
        <v>146</v>
      </c>
      <c r="T9" s="4"/>
      <c r="U9" s="5" t="s">
        <v>146</v>
      </c>
      <c r="V9" s="5" t="n">
        <v>0</v>
      </c>
      <c r="W9" s="5" t="s">
        <v>146</v>
      </c>
      <c r="X9" s="5" t="n">
        <v>4</v>
      </c>
      <c r="Y9" s="4" t="s">
        <v>167</v>
      </c>
    </row>
    <row r="10" customFormat="false" ht="23.85" hidden="false" customHeight="false" outlineLevel="0" collapsed="false">
      <c r="A10" s="5" t="n">
        <v>43077</v>
      </c>
      <c r="B10" s="5" t="s">
        <v>50</v>
      </c>
      <c r="C10" s="5" t="s">
        <v>187</v>
      </c>
      <c r="D10" s="4" t="s">
        <v>20</v>
      </c>
      <c r="E10" s="4" t="s">
        <v>161</v>
      </c>
      <c r="F10" s="4" t="s">
        <v>142</v>
      </c>
      <c r="G10" s="4" t="s">
        <v>188</v>
      </c>
      <c r="H10" s="4" t="s">
        <v>189</v>
      </c>
      <c r="I10" s="5" t="s">
        <v>145</v>
      </c>
      <c r="J10" s="4"/>
      <c r="K10" s="5" t="s">
        <v>146</v>
      </c>
      <c r="L10" s="4"/>
      <c r="M10" s="5" t="s">
        <v>146</v>
      </c>
      <c r="N10" s="4"/>
      <c r="O10" s="5" t="s">
        <v>146</v>
      </c>
      <c r="P10" s="4" t="s">
        <v>190</v>
      </c>
      <c r="Q10" s="5" t="s">
        <v>145</v>
      </c>
      <c r="R10" s="5" t="n">
        <v>0</v>
      </c>
      <c r="S10" s="5" t="s">
        <v>146</v>
      </c>
      <c r="T10" s="4"/>
      <c r="U10" s="5" t="s">
        <v>146</v>
      </c>
      <c r="V10" s="5" t="n">
        <v>37</v>
      </c>
      <c r="W10" s="5" t="s">
        <v>145</v>
      </c>
      <c r="X10" s="5" t="n">
        <v>5</v>
      </c>
      <c r="Y10" s="4" t="s">
        <v>178</v>
      </c>
    </row>
    <row r="11" customFormat="false" ht="23.85" hidden="false" customHeight="false" outlineLevel="0" collapsed="false">
      <c r="A11" s="5" t="n">
        <v>43078</v>
      </c>
      <c r="B11" s="5" t="s">
        <v>50</v>
      </c>
      <c r="C11" s="5" t="s">
        <v>191</v>
      </c>
      <c r="D11" s="4" t="s">
        <v>30</v>
      </c>
      <c r="E11" s="4" t="s">
        <v>141</v>
      </c>
      <c r="F11" s="4" t="s">
        <v>142</v>
      </c>
      <c r="G11" s="4" t="s">
        <v>192</v>
      </c>
      <c r="H11" s="4" t="s">
        <v>193</v>
      </c>
      <c r="I11" s="5" t="s">
        <v>145</v>
      </c>
      <c r="J11" s="4"/>
      <c r="K11" s="5" t="s">
        <v>146</v>
      </c>
      <c r="L11" s="4" t="s">
        <v>194</v>
      </c>
      <c r="M11" s="5" t="s">
        <v>145</v>
      </c>
      <c r="N11" s="4" t="s">
        <v>195</v>
      </c>
      <c r="O11" s="5" t="s">
        <v>145</v>
      </c>
      <c r="P11" s="4" t="s">
        <v>196</v>
      </c>
      <c r="Q11" s="5" t="s">
        <v>145</v>
      </c>
      <c r="R11" s="5" t="n">
        <v>0</v>
      </c>
      <c r="S11" s="5" t="s">
        <v>146</v>
      </c>
      <c r="T11" s="4" t="s">
        <v>173</v>
      </c>
      <c r="U11" s="5" t="s">
        <v>145</v>
      </c>
      <c r="V11" s="5" t="n">
        <v>0</v>
      </c>
      <c r="W11" s="5" t="s">
        <v>146</v>
      </c>
      <c r="X11" s="5" t="n">
        <v>3</v>
      </c>
      <c r="Y11" s="4" t="s">
        <v>150</v>
      </c>
    </row>
    <row r="12" customFormat="false" ht="23.85" hidden="false" customHeight="false" outlineLevel="0" collapsed="false">
      <c r="A12" s="5" t="n">
        <v>43081</v>
      </c>
      <c r="B12" s="5" t="s">
        <v>50</v>
      </c>
      <c r="C12" s="5" t="s">
        <v>197</v>
      </c>
      <c r="D12" s="4" t="s">
        <v>26</v>
      </c>
      <c r="E12" s="4" t="s">
        <v>156</v>
      </c>
      <c r="F12" s="4" t="s">
        <v>142</v>
      </c>
      <c r="G12" s="4" t="s">
        <v>198</v>
      </c>
      <c r="H12" s="4" t="s">
        <v>199</v>
      </c>
      <c r="I12" s="5" t="s">
        <v>145</v>
      </c>
      <c r="J12" s="4"/>
      <c r="K12" s="5" t="s">
        <v>146</v>
      </c>
      <c r="L12" s="4" t="s">
        <v>200</v>
      </c>
      <c r="M12" s="5" t="s">
        <v>145</v>
      </c>
      <c r="N12" s="4"/>
      <c r="O12" s="5" t="s">
        <v>146</v>
      </c>
      <c r="P12" s="4" t="s">
        <v>149</v>
      </c>
      <c r="Q12" s="5" t="s">
        <v>145</v>
      </c>
      <c r="R12" s="5" t="n">
        <v>0</v>
      </c>
      <c r="S12" s="5" t="s">
        <v>146</v>
      </c>
      <c r="T12" s="4" t="s">
        <v>149</v>
      </c>
      <c r="U12" s="5" t="s">
        <v>145</v>
      </c>
      <c r="V12" s="5" t="n">
        <v>0</v>
      </c>
      <c r="W12" s="5" t="s">
        <v>146</v>
      </c>
      <c r="X12" s="5" t="n">
        <v>4</v>
      </c>
      <c r="Y12" s="4" t="s">
        <v>201</v>
      </c>
    </row>
    <row r="13" customFormat="false" ht="23.85" hidden="false" customHeight="false" outlineLevel="0" collapsed="false">
      <c r="A13" s="5" t="n">
        <v>43082</v>
      </c>
      <c r="B13" s="5" t="s">
        <v>50</v>
      </c>
      <c r="C13" s="5" t="s">
        <v>202</v>
      </c>
      <c r="D13" s="4" t="s">
        <v>26</v>
      </c>
      <c r="E13" s="4" t="s">
        <v>156</v>
      </c>
      <c r="F13" s="4" t="s">
        <v>142</v>
      </c>
      <c r="G13" s="4" t="s">
        <v>203</v>
      </c>
      <c r="H13" s="4" t="s">
        <v>204</v>
      </c>
      <c r="I13" s="5" t="s">
        <v>145</v>
      </c>
      <c r="J13" s="4"/>
      <c r="K13" s="5" t="s">
        <v>146</v>
      </c>
      <c r="L13" s="4" t="s">
        <v>205</v>
      </c>
      <c r="M13" s="5" t="s">
        <v>145</v>
      </c>
      <c r="N13" s="4"/>
      <c r="O13" s="5" t="s">
        <v>146</v>
      </c>
      <c r="P13" s="4" t="s">
        <v>149</v>
      </c>
      <c r="Q13" s="5" t="s">
        <v>145</v>
      </c>
      <c r="R13" s="5" t="n">
        <v>0</v>
      </c>
      <c r="S13" s="5" t="s">
        <v>146</v>
      </c>
      <c r="T13" s="4" t="s">
        <v>149</v>
      </c>
      <c r="U13" s="5" t="s">
        <v>145</v>
      </c>
      <c r="V13" s="5" t="n">
        <v>0</v>
      </c>
      <c r="W13" s="5" t="s">
        <v>146</v>
      </c>
      <c r="X13" s="5" t="n">
        <v>4</v>
      </c>
      <c r="Y13" s="4" t="s">
        <v>201</v>
      </c>
    </row>
    <row r="14" customFormat="false" ht="23.85" hidden="false" customHeight="false" outlineLevel="0" collapsed="false">
      <c r="A14" s="5" t="n">
        <v>43083</v>
      </c>
      <c r="B14" s="5" t="s">
        <v>50</v>
      </c>
      <c r="C14" s="5" t="s">
        <v>206</v>
      </c>
      <c r="D14" s="4" t="s">
        <v>26</v>
      </c>
      <c r="E14" s="4" t="s">
        <v>156</v>
      </c>
      <c r="F14" s="4" t="s">
        <v>142</v>
      </c>
      <c r="G14" s="4" t="s">
        <v>207</v>
      </c>
      <c r="H14" s="4" t="s">
        <v>208</v>
      </c>
      <c r="I14" s="5" t="s">
        <v>145</v>
      </c>
      <c r="J14" s="4"/>
      <c r="K14" s="5" t="s">
        <v>146</v>
      </c>
      <c r="L14" s="4" t="s">
        <v>209</v>
      </c>
      <c r="M14" s="5" t="s">
        <v>145</v>
      </c>
      <c r="N14" s="4"/>
      <c r="O14" s="5" t="s">
        <v>146</v>
      </c>
      <c r="P14" s="4" t="s">
        <v>149</v>
      </c>
      <c r="Q14" s="5" t="s">
        <v>145</v>
      </c>
      <c r="R14" s="5" t="n">
        <v>0</v>
      </c>
      <c r="S14" s="5" t="s">
        <v>146</v>
      </c>
      <c r="T14" s="4" t="s">
        <v>149</v>
      </c>
      <c r="U14" s="5" t="s">
        <v>145</v>
      </c>
      <c r="V14" s="5" t="n">
        <v>0</v>
      </c>
      <c r="W14" s="5" t="s">
        <v>146</v>
      </c>
      <c r="X14" s="5" t="n">
        <v>4</v>
      </c>
      <c r="Y14" s="4" t="s">
        <v>201</v>
      </c>
    </row>
    <row r="15" customFormat="false" ht="23.85" hidden="false" customHeight="false" outlineLevel="0" collapsed="false">
      <c r="A15" s="5" t="n">
        <v>43084</v>
      </c>
      <c r="B15" s="5" t="s">
        <v>50</v>
      </c>
      <c r="C15" s="5" t="s">
        <v>210</v>
      </c>
      <c r="D15" s="4" t="s">
        <v>26</v>
      </c>
      <c r="E15" s="4" t="s">
        <v>156</v>
      </c>
      <c r="F15" s="4" t="s">
        <v>142</v>
      </c>
      <c r="G15" s="4" t="s">
        <v>211</v>
      </c>
      <c r="H15" s="4" t="s">
        <v>212</v>
      </c>
      <c r="I15" s="5" t="s">
        <v>145</v>
      </c>
      <c r="J15" s="4"/>
      <c r="K15" s="5" t="s">
        <v>146</v>
      </c>
      <c r="L15" s="4"/>
      <c r="M15" s="5" t="s">
        <v>146</v>
      </c>
      <c r="N15" s="4"/>
      <c r="O15" s="5" t="s">
        <v>146</v>
      </c>
      <c r="P15" s="4"/>
      <c r="Q15" s="5" t="s">
        <v>146</v>
      </c>
      <c r="R15" s="5" t="n">
        <v>0</v>
      </c>
      <c r="S15" s="5" t="s">
        <v>146</v>
      </c>
      <c r="T15" s="4"/>
      <c r="U15" s="5" t="s">
        <v>146</v>
      </c>
      <c r="V15" s="5" t="n">
        <v>0</v>
      </c>
      <c r="W15" s="5" t="s">
        <v>146</v>
      </c>
      <c r="X15" s="5" t="n">
        <v>7</v>
      </c>
      <c r="Y15" s="4" t="s">
        <v>159</v>
      </c>
    </row>
  </sheetData>
  <autoFilter ref="A1:Y15"/>
  <conditionalFormatting sqref="I2:I15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15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15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15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15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15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15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15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15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124</v>
      </c>
      <c r="B1" s="3" t="s">
        <v>43</v>
      </c>
      <c r="C1" s="3" t="s">
        <v>125</v>
      </c>
      <c r="D1" s="3" t="s">
        <v>2</v>
      </c>
      <c r="E1" s="3" t="s">
        <v>213</v>
      </c>
      <c r="F1" s="3" t="s">
        <v>214</v>
      </c>
      <c r="G1" s="3" t="s">
        <v>215</v>
      </c>
      <c r="H1" s="3" t="s">
        <v>216</v>
      </c>
      <c r="I1" s="3" t="s">
        <v>217</v>
      </c>
      <c r="J1" s="3" t="s">
        <v>123</v>
      </c>
    </row>
    <row r="2" customFormat="false" ht="15" hidden="false" customHeight="false" outlineLevel="0" collapsed="false">
      <c r="A2" s="5" t="n">
        <v>43054</v>
      </c>
      <c r="B2" s="5" t="s">
        <v>48</v>
      </c>
      <c r="C2" s="5" t="s">
        <v>218</v>
      </c>
      <c r="D2" s="4" t="s">
        <v>30</v>
      </c>
      <c r="E2" s="4" t="s">
        <v>219</v>
      </c>
      <c r="F2" s="4" t="s">
        <v>220</v>
      </c>
      <c r="G2" s="5" t="n">
        <v>117</v>
      </c>
      <c r="H2" s="5" t="s">
        <v>221</v>
      </c>
      <c r="I2" s="4" t="s">
        <v>222</v>
      </c>
      <c r="J2" s="4" t="s">
        <v>118</v>
      </c>
    </row>
    <row r="3" customFormat="false" ht="15" hidden="false" customHeight="false" outlineLevel="0" collapsed="false">
      <c r="A3" s="5" t="n">
        <v>33472</v>
      </c>
      <c r="B3" s="5" t="s">
        <v>48</v>
      </c>
      <c r="C3" s="5" t="s">
        <v>223</v>
      </c>
      <c r="D3" s="4" t="s">
        <v>30</v>
      </c>
      <c r="E3" s="4" t="s">
        <v>219</v>
      </c>
      <c r="F3" s="4" t="s">
        <v>224</v>
      </c>
      <c r="G3" s="5" t="n">
        <v>96</v>
      </c>
      <c r="H3" s="5" t="s">
        <v>221</v>
      </c>
      <c r="I3" s="4" t="s">
        <v>225</v>
      </c>
      <c r="J3" s="4" t="s">
        <v>118</v>
      </c>
    </row>
    <row r="4" customFormat="false" ht="15" hidden="false" customHeight="false" outlineLevel="0" collapsed="false">
      <c r="A4" s="5" t="n">
        <v>43060</v>
      </c>
      <c r="B4" s="5" t="s">
        <v>48</v>
      </c>
      <c r="C4" s="5" t="s">
        <v>226</v>
      </c>
      <c r="D4" s="4" t="s">
        <v>30</v>
      </c>
      <c r="E4" s="4" t="s">
        <v>219</v>
      </c>
      <c r="F4" s="4" t="s">
        <v>220</v>
      </c>
      <c r="G4" s="5" t="n">
        <v>147</v>
      </c>
      <c r="H4" s="5" t="s">
        <v>221</v>
      </c>
      <c r="I4" s="4" t="s">
        <v>227</v>
      </c>
      <c r="J4" s="4" t="s">
        <v>118</v>
      </c>
    </row>
    <row r="5" customFormat="false" ht="15" hidden="false" customHeight="false" outlineLevel="0" collapsed="false">
      <c r="A5" s="5" t="n">
        <v>38433</v>
      </c>
      <c r="B5" s="5" t="s">
        <v>48</v>
      </c>
      <c r="C5" s="5" t="s">
        <v>228</v>
      </c>
      <c r="D5" s="4" t="s">
        <v>30</v>
      </c>
      <c r="E5" s="4" t="s">
        <v>219</v>
      </c>
      <c r="F5" s="4" t="s">
        <v>220</v>
      </c>
      <c r="G5" s="5" t="n">
        <v>94</v>
      </c>
      <c r="H5" s="5" t="s">
        <v>221</v>
      </c>
      <c r="I5" s="4" t="s">
        <v>229</v>
      </c>
      <c r="J5" s="4" t="s">
        <v>118</v>
      </c>
    </row>
    <row r="6" customFormat="false" ht="15" hidden="false" customHeight="false" outlineLevel="0" collapsed="false">
      <c r="A6" s="5" t="n">
        <v>41401</v>
      </c>
      <c r="B6" s="5" t="s">
        <v>48</v>
      </c>
      <c r="C6" s="5" t="s">
        <v>230</v>
      </c>
      <c r="D6" s="4" t="s">
        <v>18</v>
      </c>
      <c r="E6" s="4" t="s">
        <v>219</v>
      </c>
      <c r="F6" s="4" t="s">
        <v>224</v>
      </c>
      <c r="G6" s="5" t="n">
        <v>87</v>
      </c>
      <c r="H6" s="5" t="s">
        <v>221</v>
      </c>
      <c r="I6" s="4" t="s">
        <v>231</v>
      </c>
      <c r="J6" s="4" t="s">
        <v>118</v>
      </c>
    </row>
    <row r="7" customFormat="false" ht="15" hidden="false" customHeight="false" outlineLevel="0" collapsed="false">
      <c r="A7" s="5" t="n">
        <v>29106</v>
      </c>
      <c r="B7" s="5" t="s">
        <v>48</v>
      </c>
      <c r="C7" s="5" t="s">
        <v>232</v>
      </c>
      <c r="D7" s="4" t="s">
        <v>30</v>
      </c>
      <c r="E7" s="4" t="s">
        <v>219</v>
      </c>
      <c r="F7" s="4" t="s">
        <v>224</v>
      </c>
      <c r="G7" s="5" t="n">
        <v>66</v>
      </c>
      <c r="H7" s="5" t="s">
        <v>221</v>
      </c>
      <c r="I7" s="4" t="s">
        <v>233</v>
      </c>
      <c r="J7" s="4" t="s">
        <v>118</v>
      </c>
    </row>
    <row r="8" customFormat="false" ht="15" hidden="false" customHeight="false" outlineLevel="0" collapsed="false">
      <c r="A8" s="5" t="n">
        <v>29111</v>
      </c>
      <c r="B8" s="5" t="s">
        <v>48</v>
      </c>
      <c r="C8" s="5" t="s">
        <v>234</v>
      </c>
      <c r="D8" s="4" t="s">
        <v>30</v>
      </c>
      <c r="E8" s="4" t="s">
        <v>219</v>
      </c>
      <c r="F8" s="4" t="s">
        <v>224</v>
      </c>
      <c r="G8" s="5" t="n">
        <v>73</v>
      </c>
      <c r="H8" s="5" t="s">
        <v>221</v>
      </c>
      <c r="I8" s="4" t="s">
        <v>235</v>
      </c>
      <c r="J8" s="4" t="s">
        <v>118</v>
      </c>
    </row>
    <row r="9" customFormat="false" ht="15" hidden="false" customHeight="false" outlineLevel="0" collapsed="false">
      <c r="A9" s="5" t="n">
        <v>41288</v>
      </c>
      <c r="B9" s="5" t="s">
        <v>48</v>
      </c>
      <c r="C9" s="5" t="s">
        <v>236</v>
      </c>
      <c r="D9" s="4" t="s">
        <v>30</v>
      </c>
      <c r="E9" s="4" t="s">
        <v>219</v>
      </c>
      <c r="F9" s="4" t="s">
        <v>237</v>
      </c>
      <c r="G9" s="5" t="n">
        <v>87</v>
      </c>
      <c r="H9" s="5" t="s">
        <v>221</v>
      </c>
      <c r="I9" s="4" t="s">
        <v>238</v>
      </c>
      <c r="J9" s="4" t="s">
        <v>118</v>
      </c>
    </row>
    <row r="10" customFormat="false" ht="15" hidden="false" customHeight="false" outlineLevel="0" collapsed="false">
      <c r="A10" s="5" t="n">
        <v>40733</v>
      </c>
      <c r="B10" s="5" t="s">
        <v>48</v>
      </c>
      <c r="C10" s="5" t="s">
        <v>239</v>
      </c>
      <c r="D10" s="4" t="s">
        <v>24</v>
      </c>
      <c r="E10" s="4" t="s">
        <v>219</v>
      </c>
      <c r="F10" s="4" t="s">
        <v>240</v>
      </c>
      <c r="G10" s="5" t="n">
        <v>127</v>
      </c>
      <c r="H10" s="5" t="s">
        <v>221</v>
      </c>
      <c r="I10" s="4" t="s">
        <v>241</v>
      </c>
      <c r="J10" s="4" t="s">
        <v>118</v>
      </c>
    </row>
    <row r="11" customFormat="false" ht="15" hidden="false" customHeight="false" outlineLevel="0" collapsed="false">
      <c r="A11" s="5" t="n">
        <v>41505</v>
      </c>
      <c r="B11" s="5" t="s">
        <v>48</v>
      </c>
      <c r="C11" s="5" t="s">
        <v>242</v>
      </c>
      <c r="D11" s="4" t="s">
        <v>24</v>
      </c>
      <c r="E11" s="4" t="s">
        <v>219</v>
      </c>
      <c r="F11" s="4" t="s">
        <v>237</v>
      </c>
      <c r="G11" s="5" t="n">
        <v>143</v>
      </c>
      <c r="H11" s="5" t="s">
        <v>221</v>
      </c>
      <c r="I11" s="4" t="s">
        <v>243</v>
      </c>
      <c r="J11" s="4" t="s">
        <v>118</v>
      </c>
    </row>
    <row r="12" customFormat="false" ht="15" hidden="false" customHeight="false" outlineLevel="0" collapsed="false">
      <c r="A12" s="5" t="n">
        <v>40522</v>
      </c>
      <c r="B12" s="5" t="s">
        <v>48</v>
      </c>
      <c r="C12" s="5" t="s">
        <v>244</v>
      </c>
      <c r="D12" s="4" t="s">
        <v>24</v>
      </c>
      <c r="E12" s="4" t="s">
        <v>219</v>
      </c>
      <c r="F12" s="4" t="s">
        <v>237</v>
      </c>
      <c r="G12" s="5" t="n">
        <v>61</v>
      </c>
      <c r="H12" s="5" t="s">
        <v>221</v>
      </c>
      <c r="I12" s="4" t="s">
        <v>245</v>
      </c>
      <c r="J12" s="4" t="s">
        <v>118</v>
      </c>
    </row>
    <row r="13" customFormat="false" ht="15" hidden="false" customHeight="false" outlineLevel="0" collapsed="false">
      <c r="A13" s="5" t="n">
        <v>38443</v>
      </c>
      <c r="B13" s="5" t="s">
        <v>48</v>
      </c>
      <c r="C13" s="5" t="s">
        <v>246</v>
      </c>
      <c r="D13" s="4" t="s">
        <v>24</v>
      </c>
      <c r="E13" s="4" t="s">
        <v>219</v>
      </c>
      <c r="F13" s="4" t="s">
        <v>247</v>
      </c>
      <c r="G13" s="5" t="n">
        <v>69</v>
      </c>
      <c r="H13" s="5" t="s">
        <v>221</v>
      </c>
      <c r="I13" s="4" t="s">
        <v>248</v>
      </c>
      <c r="J13" s="4" t="s">
        <v>118</v>
      </c>
    </row>
    <row r="14" customFormat="false" ht="15" hidden="false" customHeight="false" outlineLevel="0" collapsed="false">
      <c r="A14" s="5" t="n">
        <v>38545</v>
      </c>
      <c r="B14" s="5" t="s">
        <v>48</v>
      </c>
      <c r="C14" s="5" t="s">
        <v>249</v>
      </c>
      <c r="D14" s="4" t="s">
        <v>24</v>
      </c>
      <c r="E14" s="4" t="s">
        <v>219</v>
      </c>
      <c r="F14" s="4" t="s">
        <v>237</v>
      </c>
      <c r="G14" s="5" t="n">
        <v>76</v>
      </c>
      <c r="H14" s="5" t="s">
        <v>221</v>
      </c>
      <c r="I14" s="4" t="s">
        <v>250</v>
      </c>
      <c r="J14" s="4" t="s">
        <v>118</v>
      </c>
    </row>
    <row r="15" customFormat="false" ht="15" hidden="false" customHeight="false" outlineLevel="0" collapsed="false">
      <c r="A15" s="5" t="n">
        <v>35886</v>
      </c>
      <c r="B15" s="5" t="s">
        <v>48</v>
      </c>
      <c r="C15" s="5" t="s">
        <v>251</v>
      </c>
      <c r="D15" s="4" t="s">
        <v>24</v>
      </c>
      <c r="E15" s="4" t="s">
        <v>219</v>
      </c>
      <c r="F15" s="4" t="s">
        <v>247</v>
      </c>
      <c r="G15" s="5" t="n">
        <v>41</v>
      </c>
      <c r="H15" s="5" t="s">
        <v>221</v>
      </c>
      <c r="I15" s="4" t="s">
        <v>252</v>
      </c>
      <c r="J15" s="4" t="s">
        <v>118</v>
      </c>
    </row>
    <row r="16" customFormat="false" ht="15" hidden="false" customHeight="false" outlineLevel="0" collapsed="false">
      <c r="A16" s="5" t="n">
        <v>38360</v>
      </c>
      <c r="B16" s="5" t="s">
        <v>48</v>
      </c>
      <c r="C16" s="5" t="s">
        <v>253</v>
      </c>
      <c r="D16" s="4" t="s">
        <v>30</v>
      </c>
      <c r="E16" s="4" t="s">
        <v>219</v>
      </c>
      <c r="F16" s="4" t="s">
        <v>237</v>
      </c>
      <c r="G16" s="5" t="n">
        <v>89</v>
      </c>
      <c r="H16" s="5" t="s">
        <v>221</v>
      </c>
      <c r="I16" s="4" t="s">
        <v>254</v>
      </c>
      <c r="J16" s="4" t="s">
        <v>118</v>
      </c>
    </row>
    <row r="17" customFormat="false" ht="15" hidden="false" customHeight="false" outlineLevel="0" collapsed="false">
      <c r="A17" s="5" t="n">
        <v>42329</v>
      </c>
      <c r="B17" s="5" t="s">
        <v>48</v>
      </c>
      <c r="C17" s="5" t="s">
        <v>255</v>
      </c>
      <c r="D17" s="4" t="s">
        <v>24</v>
      </c>
      <c r="E17" s="4" t="s">
        <v>219</v>
      </c>
      <c r="F17" s="4" t="s">
        <v>240</v>
      </c>
      <c r="G17" s="5" t="n">
        <v>121</v>
      </c>
      <c r="H17" s="5" t="s">
        <v>221</v>
      </c>
      <c r="I17" s="4" t="s">
        <v>256</v>
      </c>
      <c r="J17" s="4" t="s">
        <v>118</v>
      </c>
    </row>
    <row r="18" customFormat="false" ht="15" hidden="false" customHeight="false" outlineLevel="0" collapsed="false">
      <c r="A18" s="5" t="n">
        <v>41519</v>
      </c>
      <c r="B18" s="5" t="s">
        <v>48</v>
      </c>
      <c r="C18" s="5" t="s">
        <v>257</v>
      </c>
      <c r="D18" s="4" t="s">
        <v>24</v>
      </c>
      <c r="E18" s="4" t="s">
        <v>219</v>
      </c>
      <c r="F18" s="4" t="s">
        <v>224</v>
      </c>
      <c r="G18" s="5" t="n">
        <v>117</v>
      </c>
      <c r="H18" s="5" t="s">
        <v>221</v>
      </c>
      <c r="I18" s="4" t="s">
        <v>258</v>
      </c>
      <c r="J18" s="4" t="s">
        <v>118</v>
      </c>
    </row>
    <row r="19" customFormat="false" ht="15" hidden="false" customHeight="false" outlineLevel="0" collapsed="false">
      <c r="A19" s="5" t="n">
        <v>41067</v>
      </c>
      <c r="B19" s="5" t="s">
        <v>48</v>
      </c>
      <c r="C19" s="5" t="s">
        <v>259</v>
      </c>
      <c r="D19" s="4" t="s">
        <v>24</v>
      </c>
      <c r="E19" s="4" t="s">
        <v>219</v>
      </c>
      <c r="F19" s="4" t="s">
        <v>237</v>
      </c>
      <c r="G19" s="5" t="n">
        <v>91</v>
      </c>
      <c r="H19" s="5" t="s">
        <v>221</v>
      </c>
      <c r="I19" s="4" t="s">
        <v>260</v>
      </c>
      <c r="J19" s="4" t="s">
        <v>118</v>
      </c>
    </row>
    <row r="20" customFormat="false" ht="15" hidden="false" customHeight="false" outlineLevel="0" collapsed="false">
      <c r="A20" s="5" t="n">
        <v>40865</v>
      </c>
      <c r="B20" s="5" t="s">
        <v>48</v>
      </c>
      <c r="C20" s="5" t="s">
        <v>261</v>
      </c>
      <c r="D20" s="4" t="s">
        <v>24</v>
      </c>
      <c r="E20" s="4" t="s">
        <v>219</v>
      </c>
      <c r="F20" s="4" t="s">
        <v>237</v>
      </c>
      <c r="G20" s="5" t="n">
        <v>71</v>
      </c>
      <c r="H20" s="5" t="s">
        <v>221</v>
      </c>
      <c r="I20" s="4" t="s">
        <v>262</v>
      </c>
      <c r="J20" s="4" t="s">
        <v>118</v>
      </c>
    </row>
    <row r="21" customFormat="false" ht="15" hidden="false" customHeight="false" outlineLevel="0" collapsed="false">
      <c r="A21" s="5" t="n">
        <v>40485</v>
      </c>
      <c r="B21" s="5" t="s">
        <v>48</v>
      </c>
      <c r="C21" s="5" t="s">
        <v>263</v>
      </c>
      <c r="D21" s="4" t="s">
        <v>24</v>
      </c>
      <c r="E21" s="4" t="s">
        <v>219</v>
      </c>
      <c r="F21" s="4" t="s">
        <v>240</v>
      </c>
      <c r="G21" s="5" t="n">
        <v>100</v>
      </c>
      <c r="H21" s="5" t="s">
        <v>221</v>
      </c>
      <c r="I21" s="4" t="s">
        <v>264</v>
      </c>
      <c r="J21" s="4" t="s">
        <v>118</v>
      </c>
    </row>
    <row r="22" customFormat="false" ht="15" hidden="false" customHeight="false" outlineLevel="0" collapsed="false">
      <c r="A22" s="5" t="n">
        <v>38544</v>
      </c>
      <c r="B22" s="5" t="s">
        <v>48</v>
      </c>
      <c r="C22" s="5" t="s">
        <v>265</v>
      </c>
      <c r="D22" s="4" t="s">
        <v>24</v>
      </c>
      <c r="E22" s="4" t="s">
        <v>219</v>
      </c>
      <c r="F22" s="4" t="s">
        <v>240</v>
      </c>
      <c r="G22" s="5" t="n">
        <v>87</v>
      </c>
      <c r="H22" s="5" t="s">
        <v>221</v>
      </c>
      <c r="I22" s="4" t="s">
        <v>266</v>
      </c>
      <c r="J22" s="4" t="s">
        <v>118</v>
      </c>
    </row>
    <row r="23" customFormat="false" ht="15" hidden="false" customHeight="false" outlineLevel="0" collapsed="false">
      <c r="A23" s="5" t="n">
        <v>35952</v>
      </c>
      <c r="B23" s="5" t="s">
        <v>48</v>
      </c>
      <c r="C23" s="5" t="s">
        <v>267</v>
      </c>
      <c r="D23" s="4" t="s">
        <v>18</v>
      </c>
      <c r="E23" s="4" t="s">
        <v>219</v>
      </c>
      <c r="F23" s="4" t="s">
        <v>224</v>
      </c>
      <c r="G23" s="5" t="n">
        <v>134</v>
      </c>
      <c r="H23" s="5" t="s">
        <v>221</v>
      </c>
      <c r="I23" s="4" t="s">
        <v>268</v>
      </c>
      <c r="J23" s="4" t="s">
        <v>118</v>
      </c>
    </row>
    <row r="24" customFormat="false" ht="15" hidden="false" customHeight="false" outlineLevel="0" collapsed="false">
      <c r="A24" s="5" t="n">
        <v>42827</v>
      </c>
      <c r="B24" s="5" t="s">
        <v>48</v>
      </c>
      <c r="C24" s="5" t="s">
        <v>191</v>
      </c>
      <c r="D24" s="4" t="s">
        <v>18</v>
      </c>
      <c r="E24" s="4" t="s">
        <v>219</v>
      </c>
      <c r="F24" s="4" t="s">
        <v>224</v>
      </c>
      <c r="G24" s="5" t="n">
        <v>82</v>
      </c>
      <c r="H24" s="5" t="s">
        <v>221</v>
      </c>
      <c r="I24" s="4" t="s">
        <v>269</v>
      </c>
      <c r="J24" s="4" t="s">
        <v>118</v>
      </c>
    </row>
    <row r="25" customFormat="false" ht="15" hidden="false" customHeight="false" outlineLevel="0" collapsed="false">
      <c r="A25" s="5" t="n">
        <v>43066</v>
      </c>
      <c r="B25" s="5" t="s">
        <v>48</v>
      </c>
      <c r="C25" s="5" t="s">
        <v>270</v>
      </c>
      <c r="D25" s="4" t="s">
        <v>26</v>
      </c>
      <c r="E25" s="4" t="s">
        <v>219</v>
      </c>
      <c r="F25" s="4" t="s">
        <v>224</v>
      </c>
      <c r="G25" s="5" t="n">
        <v>37</v>
      </c>
      <c r="H25" s="5" t="s">
        <v>271</v>
      </c>
      <c r="I25" s="4" t="s">
        <v>272</v>
      </c>
      <c r="J25" s="4" t="s">
        <v>119</v>
      </c>
    </row>
    <row r="26" customFormat="false" ht="15" hidden="false" customHeight="false" outlineLevel="0" collapsed="false">
      <c r="A26" s="5" t="n">
        <v>40766</v>
      </c>
      <c r="B26" s="5" t="s">
        <v>48</v>
      </c>
      <c r="C26" s="5" t="s">
        <v>273</v>
      </c>
      <c r="D26" s="4" t="s">
        <v>20</v>
      </c>
      <c r="E26" s="4" t="s">
        <v>219</v>
      </c>
      <c r="F26" s="4" t="s">
        <v>224</v>
      </c>
      <c r="G26" s="5" t="n">
        <v>44</v>
      </c>
      <c r="H26" s="5" t="s">
        <v>221</v>
      </c>
      <c r="I26" s="4" t="s">
        <v>274</v>
      </c>
      <c r="J26" s="4" t="s">
        <v>118</v>
      </c>
    </row>
    <row r="27" customFormat="false" ht="15" hidden="false" customHeight="false" outlineLevel="0" collapsed="false">
      <c r="A27" s="5" t="n">
        <v>42992</v>
      </c>
      <c r="B27" s="5" t="s">
        <v>48</v>
      </c>
      <c r="C27" s="5" t="s">
        <v>275</v>
      </c>
      <c r="D27" s="4" t="s">
        <v>20</v>
      </c>
      <c r="E27" s="4" t="s">
        <v>219</v>
      </c>
      <c r="F27" s="4" t="s">
        <v>237</v>
      </c>
      <c r="G27" s="5" t="n">
        <v>37</v>
      </c>
      <c r="H27" s="5" t="s">
        <v>271</v>
      </c>
      <c r="I27" s="4" t="s">
        <v>276</v>
      </c>
      <c r="J27" s="4" t="s">
        <v>119</v>
      </c>
    </row>
    <row r="28" customFormat="false" ht="15" hidden="false" customHeight="false" outlineLevel="0" collapsed="false">
      <c r="A28" s="5" t="n">
        <v>42699</v>
      </c>
      <c r="B28" s="5" t="s">
        <v>48</v>
      </c>
      <c r="C28" s="5" t="s">
        <v>277</v>
      </c>
      <c r="D28" s="4" t="s">
        <v>20</v>
      </c>
      <c r="E28" s="4" t="s">
        <v>219</v>
      </c>
      <c r="F28" s="4" t="s">
        <v>237</v>
      </c>
      <c r="G28" s="5" t="n">
        <v>74</v>
      </c>
      <c r="H28" s="5" t="s">
        <v>221</v>
      </c>
      <c r="I28" s="4" t="s">
        <v>278</v>
      </c>
      <c r="J28" s="4" t="s">
        <v>118</v>
      </c>
    </row>
    <row r="29" customFormat="false" ht="15" hidden="false" customHeight="false" outlineLevel="0" collapsed="false">
      <c r="A29" s="5" t="n">
        <v>43026</v>
      </c>
      <c r="B29" s="5" t="s">
        <v>48</v>
      </c>
      <c r="C29" s="5" t="s">
        <v>279</v>
      </c>
      <c r="D29" s="4" t="s">
        <v>20</v>
      </c>
      <c r="E29" s="4" t="s">
        <v>219</v>
      </c>
      <c r="F29" s="4" t="s">
        <v>237</v>
      </c>
      <c r="G29" s="5" t="n">
        <v>62</v>
      </c>
      <c r="H29" s="5" t="s">
        <v>221</v>
      </c>
      <c r="I29" s="4" t="s">
        <v>280</v>
      </c>
      <c r="J29" s="4" t="s">
        <v>118</v>
      </c>
    </row>
    <row r="30" customFormat="false" ht="15" hidden="false" customHeight="false" outlineLevel="0" collapsed="false">
      <c r="A30" s="5" t="n">
        <v>41047</v>
      </c>
      <c r="B30" s="5" t="s">
        <v>48</v>
      </c>
      <c r="C30" s="5" t="s">
        <v>281</v>
      </c>
      <c r="D30" s="4" t="s">
        <v>28</v>
      </c>
      <c r="E30" s="4" t="s">
        <v>219</v>
      </c>
      <c r="F30" s="4" t="s">
        <v>220</v>
      </c>
      <c r="G30" s="5" t="n">
        <v>49</v>
      </c>
      <c r="H30" s="5" t="s">
        <v>221</v>
      </c>
      <c r="I30" s="4" t="s">
        <v>282</v>
      </c>
      <c r="J30" s="4" t="s">
        <v>118</v>
      </c>
    </row>
    <row r="31" customFormat="false" ht="15" hidden="false" customHeight="false" outlineLevel="0" collapsed="false">
      <c r="A31" s="5" t="n">
        <v>43067</v>
      </c>
      <c r="B31" s="5" t="s">
        <v>48</v>
      </c>
      <c r="C31" s="5" t="s">
        <v>283</v>
      </c>
      <c r="D31" s="4" t="s">
        <v>20</v>
      </c>
      <c r="E31" s="4" t="s">
        <v>219</v>
      </c>
      <c r="F31" s="4" t="s">
        <v>224</v>
      </c>
      <c r="G31" s="5" t="n">
        <v>43</v>
      </c>
      <c r="H31" s="5" t="s">
        <v>221</v>
      </c>
      <c r="I31" s="4" t="s">
        <v>284</v>
      </c>
      <c r="J31" s="4" t="s">
        <v>118</v>
      </c>
    </row>
    <row r="32" customFormat="false" ht="15" hidden="false" customHeight="false" outlineLevel="0" collapsed="false">
      <c r="A32" s="5" t="n">
        <v>40688</v>
      </c>
      <c r="B32" s="5" t="s">
        <v>48</v>
      </c>
      <c r="C32" s="5" t="s">
        <v>285</v>
      </c>
      <c r="D32" s="4" t="s">
        <v>22</v>
      </c>
      <c r="E32" s="4" t="s">
        <v>219</v>
      </c>
      <c r="F32" s="4" t="s">
        <v>224</v>
      </c>
      <c r="G32" s="5" t="n">
        <v>92</v>
      </c>
      <c r="H32" s="5" t="s">
        <v>221</v>
      </c>
      <c r="I32" s="4" t="s">
        <v>286</v>
      </c>
      <c r="J32" s="4" t="s">
        <v>118</v>
      </c>
    </row>
    <row r="33" customFormat="false" ht="15" hidden="false" customHeight="false" outlineLevel="0" collapsed="false">
      <c r="A33" s="5" t="n">
        <v>39518</v>
      </c>
      <c r="B33" s="5" t="s">
        <v>48</v>
      </c>
      <c r="C33" s="5" t="s">
        <v>287</v>
      </c>
      <c r="D33" s="4" t="s">
        <v>22</v>
      </c>
      <c r="E33" s="4" t="s">
        <v>219</v>
      </c>
      <c r="F33" s="4" t="s">
        <v>224</v>
      </c>
      <c r="G33" s="5" t="n">
        <v>91</v>
      </c>
      <c r="H33" s="5" t="s">
        <v>221</v>
      </c>
      <c r="I33" s="4" t="s">
        <v>288</v>
      </c>
      <c r="J33" s="4" t="s">
        <v>118</v>
      </c>
    </row>
    <row r="34" customFormat="false" ht="15" hidden="false" customHeight="false" outlineLevel="0" collapsed="false">
      <c r="A34" s="5" t="n">
        <v>39768</v>
      </c>
      <c r="B34" s="5" t="s">
        <v>48</v>
      </c>
      <c r="C34" s="5" t="s">
        <v>289</v>
      </c>
      <c r="D34" s="4" t="s">
        <v>22</v>
      </c>
      <c r="E34" s="4" t="s">
        <v>219</v>
      </c>
      <c r="F34" s="4" t="s">
        <v>224</v>
      </c>
      <c r="G34" s="5" t="n">
        <v>120</v>
      </c>
      <c r="H34" s="5" t="s">
        <v>221</v>
      </c>
      <c r="I34" s="4" t="s">
        <v>290</v>
      </c>
      <c r="J34" s="4" t="s">
        <v>118</v>
      </c>
    </row>
    <row r="35" customFormat="false" ht="15" hidden="false" customHeight="false" outlineLevel="0" collapsed="false">
      <c r="A35" s="5" t="n">
        <v>40549</v>
      </c>
      <c r="B35" s="5" t="s">
        <v>50</v>
      </c>
      <c r="C35" s="5" t="s">
        <v>291</v>
      </c>
      <c r="D35" s="4" t="s">
        <v>30</v>
      </c>
      <c r="E35" s="4" t="s">
        <v>219</v>
      </c>
      <c r="F35" s="4" t="s">
        <v>220</v>
      </c>
      <c r="G35" s="5" t="n">
        <v>81</v>
      </c>
      <c r="H35" s="5" t="s">
        <v>221</v>
      </c>
      <c r="I35" s="4" t="s">
        <v>292</v>
      </c>
      <c r="J35" s="4" t="s">
        <v>118</v>
      </c>
    </row>
    <row r="36" customFormat="false" ht="15" hidden="false" customHeight="false" outlineLevel="0" collapsed="false">
      <c r="A36" s="5" t="n">
        <v>40549</v>
      </c>
      <c r="B36" s="5" t="s">
        <v>50</v>
      </c>
      <c r="C36" s="5" t="s">
        <v>291</v>
      </c>
      <c r="D36" s="4" t="s">
        <v>30</v>
      </c>
      <c r="E36" s="4" t="s">
        <v>293</v>
      </c>
      <c r="F36" s="4"/>
      <c r="G36" s="5" t="n">
        <v>0</v>
      </c>
      <c r="H36" s="5" t="s">
        <v>294</v>
      </c>
      <c r="I36" s="4"/>
      <c r="J36" s="4" t="s">
        <v>120</v>
      </c>
    </row>
    <row r="37" customFormat="false" ht="15" hidden="false" customHeight="false" outlineLevel="0" collapsed="false">
      <c r="A37" s="5" t="n">
        <v>38089</v>
      </c>
      <c r="B37" s="5" t="s">
        <v>50</v>
      </c>
      <c r="C37" s="5" t="s">
        <v>295</v>
      </c>
      <c r="D37" s="4" t="s">
        <v>30</v>
      </c>
      <c r="E37" s="4" t="s">
        <v>219</v>
      </c>
      <c r="F37" s="4" t="s">
        <v>220</v>
      </c>
      <c r="G37" s="5" t="n">
        <v>136</v>
      </c>
      <c r="H37" s="5" t="s">
        <v>221</v>
      </c>
      <c r="I37" s="4" t="s">
        <v>296</v>
      </c>
      <c r="J37" s="4" t="s">
        <v>118</v>
      </c>
    </row>
    <row r="38" customFormat="false" ht="15" hidden="false" customHeight="false" outlineLevel="0" collapsed="false">
      <c r="A38" s="5" t="n">
        <v>43070</v>
      </c>
      <c r="B38" s="5" t="s">
        <v>50</v>
      </c>
      <c r="C38" s="5" t="s">
        <v>297</v>
      </c>
      <c r="D38" s="4" t="s">
        <v>30</v>
      </c>
      <c r="E38" s="4" t="s">
        <v>219</v>
      </c>
      <c r="F38" s="4" t="s">
        <v>220</v>
      </c>
      <c r="G38" s="5" t="n">
        <v>83</v>
      </c>
      <c r="H38" s="5" t="s">
        <v>221</v>
      </c>
      <c r="I38" s="4" t="s">
        <v>298</v>
      </c>
      <c r="J38" s="4" t="s">
        <v>118</v>
      </c>
    </row>
    <row r="39" customFormat="false" ht="15" hidden="false" customHeight="false" outlineLevel="0" collapsed="false">
      <c r="A39" s="5" t="n">
        <v>25129</v>
      </c>
      <c r="B39" s="5" t="s">
        <v>50</v>
      </c>
      <c r="C39" s="5" t="s">
        <v>299</v>
      </c>
      <c r="D39" s="4" t="s">
        <v>30</v>
      </c>
      <c r="E39" s="4" t="s">
        <v>219</v>
      </c>
      <c r="F39" s="4" t="s">
        <v>237</v>
      </c>
      <c r="G39" s="5" t="n">
        <v>71</v>
      </c>
      <c r="H39" s="5" t="s">
        <v>221</v>
      </c>
      <c r="I39" s="4" t="s">
        <v>300</v>
      </c>
      <c r="J39" s="4" t="s">
        <v>118</v>
      </c>
    </row>
    <row r="40" customFormat="false" ht="15" hidden="false" customHeight="false" outlineLevel="0" collapsed="false">
      <c r="A40" s="5" t="n">
        <v>40498</v>
      </c>
      <c r="B40" s="5" t="s">
        <v>50</v>
      </c>
      <c r="C40" s="5" t="s">
        <v>174</v>
      </c>
      <c r="D40" s="4" t="s">
        <v>30</v>
      </c>
      <c r="E40" s="4" t="s">
        <v>219</v>
      </c>
      <c r="F40" s="4" t="s">
        <v>237</v>
      </c>
      <c r="G40" s="5" t="n">
        <v>138</v>
      </c>
      <c r="H40" s="5" t="s">
        <v>221</v>
      </c>
      <c r="I40" s="4" t="s">
        <v>301</v>
      </c>
      <c r="J40" s="4" t="s">
        <v>118</v>
      </c>
    </row>
    <row r="41" customFormat="false" ht="23.85" hidden="false" customHeight="false" outlineLevel="0" collapsed="false">
      <c r="A41" s="5" t="n">
        <v>40498</v>
      </c>
      <c r="B41" s="5" t="s">
        <v>50</v>
      </c>
      <c r="C41" s="5" t="s">
        <v>174</v>
      </c>
      <c r="D41" s="4" t="s">
        <v>30</v>
      </c>
      <c r="E41" s="4" t="s">
        <v>219</v>
      </c>
      <c r="F41" s="4" t="s">
        <v>247</v>
      </c>
      <c r="G41" s="5" t="n">
        <v>10</v>
      </c>
      <c r="H41" s="5" t="s">
        <v>294</v>
      </c>
      <c r="I41" s="4" t="s">
        <v>302</v>
      </c>
      <c r="J41" s="4" t="s">
        <v>121</v>
      </c>
    </row>
    <row r="42" customFormat="false" ht="15" hidden="false" customHeight="false" outlineLevel="0" collapsed="false">
      <c r="A42" s="5" t="n">
        <v>43074</v>
      </c>
      <c r="B42" s="5" t="s">
        <v>50</v>
      </c>
      <c r="C42" s="5" t="s">
        <v>303</v>
      </c>
      <c r="D42" s="4" t="s">
        <v>18</v>
      </c>
      <c r="E42" s="4" t="s">
        <v>219</v>
      </c>
      <c r="F42" s="4" t="s">
        <v>224</v>
      </c>
      <c r="G42" s="5" t="n">
        <v>99</v>
      </c>
      <c r="H42" s="5" t="s">
        <v>221</v>
      </c>
      <c r="I42" s="4" t="s">
        <v>304</v>
      </c>
      <c r="J42" s="4" t="s">
        <v>118</v>
      </c>
    </row>
    <row r="43" customFormat="false" ht="15" hidden="false" customHeight="false" outlineLevel="0" collapsed="false">
      <c r="A43" s="5" t="n">
        <v>39518</v>
      </c>
      <c r="B43" s="5" t="s">
        <v>50</v>
      </c>
      <c r="C43" s="5" t="s">
        <v>305</v>
      </c>
      <c r="D43" s="4" t="s">
        <v>22</v>
      </c>
      <c r="E43" s="4" t="s">
        <v>219</v>
      </c>
      <c r="F43" s="4" t="s">
        <v>224</v>
      </c>
      <c r="G43" s="5" t="n">
        <v>55</v>
      </c>
      <c r="H43" s="5" t="s">
        <v>221</v>
      </c>
      <c r="I43" s="4" t="s">
        <v>306</v>
      </c>
      <c r="J43" s="4" t="s">
        <v>118</v>
      </c>
    </row>
    <row r="44" customFormat="false" ht="15" hidden="false" customHeight="false" outlineLevel="0" collapsed="false">
      <c r="A44" s="5" t="n">
        <v>40688</v>
      </c>
      <c r="B44" s="5" t="s">
        <v>50</v>
      </c>
      <c r="C44" s="5" t="s">
        <v>307</v>
      </c>
      <c r="D44" s="4" t="s">
        <v>22</v>
      </c>
      <c r="E44" s="4" t="s">
        <v>219</v>
      </c>
      <c r="F44" s="4" t="s">
        <v>224</v>
      </c>
      <c r="G44" s="5" t="n">
        <v>116</v>
      </c>
      <c r="H44" s="5" t="s">
        <v>221</v>
      </c>
      <c r="I44" s="4" t="s">
        <v>308</v>
      </c>
      <c r="J44" s="4" t="s">
        <v>118</v>
      </c>
    </row>
    <row r="45" customFormat="false" ht="15" hidden="false" customHeight="false" outlineLevel="0" collapsed="false">
      <c r="A45" s="5" t="n">
        <v>40608</v>
      </c>
      <c r="B45" s="5" t="s">
        <v>50</v>
      </c>
      <c r="C45" s="5" t="s">
        <v>309</v>
      </c>
      <c r="D45" s="4" t="s">
        <v>22</v>
      </c>
      <c r="E45" s="4" t="s">
        <v>219</v>
      </c>
      <c r="F45" s="4" t="s">
        <v>224</v>
      </c>
      <c r="G45" s="5" t="n">
        <v>208</v>
      </c>
      <c r="H45" s="5" t="s">
        <v>221</v>
      </c>
      <c r="I45" s="4" t="s">
        <v>310</v>
      </c>
      <c r="J45" s="4" t="s">
        <v>118</v>
      </c>
    </row>
    <row r="46" customFormat="false" ht="15" hidden="false" customHeight="false" outlineLevel="0" collapsed="false">
      <c r="A46" s="5" t="n">
        <v>43075</v>
      </c>
      <c r="B46" s="5" t="s">
        <v>50</v>
      </c>
      <c r="C46" s="5" t="s">
        <v>311</v>
      </c>
      <c r="D46" s="4" t="s">
        <v>18</v>
      </c>
      <c r="E46" s="4" t="s">
        <v>219</v>
      </c>
      <c r="F46" s="4" t="s">
        <v>224</v>
      </c>
      <c r="G46" s="5" t="n">
        <v>163</v>
      </c>
      <c r="H46" s="5" t="s">
        <v>221</v>
      </c>
      <c r="I46" s="4" t="s">
        <v>312</v>
      </c>
      <c r="J46" s="4" t="s">
        <v>118</v>
      </c>
    </row>
    <row r="47" customFormat="false" ht="15" hidden="false" customHeight="false" outlineLevel="0" collapsed="false">
      <c r="A47" s="5" t="n">
        <v>40310</v>
      </c>
      <c r="B47" s="5" t="s">
        <v>50</v>
      </c>
      <c r="C47" s="5" t="s">
        <v>313</v>
      </c>
      <c r="D47" s="4" t="s">
        <v>18</v>
      </c>
      <c r="E47" s="4" t="s">
        <v>219</v>
      </c>
      <c r="F47" s="4" t="s">
        <v>224</v>
      </c>
      <c r="G47" s="5" t="n">
        <v>93</v>
      </c>
      <c r="H47" s="5" t="s">
        <v>221</v>
      </c>
      <c r="I47" s="4" t="s">
        <v>314</v>
      </c>
      <c r="J47" s="4" t="s">
        <v>118</v>
      </c>
    </row>
    <row r="48" customFormat="false" ht="15" hidden="false" customHeight="false" outlineLevel="0" collapsed="false">
      <c r="A48" s="5" t="n">
        <v>41401</v>
      </c>
      <c r="B48" s="5" t="s">
        <v>50</v>
      </c>
      <c r="C48" s="5" t="s">
        <v>315</v>
      </c>
      <c r="D48" s="4" t="s">
        <v>18</v>
      </c>
      <c r="E48" s="4" t="s">
        <v>219</v>
      </c>
      <c r="F48" s="4" t="s">
        <v>224</v>
      </c>
      <c r="G48" s="5" t="n">
        <v>184</v>
      </c>
      <c r="H48" s="5" t="s">
        <v>221</v>
      </c>
      <c r="I48" s="4" t="s">
        <v>316</v>
      </c>
      <c r="J48" s="4" t="s">
        <v>118</v>
      </c>
    </row>
    <row r="49" customFormat="false" ht="15" hidden="false" customHeight="false" outlineLevel="0" collapsed="false">
      <c r="A49" s="5" t="n">
        <v>41555</v>
      </c>
      <c r="B49" s="5" t="s">
        <v>50</v>
      </c>
      <c r="C49" s="5" t="s">
        <v>182</v>
      </c>
      <c r="D49" s="4" t="s">
        <v>20</v>
      </c>
      <c r="E49" s="4" t="s">
        <v>219</v>
      </c>
      <c r="F49" s="4" t="s">
        <v>247</v>
      </c>
      <c r="G49" s="5" t="n">
        <v>57</v>
      </c>
      <c r="H49" s="5" t="s">
        <v>221</v>
      </c>
      <c r="I49" s="4" t="s">
        <v>317</v>
      </c>
      <c r="J49" s="4" t="s">
        <v>118</v>
      </c>
    </row>
    <row r="50" customFormat="false" ht="15" hidden="false" customHeight="false" outlineLevel="0" collapsed="false">
      <c r="A50" s="5" t="n">
        <v>43077</v>
      </c>
      <c r="B50" s="5" t="s">
        <v>50</v>
      </c>
      <c r="C50" s="5" t="s">
        <v>318</v>
      </c>
      <c r="D50" s="4" t="s">
        <v>20</v>
      </c>
      <c r="E50" s="4" t="s">
        <v>219</v>
      </c>
      <c r="F50" s="4" t="s">
        <v>224</v>
      </c>
      <c r="G50" s="5" t="n">
        <v>51</v>
      </c>
      <c r="H50" s="5" t="s">
        <v>221</v>
      </c>
      <c r="I50" s="4" t="s">
        <v>319</v>
      </c>
      <c r="J50" s="4" t="s">
        <v>118</v>
      </c>
    </row>
    <row r="51" customFormat="false" ht="15" hidden="false" customHeight="false" outlineLevel="0" collapsed="false">
      <c r="A51" s="5" t="n">
        <v>43076</v>
      </c>
      <c r="B51" s="5" t="s">
        <v>50</v>
      </c>
      <c r="C51" s="5" t="s">
        <v>320</v>
      </c>
      <c r="D51" s="4" t="s">
        <v>18</v>
      </c>
      <c r="E51" s="4" t="s">
        <v>219</v>
      </c>
      <c r="F51" s="4" t="s">
        <v>224</v>
      </c>
      <c r="G51" s="5" t="n">
        <v>98</v>
      </c>
      <c r="H51" s="5" t="s">
        <v>221</v>
      </c>
      <c r="I51" s="4" t="s">
        <v>321</v>
      </c>
      <c r="J51" s="4" t="s">
        <v>118</v>
      </c>
    </row>
    <row r="52" customFormat="false" ht="15" hidden="false" customHeight="false" outlineLevel="0" collapsed="false">
      <c r="A52" s="5" t="n">
        <v>43078</v>
      </c>
      <c r="B52" s="5" t="s">
        <v>50</v>
      </c>
      <c r="C52" s="5" t="s">
        <v>322</v>
      </c>
      <c r="D52" s="4" t="s">
        <v>30</v>
      </c>
      <c r="E52" s="4" t="s">
        <v>219</v>
      </c>
      <c r="F52" s="4" t="s">
        <v>237</v>
      </c>
      <c r="G52" s="5" t="n">
        <v>103</v>
      </c>
      <c r="H52" s="5" t="s">
        <v>221</v>
      </c>
      <c r="I52" s="4" t="s">
        <v>323</v>
      </c>
      <c r="J52" s="4" t="s">
        <v>118</v>
      </c>
    </row>
    <row r="53" customFormat="false" ht="15" hidden="false" customHeight="false" outlineLevel="0" collapsed="false">
      <c r="A53" s="5" t="n">
        <v>36828</v>
      </c>
      <c r="B53" s="5" t="s">
        <v>50</v>
      </c>
      <c r="C53" s="5" t="s">
        <v>324</v>
      </c>
      <c r="D53" s="4" t="s">
        <v>28</v>
      </c>
      <c r="E53" s="4" t="s">
        <v>219</v>
      </c>
      <c r="F53" s="4" t="s">
        <v>224</v>
      </c>
      <c r="G53" s="5" t="n">
        <v>56</v>
      </c>
      <c r="H53" s="5" t="s">
        <v>221</v>
      </c>
      <c r="I53" s="4" t="s">
        <v>325</v>
      </c>
      <c r="J53" s="4" t="s">
        <v>118</v>
      </c>
    </row>
    <row r="54" customFormat="false" ht="15" hidden="false" customHeight="false" outlineLevel="0" collapsed="false">
      <c r="A54" s="5" t="n">
        <v>43081</v>
      </c>
      <c r="B54" s="5" t="s">
        <v>50</v>
      </c>
      <c r="C54" s="5" t="s">
        <v>202</v>
      </c>
      <c r="D54" s="4" t="s">
        <v>26</v>
      </c>
      <c r="E54" s="4" t="s">
        <v>219</v>
      </c>
      <c r="F54" s="4" t="s">
        <v>220</v>
      </c>
      <c r="G54" s="5" t="n">
        <v>66</v>
      </c>
      <c r="H54" s="5" t="s">
        <v>221</v>
      </c>
      <c r="I54" s="4" t="s">
        <v>326</v>
      </c>
      <c r="J54" s="4" t="s">
        <v>118</v>
      </c>
    </row>
    <row r="55" customFormat="false" ht="15" hidden="false" customHeight="false" outlineLevel="0" collapsed="false">
      <c r="A55" s="5" t="n">
        <v>43082</v>
      </c>
      <c r="B55" s="5" t="s">
        <v>50</v>
      </c>
      <c r="C55" s="5" t="s">
        <v>206</v>
      </c>
      <c r="D55" s="4" t="s">
        <v>26</v>
      </c>
      <c r="E55" s="4" t="s">
        <v>219</v>
      </c>
      <c r="F55" s="4" t="s">
        <v>220</v>
      </c>
      <c r="G55" s="5" t="n">
        <v>66</v>
      </c>
      <c r="H55" s="5" t="s">
        <v>221</v>
      </c>
      <c r="I55" s="4" t="s">
        <v>327</v>
      </c>
      <c r="J55" s="4" t="s">
        <v>118</v>
      </c>
    </row>
    <row r="56" customFormat="false" ht="15" hidden="false" customHeight="false" outlineLevel="0" collapsed="false">
      <c r="A56" s="5" t="n">
        <v>43083</v>
      </c>
      <c r="B56" s="5" t="s">
        <v>50</v>
      </c>
      <c r="C56" s="5" t="s">
        <v>210</v>
      </c>
      <c r="D56" s="4" t="s">
        <v>26</v>
      </c>
      <c r="E56" s="4" t="s">
        <v>219</v>
      </c>
      <c r="F56" s="4" t="s">
        <v>220</v>
      </c>
      <c r="G56" s="5" t="n">
        <v>38</v>
      </c>
      <c r="H56" s="5" t="s">
        <v>271</v>
      </c>
      <c r="I56" s="4" t="s">
        <v>328</v>
      </c>
      <c r="J56" s="4" t="s">
        <v>119</v>
      </c>
    </row>
    <row r="57" customFormat="false" ht="15" hidden="false" customHeight="false" outlineLevel="0" collapsed="false">
      <c r="A57" s="5" t="n">
        <v>43084</v>
      </c>
      <c r="B57" s="5" t="s">
        <v>50</v>
      </c>
      <c r="C57" s="5" t="s">
        <v>329</v>
      </c>
      <c r="D57" s="4" t="s">
        <v>26</v>
      </c>
      <c r="E57" s="4" t="s">
        <v>219</v>
      </c>
      <c r="F57" s="4" t="s">
        <v>224</v>
      </c>
      <c r="G57" s="5" t="n">
        <v>45</v>
      </c>
      <c r="H57" s="5" t="s">
        <v>221</v>
      </c>
      <c r="I57" s="4" t="s">
        <v>330</v>
      </c>
      <c r="J57" s="4" t="s">
        <v>118</v>
      </c>
    </row>
  </sheetData>
  <autoFilter ref="A1:J57"/>
  <conditionalFormatting sqref="J2:J57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57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2026-09-03T07:03:51Z</dcterms:created>
  <dc:creator>openpyxl</dc:creator>
  <dc:description/>
  <dc:language>en-US</dc:language>
  <cp:lastModifiedBy/>
  <dcterms:modified xsi:type="dcterms:W3CDTF">2026-09-03T07:03:52Z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