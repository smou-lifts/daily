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ملخص المناديب" sheetId="1" state="visible" r:id="rId3"/>
    <sheet name="متابعة يومية" sheetId="2" state="visible" r:id="rId4"/>
    <sheet name="الملاحظات وتكرارها" sheetId="3" state="visible" r:id="rId5"/>
    <sheet name="تفاصيل الفرص" sheetId="4" state="visible" r:id="rId6"/>
    <sheet name="سجل الأكشنات" sheetId="5" state="visible" r:id="rId7"/>
  </sheets>
  <definedNames>
    <definedName function="false" hidden="true" localSheetId="3" name="_xlnm._FilterDatabase" vbProcedure="false">'تفاصيل الفرص'!$A$1:$Y$2</definedName>
    <definedName function="false" hidden="true" localSheetId="4" name="_xlnm._FilterDatabase" vbProcedure="false">'سجل الأكشنات'!$A$1:$J$13</definedName>
    <definedName function="false" hidden="true" localSheetId="1" name="_xlnm._FilterDatabase" vbProcedure="false">'متابعة يومية'!$A$3:$I$33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<sst xmlns="http://schemas.openxmlformats.org/spreadsheetml/2006/main" count="308" uniqueCount="151">
  <si>
    <t xml:space="preserve">شيت المتابعة اليومية للمناديب — Smou Lifts (Odoo CRM)</t>
  </si>
  <si>
    <t xml:space="preserve">الفترة: 01/09/2026 حتى 30/09/2026   |   البيانات متاحة فعلياً حتى 2026-09-01   |   المصدر: crm.lead   |   آخر تحديث: 03/09/2026</t>
  </si>
  <si>
    <t xml:space="preserve">المندوب</t>
  </si>
  <si>
    <t xml:space="preserve">عدد الفرص</t>
  </si>
  <si>
    <t xml:space="preserve">اسم العميل مكتوب</t>
  </si>
  <si>
    <t xml:space="preserve">Plot Number</t>
  </si>
  <si>
    <t xml:space="preserve">الاستشاري</t>
  </si>
  <si>
    <t xml:space="preserve">المقاول</t>
  </si>
  <si>
    <t xml:space="preserve">Tags</t>
  </si>
  <si>
    <t xml:space="preserve">مرفقات</t>
  </si>
  <si>
    <t xml:space="preserve">Source</t>
  </si>
  <si>
    <t xml:space="preserve">ملاحظات</t>
  </si>
  <si>
    <t xml:space="preserve">نسبة الاكتمال %</t>
  </si>
  <si>
    <t xml:space="preserve">عدد الأكشنات</t>
  </si>
  <si>
    <t xml:space="preserve">أكشنات تفصيلية</t>
  </si>
  <si>
    <t xml:space="preserve">أكشنات مختصرة</t>
  </si>
  <si>
    <t xml:space="preserve">نسبة التفصيل %</t>
  </si>
  <si>
    <t xml:space="preserve">الملاحظة العامة على المندوب</t>
  </si>
  <si>
    <t xml:space="preserve">Hossam Radi</t>
  </si>
  <si>
    <t xml:space="preserve">لم ينشئ أي فرصة في الفترة · الأكشنات: 12 أكشن كلها مكتوبة بتفاصيل ✔</t>
  </si>
  <si>
    <t xml:space="preserve">الإجمالي</t>
  </si>
  <si>
    <t xml:space="preserve">ملاحظات على المنهجية:</t>
  </si>
  <si>
    <t xml:space="preserve">• «عدد الفرص» = الفرص (crm.lead) التي أنشأها المندوب في الفترة، بتوقيت الإمارات (UTC+4).</t>
  </si>
  <si>
    <t xml:space="preserve">• أعمدة الفحص تَعُدّ الفرص التي بها الخانة ممتلئة فعلياً (نعم) — التفاصيل سطراً بسطر في تاب «تفاصيل الفرص».</t>
  </si>
  <si>
    <t xml:space="preserve">• «نسبة الاكتمال %» = مجموع الخانات الممتلئة ÷ (عدد الفرص × 8 خانات مطلوبة).</t>
  </si>
  <si>
    <t xml:space="preserve">• «عدد الأكشنات» = الأنشطة المنفّذة (Activity done) + الملاحظات المسجّلة على الفرص خلال الفترة.</t>
  </si>
  <si>
    <t xml:space="preserve">• «تفصيلي» = نص الأكشن 40 حرفاً فأكثر · «مختصر» = أقل من 40 حرفاً أو فارغ.</t>
  </si>
  <si>
    <t xml:space="preserve">• البيانات مسحوبة من الأودو بتاريخ 03/09/2026 — آخر يوم به نشاط مسجّل هو 2026-09-01.</t>
  </si>
  <si>
    <t xml:space="preserve">• المناديب المستبعدون من الشيت: Sayed Samak.</t>
  </si>
  <si>
    <t xml:space="preserve">المتابعة اليومية لكل مندوب — 01/09/2026 إلى 30/09/2026</t>
  </si>
  <si>
    <t xml:space="preserve">اليوم</t>
  </si>
  <si>
    <t xml:space="preserve">التاريخ</t>
  </si>
  <si>
    <t xml:space="preserve">الفرص المكتملة 100%</t>
  </si>
  <si>
    <t xml:space="preserve">الأكشنات</t>
  </si>
  <si>
    <t xml:space="preserve">حالة اليوم</t>
  </si>
  <si>
    <t xml:space="preserve">الثلاثاء</t>
  </si>
  <si>
    <t xml:space="preserve">2026-09-01</t>
  </si>
  <si>
    <t xml:space="preserve">الأربعاء</t>
  </si>
  <si>
    <t xml:space="preserve">2026-09-02</t>
  </si>
  <si>
    <t xml:space="preserve">الخميس</t>
  </si>
  <si>
    <t xml:space="preserve">2026-09-03</t>
  </si>
  <si>
    <t xml:space="preserve">الجمعة</t>
  </si>
  <si>
    <t xml:space="preserve">2026-09-04</t>
  </si>
  <si>
    <t xml:space="preserve">السبت</t>
  </si>
  <si>
    <t xml:space="preserve">2026-09-05</t>
  </si>
  <si>
    <t xml:space="preserve">الأحد</t>
  </si>
  <si>
    <t xml:space="preserve">2026-09-06</t>
  </si>
  <si>
    <t xml:space="preserve">الإثنين</t>
  </si>
  <si>
    <t xml:space="preserve">2026-09-07</t>
  </si>
  <si>
    <t xml:space="preserve">2026-09-08</t>
  </si>
  <si>
    <t xml:space="preserve">2026-09-09</t>
  </si>
  <si>
    <t xml:space="preserve">2026-09-10</t>
  </si>
  <si>
    <t xml:space="preserve">2026-09-11</t>
  </si>
  <si>
    <t xml:space="preserve">2026-09-12</t>
  </si>
  <si>
    <t xml:space="preserve">2026-09-13</t>
  </si>
  <si>
    <t xml:space="preserve">2026-09-14</t>
  </si>
  <si>
    <t xml:space="preserve">2026-09-15</t>
  </si>
  <si>
    <t xml:space="preserve">2026-09-16</t>
  </si>
  <si>
    <t xml:space="preserve">2026-09-17</t>
  </si>
  <si>
    <t xml:space="preserve">2026-09-18</t>
  </si>
  <si>
    <t xml:space="preserve">2026-09-19</t>
  </si>
  <si>
    <t xml:space="preserve">2026-09-20</t>
  </si>
  <si>
    <t xml:space="preserve">2026-09-21</t>
  </si>
  <si>
    <t xml:space="preserve">2026-09-22</t>
  </si>
  <si>
    <t xml:space="preserve">2026-09-23</t>
  </si>
  <si>
    <t xml:space="preserve">2026-09-24</t>
  </si>
  <si>
    <t xml:space="preserve">2026-09-25</t>
  </si>
  <si>
    <t xml:space="preserve">2026-09-26</t>
  </si>
  <si>
    <t xml:space="preserve">2026-09-27</t>
  </si>
  <si>
    <t xml:space="preserve">2026-09-28</t>
  </si>
  <si>
    <t xml:space="preserve">2026-09-29</t>
  </si>
  <si>
    <t xml:space="preserve">2026-09-30</t>
  </si>
  <si>
    <t xml:space="preserve">الملاحظات المتكررة ومدى تكرارها</t>
  </si>
  <si>
    <t xml:space="preserve">إجمالي الفرص المفحوصة: 0   |   إجمالي الأكشنات المفحوصة: 12   |   الفترة 01/09 – 30/09/2026</t>
  </si>
  <si>
    <t xml:space="preserve">أولاً: الملاحظات على الفرص — أي خانة تُترك فارغة وكم مرة تكررت</t>
  </si>
  <si>
    <t xml:space="preserve">الملاحظة (نص التعليق)</t>
  </si>
  <si>
    <t xml:space="preserve">الخانة</t>
  </si>
  <si>
    <t xml:space="preserve">عدد الفرص المتأثرة</t>
  </si>
  <si>
    <t xml:space="preserve">نسبة التكرار من الفرص</t>
  </si>
  <si>
    <t xml:space="preserve">عدد المناديب المتأثرين</t>
  </si>
  <si>
    <t xml:space="preserve">أكثر مندوب تكراراً</t>
  </si>
  <si>
    <t xml:space="preserve">المندوب لم يكتب «اسم العميل» في الفرصة</t>
  </si>
  <si>
    <t xml:space="preserve">اسم العميل</t>
  </si>
  <si>
    <t xml:space="preserve">—</t>
  </si>
  <si>
    <t xml:space="preserve">المندوب لم يكتب «Plot Number» في الفرصة</t>
  </si>
  <si>
    <t xml:space="preserve">المندوب لم يكتب «الاستشاري» في الفرصة</t>
  </si>
  <si>
    <t xml:space="preserve">المندوب لم يكتب «المقاول» في الفرصة</t>
  </si>
  <si>
    <t xml:space="preserve">المندوب لم يكتب «Tags» في الفرصة</t>
  </si>
  <si>
    <t xml:space="preserve">المندوب لم يكتب «مرفقات» في الفرصة</t>
  </si>
  <si>
    <t xml:space="preserve">المندوب لم يكتب «Source» في الفرصة</t>
  </si>
  <si>
    <t xml:space="preserve">المندوب لم يكتب «ملاحظات» في الفرصة</t>
  </si>
  <si>
    <t xml:space="preserve">ثانياً: أكثر أنماط النقص تكراراً (نفس مجموعة الخانات الناقصة معاً)</t>
  </si>
  <si>
    <t xml:space="preserve">نمط النقص (الخانات الناقصة معاً)</t>
  </si>
  <si>
    <t xml:space="preserve">النسبة من الفرص</t>
  </si>
  <si>
    <t xml:space="preserve">ثالثاً: الملاحظات على الأكشنات وكم مرة تكررت</t>
  </si>
  <si>
    <t xml:space="preserve">الملاحظة على الأكشن</t>
  </si>
  <si>
    <t xml:space="preserve">النسبة من الأكشنات</t>
  </si>
  <si>
    <t xml:space="preserve">أكشن مكتوب بتفاصيل كافية ✔</t>
  </si>
  <si>
    <t xml:space="preserve">رابعاً: الملاحظة المجمّعة لكل مندوب</t>
  </si>
  <si>
    <t xml:space="preserve">الملاحظة</t>
  </si>
  <si>
    <t xml:space="preserve">رقم الفرصة</t>
  </si>
  <si>
    <t xml:space="preserve">الوقت</t>
  </si>
  <si>
    <t xml:space="preserve">الفريق</t>
  </si>
  <si>
    <t xml:space="preserve">المرحلة</t>
  </si>
  <si>
    <t xml:space="preserve">اسم الفرصة</t>
  </si>
  <si>
    <t xml:space="preserve">اسم العميل ✓</t>
  </si>
  <si>
    <t xml:space="preserve">Plot Number ✓</t>
  </si>
  <si>
    <t xml:space="preserve">الاستشاري ✓</t>
  </si>
  <si>
    <t xml:space="preserve">المقاول ✓</t>
  </si>
  <si>
    <t xml:space="preserve">Tags ✓</t>
  </si>
  <si>
    <t xml:space="preserve">عدد المرفقات</t>
  </si>
  <si>
    <t xml:space="preserve">مرفقات ✓</t>
  </si>
  <si>
    <t xml:space="preserve">Source ✓</t>
  </si>
  <si>
    <t xml:space="preserve">طول الملاحظات</t>
  </si>
  <si>
    <t xml:space="preserve">ملاحظات ✓</t>
  </si>
  <si>
    <t xml:space="preserve">عدد النواقص</t>
  </si>
  <si>
    <t xml:space="preserve">نوع السجل</t>
  </si>
  <si>
    <t xml:space="preserve">نوع النشاط</t>
  </si>
  <si>
    <t xml:space="preserve">عدد الحروف</t>
  </si>
  <si>
    <t xml:space="preserve">مستوى التفاصيل</t>
  </si>
  <si>
    <t xml:space="preserve">نص الأكشن (أول ٥٠ حرف)</t>
  </si>
  <si>
    <t xml:space="preserve">14:07</t>
  </si>
  <si>
    <t xml:space="preserve">نشاط منفذ</t>
  </si>
  <si>
    <t xml:space="preserve">WhatsApp</t>
  </si>
  <si>
    <t xml:space="preserve">تفصيلي</t>
  </si>
  <si>
    <t xml:space="preserve">WhatsApp done Original note: تم النتهاء من التؤكيب</t>
  </si>
  <si>
    <t xml:space="preserve">14:09</t>
  </si>
  <si>
    <t xml:space="preserve">Call</t>
  </si>
  <si>
    <t xml:space="preserve">Call done Original note: تم التواصل والمتابعه وقال</t>
  </si>
  <si>
    <t xml:space="preserve">14:12</t>
  </si>
  <si>
    <t xml:space="preserve">Call done Original note: تم التواصل ولم يرد وسيت م</t>
  </si>
  <si>
    <t xml:space="preserve">14:14</t>
  </si>
  <si>
    <t xml:space="preserve">To Do</t>
  </si>
  <si>
    <t xml:space="preserve">To Do done Original note: تم دفع 5000 ودا الايصال</t>
  </si>
  <si>
    <t xml:space="preserve">14:15</t>
  </si>
  <si>
    <t xml:space="preserve">Call done Original note: تم التواصل والمتابعه مع ا</t>
  </si>
  <si>
    <t xml:space="preserve">14:17</t>
  </si>
  <si>
    <t xml:space="preserve">To Do done Original note: تم تسليم المصعد</t>
  </si>
  <si>
    <t xml:space="preserve">14:26</t>
  </si>
  <si>
    <t xml:space="preserve">WhatsApp done Original note: تم التواصل عن طريق ال</t>
  </si>
  <si>
    <t xml:space="preserve">14:30</t>
  </si>
  <si>
    <t xml:space="preserve">Meeting</t>
  </si>
  <si>
    <t xml:space="preserve">تم المقابله ودفع 4000 درهم من باقي قيمه المصعد وهي</t>
  </si>
  <si>
    <t xml:space="preserve">14:31</t>
  </si>
  <si>
    <t xml:space="preserve">Call done Original note: تم اعتماد الديكور من دون</t>
  </si>
  <si>
    <t xml:space="preserve">14:36</t>
  </si>
  <si>
    <t xml:space="preserve">Call done Original note: تم اعتماد مواصفات التصنيع</t>
  </si>
  <si>
    <t xml:space="preserve">14:40</t>
  </si>
  <si>
    <t xml:space="preserve">WhatsApp done Original note: تم التواصل ع الواتس ا</t>
  </si>
  <si>
    <t xml:space="preserve">14:41</t>
  </si>
  <si>
    <t xml:space="preserve">WhatsApp done Original note: تم التواصل وقال لسه م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</si>
</sst>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10"/>
      <color rgb="FF66666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9"/>
      <color rgb="FF444444"/>
      <name val="Arial"/>
      <family val="0"/>
      <charset val="1"/>
    </font>
    <font>
      <b val="true"/>
      <sz val="12"/>
      <color rgb="FF1F3864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DDEBF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>
          <bgColor rgb="FFDDEBF7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444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5"/>
  <sheetViews>
    <sheetView showFormulas="false" showGridLines="true" showRowColHeaders="true" showZeros="true" rightToLeft="tru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3"/>
    <col collapsed="false" customWidth="true" hidden="false" outlineLevel="0" max="6" min="5" style="0" width="11"/>
    <col collapsed="false" customWidth="true" hidden="false" outlineLevel="0" max="8" min="7" style="0" width="10"/>
    <col collapsed="false" customWidth="true" hidden="false" outlineLevel="0" max="10" min="9" style="0" width="11"/>
    <col collapsed="false" customWidth="true" hidden="false" outlineLevel="0" max="11" min="11" style="0" width="14"/>
    <col collapsed="false" customWidth="true" hidden="false" outlineLevel="0" max="12" min="12" style="0" width="12"/>
    <col collapsed="false" customWidth="true" hidden="false" outlineLevel="0" max="15" min="13" style="0" width="13"/>
    <col collapsed="false" customWidth="true" hidden="false" outlineLevel="0" max="16" min="16" style="0" width="88"/>
  </cols>
  <sheetData>
    <row r="1" customFormat="false" ht="17.15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4" customFormat="false" ht="42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  <c r="P4" s="3" t="s">
        <v>17</v>
      </c>
    </row>
    <row r="5" customFormat="false" ht="45.75" hidden="false" customHeight="true" outlineLevel="0" collapsed="false">
      <c r="A5" s="4" t="s">
        <v>18</v>
      </c>
      <c r="B5" s="5" t="n">
        <f aca="false">COUNTIF('تفاصيل الفرص'!$D$2,$A5)</f>
        <v>0</v>
      </c>
      <c r="C5" s="5" t="n">
        <f aca="false">COUNTIFS('تفاصيل الفرص'!$D$2,$A5,'تفاصيل الفرص'!$I$2,"نعم")</f>
        <v>0</v>
      </c>
      <c r="D5" s="5" t="n">
        <f aca="false">COUNTIFS('تفاصيل الفرص'!$D$2,$A5,'تفاصيل الفرص'!$K$2,"نعم")</f>
        <v>0</v>
      </c>
      <c r="E5" s="5" t="n">
        <f aca="false">COUNTIFS('تفاصيل الفرص'!$D$2,$A5,'تفاصيل الفرص'!$M$2,"نعم")</f>
        <v>0</v>
      </c>
      <c r="F5" s="5" t="n">
        <f aca="false">COUNTIFS('تفاصيل الفرص'!$D$2,$A5,'تفاصيل الفرص'!$O$2,"نعم")</f>
        <v>0</v>
      </c>
      <c r="G5" s="5" t="n">
        <f aca="false">COUNTIFS('تفاصيل الفرص'!$D$2,$A5,'تفاصيل الفرص'!$Q$2,"نعم")</f>
        <v>0</v>
      </c>
      <c r="H5" s="5" t="n">
        <f aca="false">COUNTIFS('تفاصيل الفرص'!$D$2,$A5,'تفاصيل الفرص'!$S$2,"نعم")</f>
        <v>0</v>
      </c>
      <c r="I5" s="5" t="n">
        <f aca="false">COUNTIFS('تفاصيل الفرص'!$D$2,$A5,'تفاصيل الفرص'!$U$2,"نعم")</f>
        <v>0</v>
      </c>
      <c r="J5" s="5" t="n">
        <f aca="false">COUNTIFS('تفاصيل الفرص'!$D$2,$A5,'تفاصيل الفرص'!$W$2,"نعم")</f>
        <v>0</v>
      </c>
      <c r="K5" s="6" t="n">
        <f aca="false">IF($B5=0,0,SUM(C5:J5)/($B5*8))</f>
        <v>0</v>
      </c>
      <c r="L5" s="5" t="n">
        <f aca="false">COUNTIF('سجل الأكشنات'!$D$2:$D$13,$A5)</f>
        <v>12</v>
      </c>
      <c r="M5" s="5" t="n">
        <f aca="false">COUNTIFS('سجل الأكشنات'!$D$2:$D$13,$A5,'سجل الأكشنات'!$H$2:$H$13,"تفصيلي")</f>
        <v>12</v>
      </c>
      <c r="N5" s="5" t="n">
        <f aca="false">L5-M5</f>
        <v>0</v>
      </c>
      <c r="O5" s="6" t="n">
        <f aca="false">IF($L5=0,0,M5/L5)</f>
        <v>1</v>
      </c>
      <c r="P5" s="4" t="s">
        <v>19</v>
      </c>
    </row>
    <row r="6" customFormat="false" ht="15" hidden="false" customHeight="false" outlineLevel="0" collapsed="false">
      <c r="A6" s="7" t="s">
        <v>20</v>
      </c>
      <c r="B6" s="8" t="n">
        <f aca="false">SUM(B5)</f>
        <v>0</v>
      </c>
      <c r="C6" s="8" t="n">
        <f aca="false">SUM(C5)</f>
        <v>0</v>
      </c>
      <c r="D6" s="8" t="n">
        <f aca="false">SUM(D5)</f>
        <v>0</v>
      </c>
      <c r="E6" s="8" t="n">
        <f aca="false">SUM(E5)</f>
        <v>0</v>
      </c>
      <c r="F6" s="8" t="n">
        <f aca="false">SUM(F5)</f>
        <v>0</v>
      </c>
      <c r="G6" s="8" t="n">
        <f aca="false">SUM(G5)</f>
        <v>0</v>
      </c>
      <c r="H6" s="8" t="n">
        <f aca="false">SUM(H5)</f>
        <v>0</v>
      </c>
      <c r="I6" s="8" t="n">
        <f aca="false">SUM(I5)</f>
        <v>0</v>
      </c>
      <c r="J6" s="8" t="n">
        <f aca="false">SUM(J5)</f>
        <v>0</v>
      </c>
      <c r="K6" s="9" t="n">
        <f aca="false">IF($B6=0,0,SUM(C6:J6)/($B6*8))</f>
        <v>0</v>
      </c>
      <c r="L6" s="8" t="n">
        <f aca="false">SUM(L5)</f>
        <v>12</v>
      </c>
      <c r="M6" s="8" t="n">
        <f aca="false">SUM(M5)</f>
        <v>12</v>
      </c>
      <c r="N6" s="8" t="n">
        <f aca="false">SUM(N5)</f>
        <v>0</v>
      </c>
      <c r="O6" s="9" t="n">
        <f aca="false">IF($L6=0,0,M6/L6)</f>
        <v>1</v>
      </c>
      <c r="P6" s="7"/>
    </row>
    <row r="8" customFormat="false" ht="15" hidden="false" customHeight="false" outlineLevel="0" collapsed="false">
      <c r="A8" s="10" t="s">
        <v>21</v>
      </c>
    </row>
    <row r="9" customFormat="false" ht="15" hidden="false" customHeight="false" outlineLevel="0" collapsed="false">
      <c r="A9" s="11" t="s">
        <v>22</v>
      </c>
    </row>
    <row r="10" customFormat="false" ht="15" hidden="false" customHeight="false" outlineLevel="0" collapsed="false">
      <c r="A10" s="11" t="s">
        <v>23</v>
      </c>
    </row>
    <row r="11" customFormat="false" ht="15" hidden="false" customHeight="false" outlineLevel="0" collapsed="false">
      <c r="A11" s="11" t="s">
        <v>24</v>
      </c>
    </row>
    <row r="12" customFormat="false" ht="15" hidden="false" customHeight="false" outlineLevel="0" collapsed="false">
      <c r="A12" s="11" t="s">
        <v>25</v>
      </c>
    </row>
    <row r="13" customFormat="false" ht="15" hidden="false" customHeight="false" outlineLevel="0" collapsed="false">
      <c r="A13" s="11" t="s">
        <v>26</v>
      </c>
    </row>
    <row r="14" customFormat="false" ht="15" hidden="false" customHeight="false" outlineLevel="0" collapsed="false">
      <c r="A14" s="11" t="s">
        <v>27</v>
      </c>
    </row>
    <row r="15" customFormat="false" ht="15" hidden="false" customHeight="false" outlineLevel="0" collapsed="false">
      <c r="A15" s="11" t="s">
        <v>28</v>
      </c>
    </row>
  </sheetData>
  <mergeCells count="2">
    <mergeCell ref="A1:N1"/>
    <mergeCell ref="A2:N2"/>
  </mergeCells>
  <conditionalFormatting sqref="K5">
    <cfRule type="cellIs" priority="2" operator="lessThan" aboveAverage="0" equalAverage="0" bottom="0" percent="0" rank="0" text="" dxfId="0">
      <formula>0.4</formula>
    </cfRule>
    <cfRule type="cellIs" priority="3" operator="greaterThanOrEqual" aboveAverage="0" equalAverage="0" bottom="0" percent="0" rank="0" text="" dxfId="1">
      <formula>0.7</formula>
    </cfRule>
  </conditionalFormatting>
  <conditionalFormatting sqref="O5">
    <cfRule type="cellIs" priority="4" operator="lessThan" aboveAverage="0" equalAverage="0" bottom="0" percent="0" rank="0" text="" dxfId="2">
      <formula>0.7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3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2"/>
    <col collapsed="false" customWidth="true" hidden="false" outlineLevel="0" max="3" min="3" style="0" width="20"/>
    <col collapsed="false" customWidth="true" hidden="false" outlineLevel="0" max="4" min="4" style="0" width="10"/>
    <col collapsed="false" customWidth="true" hidden="false" outlineLevel="0" max="5" min="5" style="0" width="18"/>
    <col collapsed="false" customWidth="true" hidden="false" outlineLevel="0" max="6" min="6" style="0" width="10"/>
    <col collapsed="false" customWidth="true" hidden="false" outlineLevel="0" max="8" min="7" style="0" width="13"/>
    <col collapsed="false" customWidth="true" hidden="false" outlineLevel="0" max="9" min="9" style="0" width="18"/>
  </cols>
  <sheetData>
    <row r="1" customFormat="false" ht="17.15" hidden="false" customHeight="false" outlineLevel="0" collapsed="false">
      <c r="A1" s="1" t="s">
        <v>29</v>
      </c>
      <c r="B1" s="1"/>
      <c r="C1" s="1"/>
      <c r="D1" s="1"/>
      <c r="E1" s="1"/>
      <c r="F1" s="1"/>
    </row>
    <row r="3" customFormat="false" ht="39.75" hidden="false" customHeight="true" outlineLevel="0" collapsed="false">
      <c r="A3" s="3" t="s">
        <v>30</v>
      </c>
      <c r="B3" s="3" t="s">
        <v>31</v>
      </c>
      <c r="C3" s="3" t="s">
        <v>2</v>
      </c>
      <c r="D3" s="3" t="s">
        <v>3</v>
      </c>
      <c r="E3" s="3" t="s">
        <v>32</v>
      </c>
      <c r="F3" s="3" t="s">
        <v>33</v>
      </c>
      <c r="G3" s="3" t="s">
        <v>14</v>
      </c>
      <c r="H3" s="3" t="s">
        <v>15</v>
      </c>
      <c r="I3" s="3" t="s">
        <v>34</v>
      </c>
    </row>
    <row r="4" customFormat="false" ht="15" hidden="false" customHeight="false" outlineLevel="0" collapsed="false">
      <c r="A4" s="5" t="s">
        <v>35</v>
      </c>
      <c r="B4" s="5" t="s">
        <v>36</v>
      </c>
      <c r="C4" s="4" t="s">
        <v>18</v>
      </c>
      <c r="D4" s="5" t="n">
        <f aca="false">COUNTIFS('تفاصيل الفرص'!$B$2,$B4,'تفاصيل الفرص'!$D$2,$C4)</f>
        <v>0</v>
      </c>
      <c r="E4" s="5" t="n">
        <f aca="false">COUNTIFS('تفاصيل الفرص'!$B$2,$B4,'تفاصيل الفرص'!$D$2,$C4,'تفاصيل الفرص'!$X$2,0)</f>
        <v>0</v>
      </c>
      <c r="F4" s="5" t="n">
        <f aca="false">COUNTIFS('سجل الأكشنات'!$B$2:$B$13,$B4,'سجل الأكشنات'!$D$2:$D$13,$C4)</f>
        <v>12</v>
      </c>
      <c r="G4" s="5" t="n">
        <f aca="false">COUNTIFS('سجل الأكشنات'!$B$2:$B$13,$B4,'سجل الأكشنات'!$D$2:$D$13,$C4,'سجل الأكشنات'!$H$2:$H$13,"تفصيلي")</f>
        <v>12</v>
      </c>
      <c r="H4" s="5" t="n">
        <f aca="false">F4-G4</f>
        <v>0</v>
      </c>
      <c r="I4" s="5" t="str">
        <f aca="false">IF($B4&gt;"2026-09-01","لا توجد بيانات بعد",IF(AND(D4=0,F4=0),"بدون نشاط","نشِط"))</f>
        <v>نشِط</v>
      </c>
    </row>
    <row r="5" customFormat="false" ht="15" hidden="false" customHeight="false" outlineLevel="0" collapsed="false">
      <c r="A5" s="12" t="s">
        <v>37</v>
      </c>
      <c r="B5" s="12" t="s">
        <v>38</v>
      </c>
      <c r="C5" s="13" t="s">
        <v>18</v>
      </c>
      <c r="D5" s="12" t="n">
        <f aca="false">COUNTIFS('تفاصيل الفرص'!$B$2,$B5,'تفاصيل الفرص'!$D$2,$C5)</f>
        <v>0</v>
      </c>
      <c r="E5" s="12" t="n">
        <f aca="false">COUNTIFS('تفاصيل الفرص'!$B$2,$B5,'تفاصيل الفرص'!$D$2,$C5,'تفاصيل الفرص'!$X$2,0)</f>
        <v>0</v>
      </c>
      <c r="F5" s="12" t="n">
        <f aca="false">COUNTIFS('سجل الأكشنات'!$B$2:$B$13,$B5,'سجل الأكشنات'!$D$2:$D$13,$C5)</f>
        <v>0</v>
      </c>
      <c r="G5" s="12" t="n">
        <f aca="false">COUNTIFS('سجل الأكشنات'!$B$2:$B$13,$B5,'سجل الأكشنات'!$D$2:$D$13,$C5,'سجل الأكشنات'!$H$2:$H$13,"تفصيلي")</f>
        <v>0</v>
      </c>
      <c r="H5" s="12" t="n">
        <f aca="false">F5-G5</f>
        <v>0</v>
      </c>
      <c r="I5" s="12" t="str">
        <f aca="false">IF($B5&gt;"2026-09-01","لا توجد بيانات بعد",IF(AND(D5=0,F5=0),"بدون نشاط","نشِط"))</f>
        <v>لا توجد بيانات بعد</v>
      </c>
    </row>
    <row r="6" customFormat="false" ht="15" hidden="false" customHeight="false" outlineLevel="0" collapsed="false">
      <c r="A6" s="5" t="s">
        <v>39</v>
      </c>
      <c r="B6" s="5" t="s">
        <v>40</v>
      </c>
      <c r="C6" s="4" t="s">
        <v>18</v>
      </c>
      <c r="D6" s="5" t="n">
        <f aca="false">COUNTIFS('تفاصيل الفرص'!$B$2,$B6,'تفاصيل الفرص'!$D$2,$C6)</f>
        <v>0</v>
      </c>
      <c r="E6" s="5" t="n">
        <f aca="false">COUNTIFS('تفاصيل الفرص'!$B$2,$B6,'تفاصيل الفرص'!$D$2,$C6,'تفاصيل الفرص'!$X$2,0)</f>
        <v>0</v>
      </c>
      <c r="F6" s="5" t="n">
        <f aca="false">COUNTIFS('سجل الأكشنات'!$B$2:$B$13,$B6,'سجل الأكشنات'!$D$2:$D$13,$C6)</f>
        <v>0</v>
      </c>
      <c r="G6" s="5" t="n">
        <f aca="false">COUNTIFS('سجل الأكشنات'!$B$2:$B$13,$B6,'سجل الأكشنات'!$D$2:$D$13,$C6,'سجل الأكشنات'!$H$2:$H$13,"تفصيلي")</f>
        <v>0</v>
      </c>
      <c r="H6" s="5" t="n">
        <f aca="false">F6-G6</f>
        <v>0</v>
      </c>
      <c r="I6" s="5" t="str">
        <f aca="false">IF($B6&gt;"2026-09-01","لا توجد بيانات بعد",IF(AND(D6=0,F6=0),"بدون نشاط","نشِط"))</f>
        <v>لا توجد بيانات بعد</v>
      </c>
    </row>
    <row r="7" customFormat="false" ht="15" hidden="false" customHeight="false" outlineLevel="0" collapsed="false">
      <c r="A7" s="12" t="s">
        <v>41</v>
      </c>
      <c r="B7" s="12" t="s">
        <v>42</v>
      </c>
      <c r="C7" s="13" t="s">
        <v>18</v>
      </c>
      <c r="D7" s="12" t="n">
        <f aca="false">COUNTIFS('تفاصيل الفرص'!$B$2,$B7,'تفاصيل الفرص'!$D$2,$C7)</f>
        <v>0</v>
      </c>
      <c r="E7" s="12" t="n">
        <f aca="false">COUNTIFS('تفاصيل الفرص'!$B$2,$B7,'تفاصيل الفرص'!$D$2,$C7,'تفاصيل الفرص'!$X$2,0)</f>
        <v>0</v>
      </c>
      <c r="F7" s="12" t="n">
        <f aca="false">COUNTIFS('سجل الأكشنات'!$B$2:$B$13,$B7,'سجل الأكشنات'!$D$2:$D$13,$C7)</f>
        <v>0</v>
      </c>
      <c r="G7" s="12" t="n">
        <f aca="false">COUNTIFS('سجل الأكشنات'!$B$2:$B$13,$B7,'سجل الأكشنات'!$D$2:$D$13,$C7,'سجل الأكشنات'!$H$2:$H$13,"تفصيلي")</f>
        <v>0</v>
      </c>
      <c r="H7" s="12" t="n">
        <f aca="false">F7-G7</f>
        <v>0</v>
      </c>
      <c r="I7" s="12" t="str">
        <f aca="false">IF($B7&gt;"2026-09-01","لا توجد بيانات بعد",IF(AND(D7=0,F7=0),"بدون نشاط","نشِط"))</f>
        <v>لا توجد بيانات بعد</v>
      </c>
    </row>
    <row r="8" customFormat="false" ht="15" hidden="false" customHeight="false" outlineLevel="0" collapsed="false">
      <c r="A8" s="5" t="s">
        <v>43</v>
      </c>
      <c r="B8" s="5" t="s">
        <v>44</v>
      </c>
      <c r="C8" s="4" t="s">
        <v>18</v>
      </c>
      <c r="D8" s="5" t="n">
        <f aca="false">COUNTIFS('تفاصيل الفرص'!$B$2,$B8,'تفاصيل الفرص'!$D$2,$C8)</f>
        <v>0</v>
      </c>
      <c r="E8" s="5" t="n">
        <f aca="false">COUNTIFS('تفاصيل الفرص'!$B$2,$B8,'تفاصيل الفرص'!$D$2,$C8,'تفاصيل الفرص'!$X$2,0)</f>
        <v>0</v>
      </c>
      <c r="F8" s="5" t="n">
        <f aca="false">COUNTIFS('سجل الأكشنات'!$B$2:$B$13,$B8,'سجل الأكشنات'!$D$2:$D$13,$C8)</f>
        <v>0</v>
      </c>
      <c r="G8" s="5" t="n">
        <f aca="false">COUNTIFS('سجل الأكشنات'!$B$2:$B$13,$B8,'سجل الأكشنات'!$D$2:$D$13,$C8,'سجل الأكشنات'!$H$2:$H$13,"تفصيلي")</f>
        <v>0</v>
      </c>
      <c r="H8" s="5" t="n">
        <f aca="false">F8-G8</f>
        <v>0</v>
      </c>
      <c r="I8" s="5" t="str">
        <f aca="false">IF($B8&gt;"2026-09-01","لا توجد بيانات بعد",IF(AND(D8=0,F8=0),"بدون نشاط","نشِط"))</f>
        <v>لا توجد بيانات بعد</v>
      </c>
    </row>
    <row r="9" customFormat="false" ht="15" hidden="false" customHeight="false" outlineLevel="0" collapsed="false">
      <c r="A9" s="12" t="s">
        <v>45</v>
      </c>
      <c r="B9" s="12" t="s">
        <v>46</v>
      </c>
      <c r="C9" s="13" t="s">
        <v>18</v>
      </c>
      <c r="D9" s="12" t="n">
        <f aca="false">COUNTIFS('تفاصيل الفرص'!$B$2,$B9,'تفاصيل الفرص'!$D$2,$C9)</f>
        <v>0</v>
      </c>
      <c r="E9" s="12" t="n">
        <f aca="false">COUNTIFS('تفاصيل الفرص'!$B$2,$B9,'تفاصيل الفرص'!$D$2,$C9,'تفاصيل الفرص'!$X$2,0)</f>
        <v>0</v>
      </c>
      <c r="F9" s="12" t="n">
        <f aca="false">COUNTIFS('سجل الأكشنات'!$B$2:$B$13,$B9,'سجل الأكشنات'!$D$2:$D$13,$C9)</f>
        <v>0</v>
      </c>
      <c r="G9" s="12" t="n">
        <f aca="false">COUNTIFS('سجل الأكشنات'!$B$2:$B$13,$B9,'سجل الأكشنات'!$D$2:$D$13,$C9,'سجل الأكشنات'!$H$2:$H$13,"تفصيلي")</f>
        <v>0</v>
      </c>
      <c r="H9" s="12" t="n">
        <f aca="false">F9-G9</f>
        <v>0</v>
      </c>
      <c r="I9" s="12" t="str">
        <f aca="false">IF($B9&gt;"2026-09-01","لا توجد بيانات بعد",IF(AND(D9=0,F9=0),"بدون نشاط","نشِط"))</f>
        <v>لا توجد بيانات بعد</v>
      </c>
    </row>
    <row r="10" customFormat="false" ht="15" hidden="false" customHeight="false" outlineLevel="0" collapsed="false">
      <c r="A10" s="5" t="s">
        <v>47</v>
      </c>
      <c r="B10" s="5" t="s">
        <v>48</v>
      </c>
      <c r="C10" s="4" t="s">
        <v>18</v>
      </c>
      <c r="D10" s="5" t="n">
        <f aca="false">COUNTIFS('تفاصيل الفرص'!$B$2,$B10,'تفاصيل الفرص'!$D$2,$C10)</f>
        <v>0</v>
      </c>
      <c r="E10" s="5" t="n">
        <f aca="false">COUNTIFS('تفاصيل الفرص'!$B$2,$B10,'تفاصيل الفرص'!$D$2,$C10,'تفاصيل الفرص'!$X$2,0)</f>
        <v>0</v>
      </c>
      <c r="F10" s="5" t="n">
        <f aca="false">COUNTIFS('سجل الأكشنات'!$B$2:$B$13,$B10,'سجل الأكشنات'!$D$2:$D$13,$C10)</f>
        <v>0</v>
      </c>
      <c r="G10" s="5" t="n">
        <f aca="false">COUNTIFS('سجل الأكشنات'!$B$2:$B$13,$B10,'سجل الأكشنات'!$D$2:$D$13,$C10,'سجل الأكشنات'!$H$2:$H$13,"تفصيلي")</f>
        <v>0</v>
      </c>
      <c r="H10" s="5" t="n">
        <f aca="false">F10-G10</f>
        <v>0</v>
      </c>
      <c r="I10" s="5" t="str">
        <f aca="false">IF($B10&gt;"2026-09-01","لا توجد بيانات بعد",IF(AND(D10=0,F10=0),"بدون نشاط","نشِط"))</f>
        <v>لا توجد بيانات بعد</v>
      </c>
    </row>
    <row r="11" customFormat="false" ht="15" hidden="false" customHeight="false" outlineLevel="0" collapsed="false">
      <c r="A11" s="12" t="s">
        <v>35</v>
      </c>
      <c r="B11" s="12" t="s">
        <v>49</v>
      </c>
      <c r="C11" s="13" t="s">
        <v>18</v>
      </c>
      <c r="D11" s="12" t="n">
        <f aca="false">COUNTIFS('تفاصيل الفرص'!$B$2,$B11,'تفاصيل الفرص'!$D$2,$C11)</f>
        <v>0</v>
      </c>
      <c r="E11" s="12" t="n">
        <f aca="false">COUNTIFS('تفاصيل الفرص'!$B$2,$B11,'تفاصيل الفرص'!$D$2,$C11,'تفاصيل الفرص'!$X$2,0)</f>
        <v>0</v>
      </c>
      <c r="F11" s="12" t="n">
        <f aca="false">COUNTIFS('سجل الأكشنات'!$B$2:$B$13,$B11,'سجل الأكشنات'!$D$2:$D$13,$C11)</f>
        <v>0</v>
      </c>
      <c r="G11" s="12" t="n">
        <f aca="false">COUNTIFS('سجل الأكشنات'!$B$2:$B$13,$B11,'سجل الأكشنات'!$D$2:$D$13,$C11,'سجل الأكشنات'!$H$2:$H$13,"تفصيلي")</f>
        <v>0</v>
      </c>
      <c r="H11" s="12" t="n">
        <f aca="false">F11-G11</f>
        <v>0</v>
      </c>
      <c r="I11" s="12" t="str">
        <f aca="false">IF($B11&gt;"2026-09-01","لا توجد بيانات بعد",IF(AND(D11=0,F11=0),"بدون نشاط","نشِط"))</f>
        <v>لا توجد بيانات بعد</v>
      </c>
    </row>
    <row r="12" customFormat="false" ht="15" hidden="false" customHeight="false" outlineLevel="0" collapsed="false">
      <c r="A12" s="5" t="s">
        <v>37</v>
      </c>
      <c r="B12" s="5" t="s">
        <v>50</v>
      </c>
      <c r="C12" s="4" t="s">
        <v>18</v>
      </c>
      <c r="D12" s="5" t="n">
        <f aca="false">COUNTIFS('تفاصيل الفرص'!$B$2,$B12,'تفاصيل الفرص'!$D$2,$C12)</f>
        <v>0</v>
      </c>
      <c r="E12" s="5" t="n">
        <f aca="false">COUNTIFS('تفاصيل الفرص'!$B$2,$B12,'تفاصيل الفرص'!$D$2,$C12,'تفاصيل الفرص'!$X$2,0)</f>
        <v>0</v>
      </c>
      <c r="F12" s="5" t="n">
        <f aca="false">COUNTIFS('سجل الأكشنات'!$B$2:$B$13,$B12,'سجل الأكشنات'!$D$2:$D$13,$C12)</f>
        <v>0</v>
      </c>
      <c r="G12" s="5" t="n">
        <f aca="false">COUNTIFS('سجل الأكشنات'!$B$2:$B$13,$B12,'سجل الأكشنات'!$D$2:$D$13,$C12,'سجل الأكشنات'!$H$2:$H$13,"تفصيلي")</f>
        <v>0</v>
      </c>
      <c r="H12" s="5" t="n">
        <f aca="false">F12-G12</f>
        <v>0</v>
      </c>
      <c r="I12" s="5" t="str">
        <f aca="false">IF($B12&gt;"2026-09-01","لا توجد بيانات بعد",IF(AND(D12=0,F12=0),"بدون نشاط","نشِط"))</f>
        <v>لا توجد بيانات بعد</v>
      </c>
    </row>
    <row r="13" customFormat="false" ht="15" hidden="false" customHeight="false" outlineLevel="0" collapsed="false">
      <c r="A13" s="12" t="s">
        <v>39</v>
      </c>
      <c r="B13" s="12" t="s">
        <v>51</v>
      </c>
      <c r="C13" s="13" t="s">
        <v>18</v>
      </c>
      <c r="D13" s="12" t="n">
        <f aca="false">COUNTIFS('تفاصيل الفرص'!$B$2,$B13,'تفاصيل الفرص'!$D$2,$C13)</f>
        <v>0</v>
      </c>
      <c r="E13" s="12" t="n">
        <f aca="false">COUNTIFS('تفاصيل الفرص'!$B$2,$B13,'تفاصيل الفرص'!$D$2,$C13,'تفاصيل الفرص'!$X$2,0)</f>
        <v>0</v>
      </c>
      <c r="F13" s="12" t="n">
        <f aca="false">COUNTIFS('سجل الأكشنات'!$B$2:$B$13,$B13,'سجل الأكشنات'!$D$2:$D$13,$C13)</f>
        <v>0</v>
      </c>
      <c r="G13" s="12" t="n">
        <f aca="false">COUNTIFS('سجل الأكشنات'!$B$2:$B$13,$B13,'سجل الأكشنات'!$D$2:$D$13,$C13,'سجل الأكشنات'!$H$2:$H$13,"تفصيلي")</f>
        <v>0</v>
      </c>
      <c r="H13" s="12" t="n">
        <f aca="false">F13-G13</f>
        <v>0</v>
      </c>
      <c r="I13" s="12" t="str">
        <f aca="false">IF($B13&gt;"2026-09-01","لا توجد بيانات بعد",IF(AND(D13=0,F13=0),"بدون نشاط","نشِط"))</f>
        <v>لا توجد بيانات بعد</v>
      </c>
    </row>
    <row r="14" customFormat="false" ht="15" hidden="false" customHeight="false" outlineLevel="0" collapsed="false">
      <c r="A14" s="5" t="s">
        <v>41</v>
      </c>
      <c r="B14" s="5" t="s">
        <v>52</v>
      </c>
      <c r="C14" s="4" t="s">
        <v>18</v>
      </c>
      <c r="D14" s="5" t="n">
        <f aca="false">COUNTIFS('تفاصيل الفرص'!$B$2,$B14,'تفاصيل الفرص'!$D$2,$C14)</f>
        <v>0</v>
      </c>
      <c r="E14" s="5" t="n">
        <f aca="false">COUNTIFS('تفاصيل الفرص'!$B$2,$B14,'تفاصيل الفرص'!$D$2,$C14,'تفاصيل الفرص'!$X$2,0)</f>
        <v>0</v>
      </c>
      <c r="F14" s="5" t="n">
        <f aca="false">COUNTIFS('سجل الأكشنات'!$B$2:$B$13,$B14,'سجل الأكشنات'!$D$2:$D$13,$C14)</f>
        <v>0</v>
      </c>
      <c r="G14" s="5" t="n">
        <f aca="false">COUNTIFS('سجل الأكشنات'!$B$2:$B$13,$B14,'سجل الأكشنات'!$D$2:$D$13,$C14,'سجل الأكشنات'!$H$2:$H$13,"تفصيلي")</f>
        <v>0</v>
      </c>
      <c r="H14" s="5" t="n">
        <f aca="false">F14-G14</f>
        <v>0</v>
      </c>
      <c r="I14" s="5" t="str">
        <f aca="false">IF($B14&gt;"2026-09-01","لا توجد بيانات بعد",IF(AND(D14=0,F14=0),"بدون نشاط","نشِط"))</f>
        <v>لا توجد بيانات بعد</v>
      </c>
    </row>
    <row r="15" customFormat="false" ht="15" hidden="false" customHeight="false" outlineLevel="0" collapsed="false">
      <c r="A15" s="12" t="s">
        <v>43</v>
      </c>
      <c r="B15" s="12" t="s">
        <v>53</v>
      </c>
      <c r="C15" s="13" t="s">
        <v>18</v>
      </c>
      <c r="D15" s="12" t="n">
        <f aca="false">COUNTIFS('تفاصيل الفرص'!$B$2,$B15,'تفاصيل الفرص'!$D$2,$C15)</f>
        <v>0</v>
      </c>
      <c r="E15" s="12" t="n">
        <f aca="false">COUNTIFS('تفاصيل الفرص'!$B$2,$B15,'تفاصيل الفرص'!$D$2,$C15,'تفاصيل الفرص'!$X$2,0)</f>
        <v>0</v>
      </c>
      <c r="F15" s="12" t="n">
        <f aca="false">COUNTIFS('سجل الأكشنات'!$B$2:$B$13,$B15,'سجل الأكشنات'!$D$2:$D$13,$C15)</f>
        <v>0</v>
      </c>
      <c r="G15" s="12" t="n">
        <f aca="false">COUNTIFS('سجل الأكشنات'!$B$2:$B$13,$B15,'سجل الأكشنات'!$D$2:$D$13,$C15,'سجل الأكشنات'!$H$2:$H$13,"تفصيلي")</f>
        <v>0</v>
      </c>
      <c r="H15" s="12" t="n">
        <f aca="false">F15-G15</f>
        <v>0</v>
      </c>
      <c r="I15" s="12" t="str">
        <f aca="false">IF($B15&gt;"2026-09-01","لا توجد بيانات بعد",IF(AND(D15=0,F15=0),"بدون نشاط","نشِط"))</f>
        <v>لا توجد بيانات بعد</v>
      </c>
    </row>
    <row r="16" customFormat="false" ht="15" hidden="false" customHeight="false" outlineLevel="0" collapsed="false">
      <c r="A16" s="5" t="s">
        <v>45</v>
      </c>
      <c r="B16" s="5" t="s">
        <v>54</v>
      </c>
      <c r="C16" s="4" t="s">
        <v>18</v>
      </c>
      <c r="D16" s="5" t="n">
        <f aca="false">COUNTIFS('تفاصيل الفرص'!$B$2,$B16,'تفاصيل الفرص'!$D$2,$C16)</f>
        <v>0</v>
      </c>
      <c r="E16" s="5" t="n">
        <f aca="false">COUNTIFS('تفاصيل الفرص'!$B$2,$B16,'تفاصيل الفرص'!$D$2,$C16,'تفاصيل الفرص'!$X$2,0)</f>
        <v>0</v>
      </c>
      <c r="F16" s="5" t="n">
        <f aca="false">COUNTIFS('سجل الأكشنات'!$B$2:$B$13,$B16,'سجل الأكشنات'!$D$2:$D$13,$C16)</f>
        <v>0</v>
      </c>
      <c r="G16" s="5" t="n">
        <f aca="false">COUNTIFS('سجل الأكشنات'!$B$2:$B$13,$B16,'سجل الأكشنات'!$D$2:$D$13,$C16,'سجل الأكشنات'!$H$2:$H$13,"تفصيلي")</f>
        <v>0</v>
      </c>
      <c r="H16" s="5" t="n">
        <f aca="false">F16-G16</f>
        <v>0</v>
      </c>
      <c r="I16" s="5" t="str">
        <f aca="false">IF($B16&gt;"2026-09-01","لا توجد بيانات بعد",IF(AND(D16=0,F16=0),"بدون نشاط","نشِط"))</f>
        <v>لا توجد بيانات بعد</v>
      </c>
    </row>
    <row r="17" customFormat="false" ht="15" hidden="false" customHeight="false" outlineLevel="0" collapsed="false">
      <c r="A17" s="12" t="s">
        <v>47</v>
      </c>
      <c r="B17" s="12" t="s">
        <v>55</v>
      </c>
      <c r="C17" s="13" t="s">
        <v>18</v>
      </c>
      <c r="D17" s="12" t="n">
        <f aca="false">COUNTIFS('تفاصيل الفرص'!$B$2,$B17,'تفاصيل الفرص'!$D$2,$C17)</f>
        <v>0</v>
      </c>
      <c r="E17" s="12" t="n">
        <f aca="false">COUNTIFS('تفاصيل الفرص'!$B$2,$B17,'تفاصيل الفرص'!$D$2,$C17,'تفاصيل الفرص'!$X$2,0)</f>
        <v>0</v>
      </c>
      <c r="F17" s="12" t="n">
        <f aca="false">COUNTIFS('سجل الأكشنات'!$B$2:$B$13,$B17,'سجل الأكشنات'!$D$2:$D$13,$C17)</f>
        <v>0</v>
      </c>
      <c r="G17" s="12" t="n">
        <f aca="false">COUNTIFS('سجل الأكشنات'!$B$2:$B$13,$B17,'سجل الأكشنات'!$D$2:$D$13,$C17,'سجل الأكشنات'!$H$2:$H$13,"تفصيلي")</f>
        <v>0</v>
      </c>
      <c r="H17" s="12" t="n">
        <f aca="false">F17-G17</f>
        <v>0</v>
      </c>
      <c r="I17" s="12" t="str">
        <f aca="false">IF($B17&gt;"2026-09-01","لا توجد بيانات بعد",IF(AND(D17=0,F17=0),"بدون نشاط","نشِط"))</f>
        <v>لا توجد بيانات بعد</v>
      </c>
    </row>
    <row r="18" customFormat="false" ht="15" hidden="false" customHeight="false" outlineLevel="0" collapsed="false">
      <c r="A18" s="5" t="s">
        <v>35</v>
      </c>
      <c r="B18" s="5" t="s">
        <v>56</v>
      </c>
      <c r="C18" s="4" t="s">
        <v>18</v>
      </c>
      <c r="D18" s="5" t="n">
        <f aca="false">COUNTIFS('تفاصيل الفرص'!$B$2,$B18,'تفاصيل الفرص'!$D$2,$C18)</f>
        <v>0</v>
      </c>
      <c r="E18" s="5" t="n">
        <f aca="false">COUNTIFS('تفاصيل الفرص'!$B$2,$B18,'تفاصيل الفرص'!$D$2,$C18,'تفاصيل الفرص'!$X$2,0)</f>
        <v>0</v>
      </c>
      <c r="F18" s="5" t="n">
        <f aca="false">COUNTIFS('سجل الأكشنات'!$B$2:$B$13,$B18,'سجل الأكشنات'!$D$2:$D$13,$C18)</f>
        <v>0</v>
      </c>
      <c r="G18" s="5" t="n">
        <f aca="false">COUNTIFS('سجل الأكشنات'!$B$2:$B$13,$B18,'سجل الأكشنات'!$D$2:$D$13,$C18,'سجل الأكشنات'!$H$2:$H$13,"تفصيلي")</f>
        <v>0</v>
      </c>
      <c r="H18" s="5" t="n">
        <f aca="false">F18-G18</f>
        <v>0</v>
      </c>
      <c r="I18" s="5" t="str">
        <f aca="false">IF($B18&gt;"2026-09-01","لا توجد بيانات بعد",IF(AND(D18=0,F18=0),"بدون نشاط","نشِط"))</f>
        <v>لا توجد بيانات بعد</v>
      </c>
    </row>
    <row r="19" customFormat="false" ht="15" hidden="false" customHeight="false" outlineLevel="0" collapsed="false">
      <c r="A19" s="12" t="s">
        <v>37</v>
      </c>
      <c r="B19" s="12" t="s">
        <v>57</v>
      </c>
      <c r="C19" s="13" t="s">
        <v>18</v>
      </c>
      <c r="D19" s="12" t="n">
        <f aca="false">COUNTIFS('تفاصيل الفرص'!$B$2,$B19,'تفاصيل الفرص'!$D$2,$C19)</f>
        <v>0</v>
      </c>
      <c r="E19" s="12" t="n">
        <f aca="false">COUNTIFS('تفاصيل الفرص'!$B$2,$B19,'تفاصيل الفرص'!$D$2,$C19,'تفاصيل الفرص'!$X$2,0)</f>
        <v>0</v>
      </c>
      <c r="F19" s="12" t="n">
        <f aca="false">COUNTIFS('سجل الأكشنات'!$B$2:$B$13,$B19,'سجل الأكشنات'!$D$2:$D$13,$C19)</f>
        <v>0</v>
      </c>
      <c r="G19" s="12" t="n">
        <f aca="false">COUNTIFS('سجل الأكشنات'!$B$2:$B$13,$B19,'سجل الأكشنات'!$D$2:$D$13,$C19,'سجل الأكشنات'!$H$2:$H$13,"تفصيلي")</f>
        <v>0</v>
      </c>
      <c r="H19" s="12" t="n">
        <f aca="false">F19-G19</f>
        <v>0</v>
      </c>
      <c r="I19" s="12" t="str">
        <f aca="false">IF($B19&gt;"2026-09-01","لا توجد بيانات بعد",IF(AND(D19=0,F19=0),"بدون نشاط","نشِط"))</f>
        <v>لا توجد بيانات بعد</v>
      </c>
    </row>
    <row r="20" customFormat="false" ht="15" hidden="false" customHeight="false" outlineLevel="0" collapsed="false">
      <c r="A20" s="5" t="s">
        <v>39</v>
      </c>
      <c r="B20" s="5" t="s">
        <v>58</v>
      </c>
      <c r="C20" s="4" t="s">
        <v>18</v>
      </c>
      <c r="D20" s="5" t="n">
        <f aca="false">COUNTIFS('تفاصيل الفرص'!$B$2,$B20,'تفاصيل الفرص'!$D$2,$C20)</f>
        <v>0</v>
      </c>
      <c r="E20" s="5" t="n">
        <f aca="false">COUNTIFS('تفاصيل الفرص'!$B$2,$B20,'تفاصيل الفرص'!$D$2,$C20,'تفاصيل الفرص'!$X$2,0)</f>
        <v>0</v>
      </c>
      <c r="F20" s="5" t="n">
        <f aca="false">COUNTIFS('سجل الأكشنات'!$B$2:$B$13,$B20,'سجل الأكشنات'!$D$2:$D$13,$C20)</f>
        <v>0</v>
      </c>
      <c r="G20" s="5" t="n">
        <f aca="false">COUNTIFS('سجل الأكشنات'!$B$2:$B$13,$B20,'سجل الأكشنات'!$D$2:$D$13,$C20,'سجل الأكشنات'!$H$2:$H$13,"تفصيلي")</f>
        <v>0</v>
      </c>
      <c r="H20" s="5" t="n">
        <f aca="false">F20-G20</f>
        <v>0</v>
      </c>
      <c r="I20" s="5" t="str">
        <f aca="false">IF($B20&gt;"2026-09-01","لا توجد بيانات بعد",IF(AND(D20=0,F20=0),"بدون نشاط","نشِط"))</f>
        <v>لا توجد بيانات بعد</v>
      </c>
    </row>
    <row r="21" customFormat="false" ht="15" hidden="false" customHeight="false" outlineLevel="0" collapsed="false">
      <c r="A21" s="12" t="s">
        <v>41</v>
      </c>
      <c r="B21" s="12" t="s">
        <v>59</v>
      </c>
      <c r="C21" s="13" t="s">
        <v>18</v>
      </c>
      <c r="D21" s="12" t="n">
        <f aca="false">COUNTIFS('تفاصيل الفرص'!$B$2,$B21,'تفاصيل الفرص'!$D$2,$C21)</f>
        <v>0</v>
      </c>
      <c r="E21" s="12" t="n">
        <f aca="false">COUNTIFS('تفاصيل الفرص'!$B$2,$B21,'تفاصيل الفرص'!$D$2,$C21,'تفاصيل الفرص'!$X$2,0)</f>
        <v>0</v>
      </c>
      <c r="F21" s="12" t="n">
        <f aca="false">COUNTIFS('سجل الأكشنات'!$B$2:$B$13,$B21,'سجل الأكشنات'!$D$2:$D$13,$C21)</f>
        <v>0</v>
      </c>
      <c r="G21" s="12" t="n">
        <f aca="false">COUNTIFS('سجل الأكشنات'!$B$2:$B$13,$B21,'سجل الأكشنات'!$D$2:$D$13,$C21,'سجل الأكشنات'!$H$2:$H$13,"تفصيلي")</f>
        <v>0</v>
      </c>
      <c r="H21" s="12" t="n">
        <f aca="false">F21-G21</f>
        <v>0</v>
      </c>
      <c r="I21" s="12" t="str">
        <f aca="false">IF($B21&gt;"2026-09-01","لا توجد بيانات بعد",IF(AND(D21=0,F21=0),"بدون نشاط","نشِط"))</f>
        <v>لا توجد بيانات بعد</v>
      </c>
    </row>
    <row r="22" customFormat="false" ht="15" hidden="false" customHeight="false" outlineLevel="0" collapsed="false">
      <c r="A22" s="5" t="s">
        <v>43</v>
      </c>
      <c r="B22" s="5" t="s">
        <v>60</v>
      </c>
      <c r="C22" s="4" t="s">
        <v>18</v>
      </c>
      <c r="D22" s="5" t="n">
        <f aca="false">COUNTIFS('تفاصيل الفرص'!$B$2,$B22,'تفاصيل الفرص'!$D$2,$C22)</f>
        <v>0</v>
      </c>
      <c r="E22" s="5" t="n">
        <f aca="false">COUNTIFS('تفاصيل الفرص'!$B$2,$B22,'تفاصيل الفرص'!$D$2,$C22,'تفاصيل الفرص'!$X$2,0)</f>
        <v>0</v>
      </c>
      <c r="F22" s="5" t="n">
        <f aca="false">COUNTIFS('سجل الأكشنات'!$B$2:$B$13,$B22,'سجل الأكشنات'!$D$2:$D$13,$C22)</f>
        <v>0</v>
      </c>
      <c r="G22" s="5" t="n">
        <f aca="false">COUNTIFS('سجل الأكشنات'!$B$2:$B$13,$B22,'سجل الأكشنات'!$D$2:$D$13,$C22,'سجل الأكشنات'!$H$2:$H$13,"تفصيلي")</f>
        <v>0</v>
      </c>
      <c r="H22" s="5" t="n">
        <f aca="false">F22-G22</f>
        <v>0</v>
      </c>
      <c r="I22" s="5" t="str">
        <f aca="false">IF($B22&gt;"2026-09-01","لا توجد بيانات بعد",IF(AND(D22=0,F22=0),"بدون نشاط","نشِط"))</f>
        <v>لا توجد بيانات بعد</v>
      </c>
    </row>
    <row r="23" customFormat="false" ht="15" hidden="false" customHeight="false" outlineLevel="0" collapsed="false">
      <c r="A23" s="12" t="s">
        <v>45</v>
      </c>
      <c r="B23" s="12" t="s">
        <v>61</v>
      </c>
      <c r="C23" s="13" t="s">
        <v>18</v>
      </c>
      <c r="D23" s="12" t="n">
        <f aca="false">COUNTIFS('تفاصيل الفرص'!$B$2,$B23,'تفاصيل الفرص'!$D$2,$C23)</f>
        <v>0</v>
      </c>
      <c r="E23" s="12" t="n">
        <f aca="false">COUNTIFS('تفاصيل الفرص'!$B$2,$B23,'تفاصيل الفرص'!$D$2,$C23,'تفاصيل الفرص'!$X$2,0)</f>
        <v>0</v>
      </c>
      <c r="F23" s="12" t="n">
        <f aca="false">COUNTIFS('سجل الأكشنات'!$B$2:$B$13,$B23,'سجل الأكشنات'!$D$2:$D$13,$C23)</f>
        <v>0</v>
      </c>
      <c r="G23" s="12" t="n">
        <f aca="false">COUNTIFS('سجل الأكشنات'!$B$2:$B$13,$B23,'سجل الأكشنات'!$D$2:$D$13,$C23,'سجل الأكشنات'!$H$2:$H$13,"تفصيلي")</f>
        <v>0</v>
      </c>
      <c r="H23" s="12" t="n">
        <f aca="false">F23-G23</f>
        <v>0</v>
      </c>
      <c r="I23" s="12" t="str">
        <f aca="false">IF($B23&gt;"2026-09-01","لا توجد بيانات بعد",IF(AND(D23=0,F23=0),"بدون نشاط","نشِط"))</f>
        <v>لا توجد بيانات بعد</v>
      </c>
    </row>
    <row r="24" customFormat="false" ht="15" hidden="false" customHeight="false" outlineLevel="0" collapsed="false">
      <c r="A24" s="5" t="s">
        <v>47</v>
      </c>
      <c r="B24" s="5" t="s">
        <v>62</v>
      </c>
      <c r="C24" s="4" t="s">
        <v>18</v>
      </c>
      <c r="D24" s="5" t="n">
        <f aca="false">COUNTIFS('تفاصيل الفرص'!$B$2,$B24,'تفاصيل الفرص'!$D$2,$C24)</f>
        <v>0</v>
      </c>
      <c r="E24" s="5" t="n">
        <f aca="false">COUNTIFS('تفاصيل الفرص'!$B$2,$B24,'تفاصيل الفرص'!$D$2,$C24,'تفاصيل الفرص'!$X$2,0)</f>
        <v>0</v>
      </c>
      <c r="F24" s="5" t="n">
        <f aca="false">COUNTIFS('سجل الأكشنات'!$B$2:$B$13,$B24,'سجل الأكشنات'!$D$2:$D$13,$C24)</f>
        <v>0</v>
      </c>
      <c r="G24" s="5" t="n">
        <f aca="false">COUNTIFS('سجل الأكشنات'!$B$2:$B$13,$B24,'سجل الأكشنات'!$D$2:$D$13,$C24,'سجل الأكشنات'!$H$2:$H$13,"تفصيلي")</f>
        <v>0</v>
      </c>
      <c r="H24" s="5" t="n">
        <f aca="false">F24-G24</f>
        <v>0</v>
      </c>
      <c r="I24" s="5" t="str">
        <f aca="false">IF($B24&gt;"2026-09-01","لا توجد بيانات بعد",IF(AND(D24=0,F24=0),"بدون نشاط","نشِط"))</f>
        <v>لا توجد بيانات بعد</v>
      </c>
    </row>
    <row r="25" customFormat="false" ht="15" hidden="false" customHeight="false" outlineLevel="0" collapsed="false">
      <c r="A25" s="12" t="s">
        <v>35</v>
      </c>
      <c r="B25" s="12" t="s">
        <v>63</v>
      </c>
      <c r="C25" s="13" t="s">
        <v>18</v>
      </c>
      <c r="D25" s="12" t="n">
        <f aca="false">COUNTIFS('تفاصيل الفرص'!$B$2,$B25,'تفاصيل الفرص'!$D$2,$C25)</f>
        <v>0</v>
      </c>
      <c r="E25" s="12" t="n">
        <f aca="false">COUNTIFS('تفاصيل الفرص'!$B$2,$B25,'تفاصيل الفرص'!$D$2,$C25,'تفاصيل الفرص'!$X$2,0)</f>
        <v>0</v>
      </c>
      <c r="F25" s="12" t="n">
        <f aca="false">COUNTIFS('سجل الأكشنات'!$B$2:$B$13,$B25,'سجل الأكشنات'!$D$2:$D$13,$C25)</f>
        <v>0</v>
      </c>
      <c r="G25" s="12" t="n">
        <f aca="false">COUNTIFS('سجل الأكشنات'!$B$2:$B$13,$B25,'سجل الأكشنات'!$D$2:$D$13,$C25,'سجل الأكشنات'!$H$2:$H$13,"تفصيلي")</f>
        <v>0</v>
      </c>
      <c r="H25" s="12" t="n">
        <f aca="false">F25-G25</f>
        <v>0</v>
      </c>
      <c r="I25" s="12" t="str">
        <f aca="false">IF($B25&gt;"2026-09-01","لا توجد بيانات بعد",IF(AND(D25=0,F25=0),"بدون نشاط","نشِط"))</f>
        <v>لا توجد بيانات بعد</v>
      </c>
    </row>
    <row r="26" customFormat="false" ht="15" hidden="false" customHeight="false" outlineLevel="0" collapsed="false">
      <c r="A26" s="5" t="s">
        <v>37</v>
      </c>
      <c r="B26" s="5" t="s">
        <v>64</v>
      </c>
      <c r="C26" s="4" t="s">
        <v>18</v>
      </c>
      <c r="D26" s="5" t="n">
        <f aca="false">COUNTIFS('تفاصيل الفرص'!$B$2,$B26,'تفاصيل الفرص'!$D$2,$C26)</f>
        <v>0</v>
      </c>
      <c r="E26" s="5" t="n">
        <f aca="false">COUNTIFS('تفاصيل الفرص'!$B$2,$B26,'تفاصيل الفرص'!$D$2,$C26,'تفاصيل الفرص'!$X$2,0)</f>
        <v>0</v>
      </c>
      <c r="F26" s="5" t="n">
        <f aca="false">COUNTIFS('سجل الأكشنات'!$B$2:$B$13,$B26,'سجل الأكشنات'!$D$2:$D$13,$C26)</f>
        <v>0</v>
      </c>
      <c r="G26" s="5" t="n">
        <f aca="false">COUNTIFS('سجل الأكشنات'!$B$2:$B$13,$B26,'سجل الأكشنات'!$D$2:$D$13,$C26,'سجل الأكشنات'!$H$2:$H$13,"تفصيلي")</f>
        <v>0</v>
      </c>
      <c r="H26" s="5" t="n">
        <f aca="false">F26-G26</f>
        <v>0</v>
      </c>
      <c r="I26" s="5" t="str">
        <f aca="false">IF($B26&gt;"2026-09-01","لا توجد بيانات بعد",IF(AND(D26=0,F26=0),"بدون نشاط","نشِط"))</f>
        <v>لا توجد بيانات بعد</v>
      </c>
    </row>
    <row r="27" customFormat="false" ht="15" hidden="false" customHeight="false" outlineLevel="0" collapsed="false">
      <c r="A27" s="12" t="s">
        <v>39</v>
      </c>
      <c r="B27" s="12" t="s">
        <v>65</v>
      </c>
      <c r="C27" s="13" t="s">
        <v>18</v>
      </c>
      <c r="D27" s="12" t="n">
        <f aca="false">COUNTIFS('تفاصيل الفرص'!$B$2,$B27,'تفاصيل الفرص'!$D$2,$C27)</f>
        <v>0</v>
      </c>
      <c r="E27" s="12" t="n">
        <f aca="false">COUNTIFS('تفاصيل الفرص'!$B$2,$B27,'تفاصيل الفرص'!$D$2,$C27,'تفاصيل الفرص'!$X$2,0)</f>
        <v>0</v>
      </c>
      <c r="F27" s="12" t="n">
        <f aca="false">COUNTIFS('سجل الأكشنات'!$B$2:$B$13,$B27,'سجل الأكشنات'!$D$2:$D$13,$C27)</f>
        <v>0</v>
      </c>
      <c r="G27" s="12" t="n">
        <f aca="false">COUNTIFS('سجل الأكشنات'!$B$2:$B$13,$B27,'سجل الأكشنات'!$D$2:$D$13,$C27,'سجل الأكشنات'!$H$2:$H$13,"تفصيلي")</f>
        <v>0</v>
      </c>
      <c r="H27" s="12" t="n">
        <f aca="false">F27-G27</f>
        <v>0</v>
      </c>
      <c r="I27" s="12" t="str">
        <f aca="false">IF($B27&gt;"2026-09-01","لا توجد بيانات بعد",IF(AND(D27=0,F27=0),"بدون نشاط","نشِط"))</f>
        <v>لا توجد بيانات بعد</v>
      </c>
    </row>
    <row r="28" customFormat="false" ht="15" hidden="false" customHeight="false" outlineLevel="0" collapsed="false">
      <c r="A28" s="5" t="s">
        <v>41</v>
      </c>
      <c r="B28" s="5" t="s">
        <v>66</v>
      </c>
      <c r="C28" s="4" t="s">
        <v>18</v>
      </c>
      <c r="D28" s="5" t="n">
        <f aca="false">COUNTIFS('تفاصيل الفرص'!$B$2,$B28,'تفاصيل الفرص'!$D$2,$C28)</f>
        <v>0</v>
      </c>
      <c r="E28" s="5" t="n">
        <f aca="false">COUNTIFS('تفاصيل الفرص'!$B$2,$B28,'تفاصيل الفرص'!$D$2,$C28,'تفاصيل الفرص'!$X$2,0)</f>
        <v>0</v>
      </c>
      <c r="F28" s="5" t="n">
        <f aca="false">COUNTIFS('سجل الأكشنات'!$B$2:$B$13,$B28,'سجل الأكشنات'!$D$2:$D$13,$C28)</f>
        <v>0</v>
      </c>
      <c r="G28" s="5" t="n">
        <f aca="false">COUNTIFS('سجل الأكشنات'!$B$2:$B$13,$B28,'سجل الأكشنات'!$D$2:$D$13,$C28,'سجل الأكشنات'!$H$2:$H$13,"تفصيلي")</f>
        <v>0</v>
      </c>
      <c r="H28" s="5" t="n">
        <f aca="false">F28-G28</f>
        <v>0</v>
      </c>
      <c r="I28" s="5" t="str">
        <f aca="false">IF($B28&gt;"2026-09-01","لا توجد بيانات بعد",IF(AND(D28=0,F28=0),"بدون نشاط","نشِط"))</f>
        <v>لا توجد بيانات بعد</v>
      </c>
    </row>
    <row r="29" customFormat="false" ht="15" hidden="false" customHeight="false" outlineLevel="0" collapsed="false">
      <c r="A29" s="12" t="s">
        <v>43</v>
      </c>
      <c r="B29" s="12" t="s">
        <v>67</v>
      </c>
      <c r="C29" s="13" t="s">
        <v>18</v>
      </c>
      <c r="D29" s="12" t="n">
        <f aca="false">COUNTIFS('تفاصيل الفرص'!$B$2,$B29,'تفاصيل الفرص'!$D$2,$C29)</f>
        <v>0</v>
      </c>
      <c r="E29" s="12" t="n">
        <f aca="false">COUNTIFS('تفاصيل الفرص'!$B$2,$B29,'تفاصيل الفرص'!$D$2,$C29,'تفاصيل الفرص'!$X$2,0)</f>
        <v>0</v>
      </c>
      <c r="F29" s="12" t="n">
        <f aca="false">COUNTIFS('سجل الأكشنات'!$B$2:$B$13,$B29,'سجل الأكشنات'!$D$2:$D$13,$C29)</f>
        <v>0</v>
      </c>
      <c r="G29" s="12" t="n">
        <f aca="false">COUNTIFS('سجل الأكشنات'!$B$2:$B$13,$B29,'سجل الأكشنات'!$D$2:$D$13,$C29,'سجل الأكشنات'!$H$2:$H$13,"تفصيلي")</f>
        <v>0</v>
      </c>
      <c r="H29" s="12" t="n">
        <f aca="false">F29-G29</f>
        <v>0</v>
      </c>
      <c r="I29" s="12" t="str">
        <f aca="false">IF($B29&gt;"2026-09-01","لا توجد بيانات بعد",IF(AND(D29=0,F29=0),"بدون نشاط","نشِط"))</f>
        <v>لا توجد بيانات بعد</v>
      </c>
    </row>
    <row r="30" customFormat="false" ht="15" hidden="false" customHeight="false" outlineLevel="0" collapsed="false">
      <c r="A30" s="5" t="s">
        <v>45</v>
      </c>
      <c r="B30" s="5" t="s">
        <v>68</v>
      </c>
      <c r="C30" s="4" t="s">
        <v>18</v>
      </c>
      <c r="D30" s="5" t="n">
        <f aca="false">COUNTIFS('تفاصيل الفرص'!$B$2,$B30,'تفاصيل الفرص'!$D$2,$C30)</f>
        <v>0</v>
      </c>
      <c r="E30" s="5" t="n">
        <f aca="false">COUNTIFS('تفاصيل الفرص'!$B$2,$B30,'تفاصيل الفرص'!$D$2,$C30,'تفاصيل الفرص'!$X$2,0)</f>
        <v>0</v>
      </c>
      <c r="F30" s="5" t="n">
        <f aca="false">COUNTIFS('سجل الأكشنات'!$B$2:$B$13,$B30,'سجل الأكشنات'!$D$2:$D$13,$C30)</f>
        <v>0</v>
      </c>
      <c r="G30" s="5" t="n">
        <f aca="false">COUNTIFS('سجل الأكشنات'!$B$2:$B$13,$B30,'سجل الأكشنات'!$D$2:$D$13,$C30,'سجل الأكشنات'!$H$2:$H$13,"تفصيلي")</f>
        <v>0</v>
      </c>
      <c r="H30" s="5" t="n">
        <f aca="false">F30-G30</f>
        <v>0</v>
      </c>
      <c r="I30" s="5" t="str">
        <f aca="false">IF($B30&gt;"2026-09-01","لا توجد بيانات بعد",IF(AND(D30=0,F30=0),"بدون نشاط","نشِط"))</f>
        <v>لا توجد بيانات بعد</v>
      </c>
    </row>
    <row r="31" customFormat="false" ht="15" hidden="false" customHeight="false" outlineLevel="0" collapsed="false">
      <c r="A31" s="12" t="s">
        <v>47</v>
      </c>
      <c r="B31" s="12" t="s">
        <v>69</v>
      </c>
      <c r="C31" s="13" t="s">
        <v>18</v>
      </c>
      <c r="D31" s="12" t="n">
        <f aca="false">COUNTIFS('تفاصيل الفرص'!$B$2,$B31,'تفاصيل الفرص'!$D$2,$C31)</f>
        <v>0</v>
      </c>
      <c r="E31" s="12" t="n">
        <f aca="false">COUNTIFS('تفاصيل الفرص'!$B$2,$B31,'تفاصيل الفرص'!$D$2,$C31,'تفاصيل الفرص'!$X$2,0)</f>
        <v>0</v>
      </c>
      <c r="F31" s="12" t="n">
        <f aca="false">COUNTIFS('سجل الأكشنات'!$B$2:$B$13,$B31,'سجل الأكشنات'!$D$2:$D$13,$C31)</f>
        <v>0</v>
      </c>
      <c r="G31" s="12" t="n">
        <f aca="false">COUNTIFS('سجل الأكشنات'!$B$2:$B$13,$B31,'سجل الأكشنات'!$D$2:$D$13,$C31,'سجل الأكشنات'!$H$2:$H$13,"تفصيلي")</f>
        <v>0</v>
      </c>
      <c r="H31" s="12" t="n">
        <f aca="false">F31-G31</f>
        <v>0</v>
      </c>
      <c r="I31" s="12" t="str">
        <f aca="false">IF($B31&gt;"2026-09-01","لا توجد بيانات بعد",IF(AND(D31=0,F31=0),"بدون نشاط","نشِط"))</f>
        <v>لا توجد بيانات بعد</v>
      </c>
    </row>
    <row r="32" customFormat="false" ht="15" hidden="false" customHeight="false" outlineLevel="0" collapsed="false">
      <c r="A32" s="5" t="s">
        <v>35</v>
      </c>
      <c r="B32" s="5" t="s">
        <v>70</v>
      </c>
      <c r="C32" s="4" t="s">
        <v>18</v>
      </c>
      <c r="D32" s="5" t="n">
        <f aca="false">COUNTIFS('تفاصيل الفرص'!$B$2,$B32,'تفاصيل الفرص'!$D$2,$C32)</f>
        <v>0</v>
      </c>
      <c r="E32" s="5" t="n">
        <f aca="false">COUNTIFS('تفاصيل الفرص'!$B$2,$B32,'تفاصيل الفرص'!$D$2,$C32,'تفاصيل الفرص'!$X$2,0)</f>
        <v>0</v>
      </c>
      <c r="F32" s="5" t="n">
        <f aca="false">COUNTIFS('سجل الأكشنات'!$B$2:$B$13,$B32,'سجل الأكشنات'!$D$2:$D$13,$C32)</f>
        <v>0</v>
      </c>
      <c r="G32" s="5" t="n">
        <f aca="false">COUNTIFS('سجل الأكشنات'!$B$2:$B$13,$B32,'سجل الأكشنات'!$D$2:$D$13,$C32,'سجل الأكشنات'!$H$2:$H$13,"تفصيلي")</f>
        <v>0</v>
      </c>
      <c r="H32" s="5" t="n">
        <f aca="false">F32-G32</f>
        <v>0</v>
      </c>
      <c r="I32" s="5" t="str">
        <f aca="false">IF($B32&gt;"2026-09-01","لا توجد بيانات بعد",IF(AND(D32=0,F32=0),"بدون نشاط","نشِط"))</f>
        <v>لا توجد بيانات بعد</v>
      </c>
    </row>
    <row r="33" customFormat="false" ht="15" hidden="false" customHeight="false" outlineLevel="0" collapsed="false">
      <c r="A33" s="12" t="s">
        <v>37</v>
      </c>
      <c r="B33" s="12" t="s">
        <v>71</v>
      </c>
      <c r="C33" s="13" t="s">
        <v>18</v>
      </c>
      <c r="D33" s="12" t="n">
        <f aca="false">COUNTIFS('تفاصيل الفرص'!$B$2,$B33,'تفاصيل الفرص'!$D$2,$C33)</f>
        <v>0</v>
      </c>
      <c r="E33" s="12" t="n">
        <f aca="false">COUNTIFS('تفاصيل الفرص'!$B$2,$B33,'تفاصيل الفرص'!$D$2,$C33,'تفاصيل الفرص'!$X$2,0)</f>
        <v>0</v>
      </c>
      <c r="F33" s="12" t="n">
        <f aca="false">COUNTIFS('سجل الأكشنات'!$B$2:$B$13,$B33,'سجل الأكشنات'!$D$2:$D$13,$C33)</f>
        <v>0</v>
      </c>
      <c r="G33" s="12" t="n">
        <f aca="false">COUNTIFS('سجل الأكشنات'!$B$2:$B$13,$B33,'سجل الأكشنات'!$D$2:$D$13,$C33,'سجل الأكشنات'!$H$2:$H$13,"تفصيلي")</f>
        <v>0</v>
      </c>
      <c r="H33" s="12" t="n">
        <f aca="false">F33-G33</f>
        <v>0</v>
      </c>
      <c r="I33" s="12" t="str">
        <f aca="false">IF($B33&gt;"2026-09-01","لا توجد بيانات بعد",IF(AND(D33=0,F33=0),"بدون نشاط","نشِط"))</f>
        <v>لا توجد بيانات بعد</v>
      </c>
    </row>
  </sheetData>
  <autoFilter ref="A3:I33"/>
  <mergeCells count="1">
    <mergeCell ref="A1:F1"/>
  </mergeCells>
  <conditionalFormatting sqref="I4:I33">
    <cfRule type="cellIs" priority="2" operator="equal" aboveAverage="0" equalAverage="0" bottom="0" percent="0" rank="0" text="" dxfId="0">
      <formula>"بدون نشاط"</formula>
    </cfRule>
    <cfRule type="cellIs" priority="3" operator="equal" aboveAverage="0" equalAverage="0" bottom="0" percent="0" rank="0" text="" dxfId="1">
      <formula>"نشِط"</formula>
    </cfRule>
  </conditionalFormatting>
  <conditionalFormatting sqref="D4:D33">
    <cfRule type="cellIs" priority="4" operator="greaterThan" aboveAverage="0" equalAverage="0" bottom="0" percent="0" rank="0" text="" dxfId="8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7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15"/>
    <col collapsed="false" customWidth="true" hidden="false" outlineLevel="0" max="5" min="5" style="0" width="16"/>
    <col collapsed="false" customWidth="true" hidden="false" outlineLevel="0" max="6" min="6" style="0" width="22"/>
    <col collapsed="false" customWidth="true" hidden="false" outlineLevel="0" max="10" min="7" style="0" width="16"/>
  </cols>
  <sheetData>
    <row r="1" customFormat="false" ht="17.35" hidden="false" customHeight="false" outlineLevel="0" collapsed="false">
      <c r="A1" s="14" t="s">
        <v>72</v>
      </c>
    </row>
    <row r="2" customFormat="false" ht="15" hidden="false" customHeight="false" outlineLevel="0" collapsed="false">
      <c r="A2" s="15" t="s">
        <v>73</v>
      </c>
    </row>
    <row r="4" customFormat="false" ht="15" hidden="false" customHeight="false" outlineLevel="0" collapsed="false">
      <c r="A4" s="16" t="s">
        <v>74</v>
      </c>
    </row>
    <row r="5" customFormat="false" ht="51.75" hidden="false" customHeight="true" outlineLevel="0" collapsed="false">
      <c r="A5" s="3" t="s">
        <v>75</v>
      </c>
      <c r="B5" s="3" t="s">
        <v>76</v>
      </c>
      <c r="C5" s="3" t="s">
        <v>77</v>
      </c>
      <c r="D5" s="3" t="s">
        <v>78</v>
      </c>
      <c r="E5" s="3" t="s">
        <v>79</v>
      </c>
      <c r="F5" s="3" t="s">
        <v>80</v>
      </c>
    </row>
    <row r="6" customFormat="false" ht="15" hidden="false" customHeight="false" outlineLevel="0" collapsed="false">
      <c r="A6" s="4" t="s">
        <v>81</v>
      </c>
      <c r="B6" s="4" t="s">
        <v>82</v>
      </c>
      <c r="C6" s="5" t="n">
        <f aca="false">COUNTIF('تفاصيل الفرص'!$I$2,"لا")</f>
        <v>0</v>
      </c>
      <c r="D6" s="6" t="n">
        <f aca="false">IF(0=0,0,C6/0)</f>
        <v>0</v>
      </c>
      <c r="E6" s="5" t="n">
        <v>0</v>
      </c>
      <c r="F6" s="4" t="s">
        <v>83</v>
      </c>
    </row>
    <row r="7" customFormat="false" ht="15" hidden="false" customHeight="false" outlineLevel="0" collapsed="false">
      <c r="A7" s="4" t="s">
        <v>84</v>
      </c>
      <c r="B7" s="4" t="s">
        <v>5</v>
      </c>
      <c r="C7" s="5" t="n">
        <f aca="false">COUNTIF('تفاصيل الفرص'!$K$2,"لا")</f>
        <v>0</v>
      </c>
      <c r="D7" s="6" t="n">
        <f aca="false">IF(0=0,0,C7/0)</f>
        <v>0</v>
      </c>
      <c r="E7" s="5" t="n">
        <v>0</v>
      </c>
      <c r="F7" s="4" t="s">
        <v>83</v>
      </c>
    </row>
    <row r="8" customFormat="false" ht="15" hidden="false" customHeight="false" outlineLevel="0" collapsed="false">
      <c r="A8" s="4" t="s">
        <v>85</v>
      </c>
      <c r="B8" s="4" t="s">
        <v>6</v>
      </c>
      <c r="C8" s="5" t="n">
        <f aca="false">COUNTIF('تفاصيل الفرص'!$M$2,"لا")</f>
        <v>0</v>
      </c>
      <c r="D8" s="6" t="n">
        <f aca="false">IF(0=0,0,C8/0)</f>
        <v>0</v>
      </c>
      <c r="E8" s="5" t="n">
        <v>0</v>
      </c>
      <c r="F8" s="4" t="s">
        <v>83</v>
      </c>
    </row>
    <row r="9" customFormat="false" ht="15" hidden="false" customHeight="false" outlineLevel="0" collapsed="false">
      <c r="A9" s="4" t="s">
        <v>86</v>
      </c>
      <c r="B9" s="4" t="s">
        <v>7</v>
      </c>
      <c r="C9" s="5" t="n">
        <f aca="false">COUNTIF('تفاصيل الفرص'!$O$2,"لا")</f>
        <v>0</v>
      </c>
      <c r="D9" s="6" t="n">
        <f aca="false">IF(0=0,0,C9/0)</f>
        <v>0</v>
      </c>
      <c r="E9" s="5" t="n">
        <v>0</v>
      </c>
      <c r="F9" s="4" t="s">
        <v>83</v>
      </c>
    </row>
    <row r="10" customFormat="false" ht="15" hidden="false" customHeight="false" outlineLevel="0" collapsed="false">
      <c r="A10" s="4" t="s">
        <v>87</v>
      </c>
      <c r="B10" s="4" t="s">
        <v>8</v>
      </c>
      <c r="C10" s="5" t="n">
        <f aca="false">COUNTIF('تفاصيل الفرص'!$Q$2,"لا")</f>
        <v>0</v>
      </c>
      <c r="D10" s="6" t="n">
        <f aca="false">IF(0=0,0,C10/0)</f>
        <v>0</v>
      </c>
      <c r="E10" s="5" t="n">
        <v>0</v>
      </c>
      <c r="F10" s="4" t="s">
        <v>83</v>
      </c>
    </row>
    <row r="11" customFormat="false" ht="15" hidden="false" customHeight="false" outlineLevel="0" collapsed="false">
      <c r="A11" s="4" t="s">
        <v>88</v>
      </c>
      <c r="B11" s="4" t="s">
        <v>9</v>
      </c>
      <c r="C11" s="5" t="n">
        <f aca="false">COUNTIF('تفاصيل الفرص'!$S$2,"لا")</f>
        <v>0</v>
      </c>
      <c r="D11" s="6" t="n">
        <f aca="false">IF(0=0,0,C11/0)</f>
        <v>0</v>
      </c>
      <c r="E11" s="5" t="n">
        <v>0</v>
      </c>
      <c r="F11" s="4" t="s">
        <v>83</v>
      </c>
    </row>
    <row r="12" customFormat="false" ht="15" hidden="false" customHeight="false" outlineLevel="0" collapsed="false">
      <c r="A12" s="4" t="s">
        <v>89</v>
      </c>
      <c r="B12" s="4" t="s">
        <v>10</v>
      </c>
      <c r="C12" s="5" t="n">
        <f aca="false">COUNTIF('تفاصيل الفرص'!$U$2,"لا")</f>
        <v>0</v>
      </c>
      <c r="D12" s="6" t="n">
        <f aca="false">IF(0=0,0,C12/0)</f>
        <v>0</v>
      </c>
      <c r="E12" s="5" t="n">
        <v>0</v>
      </c>
      <c r="F12" s="4" t="s">
        <v>83</v>
      </c>
    </row>
    <row r="13" customFormat="false" ht="15" hidden="false" customHeight="false" outlineLevel="0" collapsed="false">
      <c r="A13" s="4" t="s">
        <v>90</v>
      </c>
      <c r="B13" s="4" t="s">
        <v>11</v>
      </c>
      <c r="C13" s="5" t="n">
        <f aca="false">COUNTIF('تفاصيل الفرص'!$W$2,"لا")</f>
        <v>0</v>
      </c>
      <c r="D13" s="6" t="n">
        <f aca="false">IF(0=0,0,C13/0)</f>
        <v>0</v>
      </c>
      <c r="E13" s="5" t="n">
        <v>0</v>
      </c>
      <c r="F13" s="4" t="s">
        <v>83</v>
      </c>
    </row>
    <row r="16" customFormat="false" ht="15" hidden="false" customHeight="false" outlineLevel="0" collapsed="false">
      <c r="A16" s="16" t="s">
        <v>91</v>
      </c>
    </row>
    <row r="17" customFormat="false" ht="31.5" hidden="false" customHeight="true" outlineLevel="0" collapsed="false">
      <c r="A17" s="3" t="s">
        <v>92</v>
      </c>
      <c r="B17" s="3" t="s">
        <v>3</v>
      </c>
      <c r="C17" s="3" t="s">
        <v>93</v>
      </c>
    </row>
    <row r="20" customFormat="false" ht="15" hidden="false" customHeight="false" outlineLevel="0" collapsed="false">
      <c r="A20" s="16" t="s">
        <v>94</v>
      </c>
    </row>
    <row r="21" customFormat="false" ht="51.75" hidden="false" customHeight="true" outlineLevel="0" collapsed="false">
      <c r="A21" s="3" t="s">
        <v>95</v>
      </c>
      <c r="B21" s="3" t="s">
        <v>13</v>
      </c>
      <c r="C21" s="3" t="s">
        <v>96</v>
      </c>
    </row>
    <row r="22" customFormat="false" ht="15" hidden="false" customHeight="false" outlineLevel="0" collapsed="false">
      <c r="A22" s="4" t="s">
        <v>97</v>
      </c>
      <c r="B22" s="5" t="n">
        <f aca="false">COUNTIF('سجل الأكشنات'!$J$2:$J$13,$A22)</f>
        <v>12</v>
      </c>
      <c r="C22" s="6" t="n">
        <f aca="false">IF(12=0,0,B22/12)</f>
        <v>1</v>
      </c>
    </row>
    <row r="25" customFormat="false" ht="15" hidden="false" customHeight="false" outlineLevel="0" collapsed="false">
      <c r="A25" s="16" t="s">
        <v>98</v>
      </c>
    </row>
    <row r="26" customFormat="false" ht="31.5" hidden="false" customHeight="true" outlineLevel="0" collapsed="false">
      <c r="A26" s="3" t="s">
        <v>2</v>
      </c>
      <c r="B26" s="3" t="s">
        <v>3</v>
      </c>
      <c r="C26" s="3" t="s">
        <v>13</v>
      </c>
      <c r="D26" s="3" t="s">
        <v>99</v>
      </c>
      <c r="E26" s="3"/>
      <c r="F26" s="3"/>
      <c r="G26" s="3"/>
      <c r="H26" s="3"/>
      <c r="I26" s="3"/>
      <c r="J26" s="3"/>
    </row>
    <row r="27" customFormat="false" ht="45.75" hidden="false" customHeight="true" outlineLevel="0" collapsed="false">
      <c r="A27" s="4" t="s">
        <v>18</v>
      </c>
      <c r="B27" s="5" t="n">
        <v>0</v>
      </c>
      <c r="C27" s="5" t="n">
        <v>12</v>
      </c>
      <c r="D27" s="4"/>
      <c r="E27" s="4"/>
      <c r="F27" s="4"/>
      <c r="G27" s="4"/>
      <c r="H27" s="4"/>
      <c r="I27" s="4"/>
      <c r="J27" s="4"/>
    </row>
  </sheetData>
  <mergeCells count="2">
    <mergeCell ref="D26:J26"/>
    <mergeCell ref="D27:J27"/>
  </mergeCells>
  <conditionalFormatting sqref="D6:D13">
    <cfRule type="cellIs" priority="2" operator="greaterThanOrEqual" aboveAverage="0" equalAverage="0" bottom="0" percent="0" rank="0" text="" dxfId="0">
      <formula>0.8</formula>
    </cfRule>
    <cfRule type="cellIs" priority="3" operator="between" aboveAverage="0" equalAverage="0" bottom="0" percent="0" rank="0" text="" dxfId="2">
      <formula>0.4</formula>
      <formula>0.8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2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1"/>
    <col collapsed="false" customWidth="true" hidden="false" outlineLevel="0" max="3" min="3" style="0" width="7"/>
    <col collapsed="false" customWidth="true" hidden="false" outlineLevel="0" max="4" min="4" style="0" width="18"/>
    <col collapsed="false" customWidth="true" hidden="false" outlineLevel="0" max="5" min="5" style="0" width="20"/>
    <col collapsed="false" customWidth="true" hidden="false" outlineLevel="0" max="6" min="6" style="0" width="12"/>
    <col collapsed="false" customWidth="true" hidden="false" outlineLevel="0" max="7" min="7" style="0" width="34"/>
    <col collapsed="false" customWidth="true" hidden="false" outlineLevel="0" max="8" min="8" style="0" width="30"/>
    <col collapsed="false" customWidth="true" hidden="false" outlineLevel="0" max="9" min="9" style="0" width="10"/>
    <col collapsed="false" customWidth="true" hidden="false" outlineLevel="0" max="10" min="10" style="0" width="12"/>
    <col collapsed="false" customWidth="true" hidden="false" outlineLevel="0" max="11" min="11" style="0" width="10"/>
    <col collapsed="false" customWidth="true" hidden="false" outlineLevel="0" max="12" min="12" style="0" width="26"/>
    <col collapsed="false" customWidth="true" hidden="false" outlineLevel="0" max="13" min="13" style="0" width="10"/>
    <col collapsed="false" customWidth="true" hidden="false" outlineLevel="0" max="14" min="14" style="0" width="26"/>
    <col collapsed="false" customWidth="true" hidden="false" outlineLevel="0" max="15" min="15" style="0" width="10"/>
    <col collapsed="false" customWidth="true" hidden="false" outlineLevel="0" max="16" min="16" style="0" width="22"/>
    <col collapsed="false" customWidth="true" hidden="false" outlineLevel="0" max="17" min="17" style="0" width="10"/>
    <col collapsed="false" customWidth="true" hidden="false" outlineLevel="0" max="19" min="18" style="0" width="9"/>
    <col collapsed="false" customWidth="true" hidden="false" outlineLevel="0" max="20" min="20" style="0" width="12"/>
    <col collapsed="false" customWidth="true" hidden="false" outlineLevel="0" max="23" min="21" style="0" width="10"/>
    <col collapsed="false" customWidth="true" hidden="false" outlineLevel="0" max="24" min="24" style="0" width="9"/>
    <col collapsed="false" customWidth="true" hidden="false" outlineLevel="0" max="25" min="25" style="0" width="42"/>
  </cols>
  <sheetData>
    <row r="1" customFormat="false" ht="31.5" hidden="false" customHeight="true" outlineLevel="0" collapsed="false">
      <c r="A1" s="3" t="s">
        <v>100</v>
      </c>
      <c r="B1" s="3" t="s">
        <v>31</v>
      </c>
      <c r="C1" s="3" t="s">
        <v>101</v>
      </c>
      <c r="D1" s="3" t="s">
        <v>2</v>
      </c>
      <c r="E1" s="3" t="s">
        <v>102</v>
      </c>
      <c r="F1" s="3" t="s">
        <v>103</v>
      </c>
      <c r="G1" s="3" t="s">
        <v>104</v>
      </c>
      <c r="H1" s="3" t="s">
        <v>82</v>
      </c>
      <c r="I1" s="3" t="s">
        <v>105</v>
      </c>
      <c r="J1" s="3" t="s">
        <v>5</v>
      </c>
      <c r="K1" s="3" t="s">
        <v>106</v>
      </c>
      <c r="L1" s="3" t="s">
        <v>6</v>
      </c>
      <c r="M1" s="3" t="s">
        <v>107</v>
      </c>
      <c r="N1" s="3" t="s">
        <v>7</v>
      </c>
      <c r="O1" s="3" t="s">
        <v>108</v>
      </c>
      <c r="P1" s="3" t="s">
        <v>8</v>
      </c>
      <c r="Q1" s="3" t="s">
        <v>109</v>
      </c>
      <c r="R1" s="3" t="s">
        <v>110</v>
      </c>
      <c r="S1" s="3" t="s">
        <v>111</v>
      </c>
      <c r="T1" s="3" t="s">
        <v>10</v>
      </c>
      <c r="U1" s="3" t="s">
        <v>112</v>
      </c>
      <c r="V1" s="3" t="s">
        <v>113</v>
      </c>
      <c r="W1" s="3" t="s">
        <v>114</v>
      </c>
      <c r="X1" s="3" t="s">
        <v>115</v>
      </c>
      <c r="Y1" s="3" t="s">
        <v>99</v>
      </c>
    </row>
    <row r="2" customFormat="false" ht="15" hidden="false" customHeight="false" outlineLevel="0" collapsed="false">
      <c r="A2" s="5"/>
      <c r="B2" s="5"/>
      <c r="C2" s="5"/>
      <c r="D2" s="4"/>
      <c r="E2" s="4"/>
      <c r="F2" s="4"/>
      <c r="G2" s="4"/>
      <c r="H2" s="4"/>
      <c r="I2" s="5"/>
      <c r="J2" s="4"/>
      <c r="K2" s="5"/>
      <c r="L2" s="4"/>
      <c r="M2" s="5"/>
      <c r="N2" s="4"/>
      <c r="O2" s="5"/>
      <c r="P2" s="4"/>
      <c r="Q2" s="5"/>
      <c r="R2" s="5"/>
      <c r="S2" s="5"/>
      <c r="T2" s="4"/>
      <c r="U2" s="5"/>
      <c r="V2" s="5"/>
      <c r="W2" s="5"/>
      <c r="X2" s="5"/>
      <c r="Y2" s="4"/>
    </row>
  </sheetData>
  <autoFilter ref="A1:Y2"/>
  <conditionalFormatting sqref="I2">
    <cfRule type="cellIs" priority="2" operator="equal" aboveAverage="0" equalAverage="0" bottom="0" percent="0" rank="0" text="" dxfId="1">
      <formula>"نعم"</formula>
    </cfRule>
    <cfRule type="cellIs" priority="3" operator="equal" aboveAverage="0" equalAverage="0" bottom="0" percent="0" rank="0" text="" dxfId="0">
      <formula>"لا"</formula>
    </cfRule>
  </conditionalFormatting>
  <conditionalFormatting sqref="K2">
    <cfRule type="cellIs" priority="4" operator="equal" aboveAverage="0" equalAverage="0" bottom="0" percent="0" rank="0" text="" dxfId="1">
      <formula>"نعم"</formula>
    </cfRule>
    <cfRule type="cellIs" priority="5" operator="equal" aboveAverage="0" equalAverage="0" bottom="0" percent="0" rank="0" text="" dxfId="0">
      <formula>"لا"</formula>
    </cfRule>
  </conditionalFormatting>
  <conditionalFormatting sqref="M2">
    <cfRule type="cellIs" priority="6" operator="equal" aboveAverage="0" equalAverage="0" bottom="0" percent="0" rank="0" text="" dxfId="1">
      <formula>"نعم"</formula>
    </cfRule>
    <cfRule type="cellIs" priority="7" operator="equal" aboveAverage="0" equalAverage="0" bottom="0" percent="0" rank="0" text="" dxfId="0">
      <formula>"لا"</formula>
    </cfRule>
  </conditionalFormatting>
  <conditionalFormatting sqref="O2">
    <cfRule type="cellIs" priority="8" operator="equal" aboveAverage="0" equalAverage="0" bottom="0" percent="0" rank="0" text="" dxfId="1">
      <formula>"نعم"</formula>
    </cfRule>
    <cfRule type="cellIs" priority="9" operator="equal" aboveAverage="0" equalAverage="0" bottom="0" percent="0" rank="0" text="" dxfId="0">
      <formula>"لا"</formula>
    </cfRule>
  </conditionalFormatting>
  <conditionalFormatting sqref="Q2">
    <cfRule type="cellIs" priority="10" operator="equal" aboveAverage="0" equalAverage="0" bottom="0" percent="0" rank="0" text="" dxfId="1">
      <formula>"نعم"</formula>
    </cfRule>
    <cfRule type="cellIs" priority="11" operator="equal" aboveAverage="0" equalAverage="0" bottom="0" percent="0" rank="0" text="" dxfId="0">
      <formula>"لا"</formula>
    </cfRule>
  </conditionalFormatting>
  <conditionalFormatting sqref="S2">
    <cfRule type="cellIs" priority="12" operator="equal" aboveAverage="0" equalAverage="0" bottom="0" percent="0" rank="0" text="" dxfId="1">
      <formula>"نعم"</formula>
    </cfRule>
    <cfRule type="cellIs" priority="13" operator="equal" aboveAverage="0" equalAverage="0" bottom="0" percent="0" rank="0" text="" dxfId="0">
      <formula>"لا"</formula>
    </cfRule>
  </conditionalFormatting>
  <conditionalFormatting sqref="U2">
    <cfRule type="cellIs" priority="14" operator="equal" aboveAverage="0" equalAverage="0" bottom="0" percent="0" rank="0" text="" dxfId="1">
      <formula>"نعم"</formula>
    </cfRule>
    <cfRule type="cellIs" priority="15" operator="equal" aboveAverage="0" equalAverage="0" bottom="0" percent="0" rank="0" text="" dxfId="0">
      <formula>"لا"</formula>
    </cfRule>
  </conditionalFormatting>
  <conditionalFormatting sqref="W2">
    <cfRule type="cellIs" priority="16" operator="equal" aboveAverage="0" equalAverage="0" bottom="0" percent="0" rank="0" text="" dxfId="1">
      <formula>"نعم"</formula>
    </cfRule>
    <cfRule type="cellIs" priority="17" operator="equal" aboveAverage="0" equalAverage="0" bottom="0" percent="0" rank="0" text="" dxfId="0">
      <formula>"لا"</formula>
    </cfRule>
  </conditionalFormatting>
  <conditionalFormatting sqref="X2">
    <cfRule type="cellIs" priority="18" operator="greaterThanOrEqual" aboveAverage="0" equalAverage="0" bottom="0" percent="0" rank="0" text="" dxfId="0">
      <formula>6</formula>
    </cfRule>
    <cfRule type="cellIs" priority="19" operator="equal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3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1"/>
    <col collapsed="false" customWidth="true" hidden="false" outlineLevel="0" max="3" min="3" style="0" width="7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13"/>
    <col collapsed="false" customWidth="true" hidden="false" outlineLevel="0" max="7" min="7" style="0" width="10"/>
    <col collapsed="false" customWidth="true" hidden="false" outlineLevel="0" max="8" min="8" style="0" width="17"/>
    <col collapsed="false" customWidth="true" hidden="false" outlineLevel="0" max="9" min="9" style="0" width="52"/>
    <col collapsed="false" customWidth="true" hidden="false" outlineLevel="0" max="10" min="10" style="0" width="50"/>
  </cols>
  <sheetData>
    <row r="1" customFormat="false" ht="31.5" hidden="false" customHeight="true" outlineLevel="0" collapsed="false">
      <c r="A1" s="3" t="s">
        <v>100</v>
      </c>
      <c r="B1" s="3" t="s">
        <v>31</v>
      </c>
      <c r="C1" s="3" t="s">
        <v>101</v>
      </c>
      <c r="D1" s="3" t="s">
        <v>2</v>
      </c>
      <c r="E1" s="3" t="s">
        <v>116</v>
      </c>
      <c r="F1" s="3" t="s">
        <v>117</v>
      </c>
      <c r="G1" s="3" t="s">
        <v>118</v>
      </c>
      <c r="H1" s="3" t="s">
        <v>119</v>
      </c>
      <c r="I1" s="3" t="s">
        <v>120</v>
      </c>
      <c r="J1" s="3" t="s">
        <v>99</v>
      </c>
    </row>
    <row r="2" customFormat="false" ht="15" hidden="false" customHeight="false" outlineLevel="0" collapsed="false">
      <c r="A2" s="5" t="n">
        <v>40733</v>
      </c>
      <c r="B2" s="5" t="s">
        <v>36</v>
      </c>
      <c r="C2" s="5" t="s">
        <v>121</v>
      </c>
      <c r="D2" s="4" t="s">
        <v>18</v>
      </c>
      <c r="E2" s="4" t="s">
        <v>122</v>
      </c>
      <c r="F2" s="4" t="s">
        <v>123</v>
      </c>
      <c r="G2" s="5" t="n">
        <v>127</v>
      </c>
      <c r="H2" s="5" t="s">
        <v>124</v>
      </c>
      <c r="I2" s="4" t="s">
        <v>125</v>
      </c>
      <c r="J2" s="4" t="s">
        <v>97</v>
      </c>
    </row>
    <row r="3" customFormat="false" ht="15" hidden="false" customHeight="false" outlineLevel="0" collapsed="false">
      <c r="A3" s="5" t="n">
        <v>41505</v>
      </c>
      <c r="B3" s="5" t="s">
        <v>36</v>
      </c>
      <c r="C3" s="5" t="s">
        <v>126</v>
      </c>
      <c r="D3" s="4" t="s">
        <v>18</v>
      </c>
      <c r="E3" s="4" t="s">
        <v>122</v>
      </c>
      <c r="F3" s="4" t="s">
        <v>127</v>
      </c>
      <c r="G3" s="5" t="n">
        <v>143</v>
      </c>
      <c r="H3" s="5" t="s">
        <v>124</v>
      </c>
      <c r="I3" s="4" t="s">
        <v>128</v>
      </c>
      <c r="J3" s="4" t="s">
        <v>97</v>
      </c>
    </row>
    <row r="4" customFormat="false" ht="15" hidden="false" customHeight="false" outlineLevel="0" collapsed="false">
      <c r="A4" s="5" t="n">
        <v>40522</v>
      </c>
      <c r="B4" s="5" t="s">
        <v>36</v>
      </c>
      <c r="C4" s="5" t="s">
        <v>129</v>
      </c>
      <c r="D4" s="4" t="s">
        <v>18</v>
      </c>
      <c r="E4" s="4" t="s">
        <v>122</v>
      </c>
      <c r="F4" s="4" t="s">
        <v>127</v>
      </c>
      <c r="G4" s="5" t="n">
        <v>61</v>
      </c>
      <c r="H4" s="5" t="s">
        <v>124</v>
      </c>
      <c r="I4" s="4" t="s">
        <v>130</v>
      </c>
      <c r="J4" s="4" t="s">
        <v>97</v>
      </c>
    </row>
    <row r="5" customFormat="false" ht="15" hidden="false" customHeight="false" outlineLevel="0" collapsed="false">
      <c r="A5" s="5" t="n">
        <v>38443</v>
      </c>
      <c r="B5" s="5" t="s">
        <v>36</v>
      </c>
      <c r="C5" s="5" t="s">
        <v>131</v>
      </c>
      <c r="D5" s="4" t="s">
        <v>18</v>
      </c>
      <c r="E5" s="4" t="s">
        <v>122</v>
      </c>
      <c r="F5" s="4" t="s">
        <v>132</v>
      </c>
      <c r="G5" s="5" t="n">
        <v>69</v>
      </c>
      <c r="H5" s="5" t="s">
        <v>124</v>
      </c>
      <c r="I5" s="4" t="s">
        <v>133</v>
      </c>
      <c r="J5" s="4" t="s">
        <v>97</v>
      </c>
    </row>
    <row r="6" customFormat="false" ht="15" hidden="false" customHeight="false" outlineLevel="0" collapsed="false">
      <c r="A6" s="5" t="n">
        <v>38545</v>
      </c>
      <c r="B6" s="5" t="s">
        <v>36</v>
      </c>
      <c r="C6" s="5" t="s">
        <v>134</v>
      </c>
      <c r="D6" s="4" t="s">
        <v>18</v>
      </c>
      <c r="E6" s="4" t="s">
        <v>122</v>
      </c>
      <c r="F6" s="4" t="s">
        <v>127</v>
      </c>
      <c r="G6" s="5" t="n">
        <v>76</v>
      </c>
      <c r="H6" s="5" t="s">
        <v>124</v>
      </c>
      <c r="I6" s="4" t="s">
        <v>135</v>
      </c>
      <c r="J6" s="4" t="s">
        <v>97</v>
      </c>
    </row>
    <row r="7" customFormat="false" ht="15" hidden="false" customHeight="false" outlineLevel="0" collapsed="false">
      <c r="A7" s="5" t="n">
        <v>35886</v>
      </c>
      <c r="B7" s="5" t="s">
        <v>36</v>
      </c>
      <c r="C7" s="5" t="s">
        <v>136</v>
      </c>
      <c r="D7" s="4" t="s">
        <v>18</v>
      </c>
      <c r="E7" s="4" t="s">
        <v>122</v>
      </c>
      <c r="F7" s="4" t="s">
        <v>132</v>
      </c>
      <c r="G7" s="5" t="n">
        <v>41</v>
      </c>
      <c r="H7" s="5" t="s">
        <v>124</v>
      </c>
      <c r="I7" s="4" t="s">
        <v>137</v>
      </c>
      <c r="J7" s="4" t="s">
        <v>97</v>
      </c>
    </row>
    <row r="8" customFormat="false" ht="15" hidden="false" customHeight="false" outlineLevel="0" collapsed="false">
      <c r="A8" s="5" t="n">
        <v>42329</v>
      </c>
      <c r="B8" s="5" t="s">
        <v>36</v>
      </c>
      <c r="C8" s="5" t="s">
        <v>138</v>
      </c>
      <c r="D8" s="4" t="s">
        <v>18</v>
      </c>
      <c r="E8" s="4" t="s">
        <v>122</v>
      </c>
      <c r="F8" s="4" t="s">
        <v>123</v>
      </c>
      <c r="G8" s="5" t="n">
        <v>121</v>
      </c>
      <c r="H8" s="5" t="s">
        <v>124</v>
      </c>
      <c r="I8" s="4" t="s">
        <v>139</v>
      </c>
      <c r="J8" s="4" t="s">
        <v>97</v>
      </c>
    </row>
    <row r="9" customFormat="false" ht="15" hidden="false" customHeight="false" outlineLevel="0" collapsed="false">
      <c r="A9" s="5" t="n">
        <v>41519</v>
      </c>
      <c r="B9" s="5" t="s">
        <v>36</v>
      </c>
      <c r="C9" s="5" t="s">
        <v>140</v>
      </c>
      <c r="D9" s="4" t="s">
        <v>18</v>
      </c>
      <c r="E9" s="4" t="s">
        <v>122</v>
      </c>
      <c r="F9" s="4" t="s">
        <v>141</v>
      </c>
      <c r="G9" s="5" t="n">
        <v>117</v>
      </c>
      <c r="H9" s="5" t="s">
        <v>124</v>
      </c>
      <c r="I9" s="4" t="s">
        <v>142</v>
      </c>
      <c r="J9" s="4" t="s">
        <v>97</v>
      </c>
    </row>
    <row r="10" customFormat="false" ht="15" hidden="false" customHeight="false" outlineLevel="0" collapsed="false">
      <c r="A10" s="5" t="n">
        <v>41067</v>
      </c>
      <c r="B10" s="5" t="s">
        <v>36</v>
      </c>
      <c r="C10" s="5" t="s">
        <v>143</v>
      </c>
      <c r="D10" s="4" t="s">
        <v>18</v>
      </c>
      <c r="E10" s="4" t="s">
        <v>122</v>
      </c>
      <c r="F10" s="4" t="s">
        <v>127</v>
      </c>
      <c r="G10" s="5" t="n">
        <v>91</v>
      </c>
      <c r="H10" s="5" t="s">
        <v>124</v>
      </c>
      <c r="I10" s="4" t="s">
        <v>144</v>
      </c>
      <c r="J10" s="4" t="s">
        <v>97</v>
      </c>
    </row>
    <row r="11" customFormat="false" ht="15" hidden="false" customHeight="false" outlineLevel="0" collapsed="false">
      <c r="A11" s="5" t="n">
        <v>40865</v>
      </c>
      <c r="B11" s="5" t="s">
        <v>36</v>
      </c>
      <c r="C11" s="5" t="s">
        <v>145</v>
      </c>
      <c r="D11" s="4" t="s">
        <v>18</v>
      </c>
      <c r="E11" s="4" t="s">
        <v>122</v>
      </c>
      <c r="F11" s="4" t="s">
        <v>127</v>
      </c>
      <c r="G11" s="5" t="n">
        <v>71</v>
      </c>
      <c r="H11" s="5" t="s">
        <v>124</v>
      </c>
      <c r="I11" s="4" t="s">
        <v>146</v>
      </c>
      <c r="J11" s="4" t="s">
        <v>97</v>
      </c>
    </row>
    <row r="12" customFormat="false" ht="15" hidden="false" customHeight="false" outlineLevel="0" collapsed="false">
      <c r="A12" s="5" t="n">
        <v>40485</v>
      </c>
      <c r="B12" s="5" t="s">
        <v>36</v>
      </c>
      <c r="C12" s="5" t="s">
        <v>147</v>
      </c>
      <c r="D12" s="4" t="s">
        <v>18</v>
      </c>
      <c r="E12" s="4" t="s">
        <v>122</v>
      </c>
      <c r="F12" s="4" t="s">
        <v>123</v>
      </c>
      <c r="G12" s="5" t="n">
        <v>100</v>
      </c>
      <c r="H12" s="5" t="s">
        <v>124</v>
      </c>
      <c r="I12" s="4" t="s">
        <v>148</v>
      </c>
      <c r="J12" s="4" t="s">
        <v>97</v>
      </c>
    </row>
    <row r="13" customFormat="false" ht="15" hidden="false" customHeight="false" outlineLevel="0" collapsed="false">
      <c r="A13" s="5" t="n">
        <v>38544</v>
      </c>
      <c r="B13" s="5" t="s">
        <v>36</v>
      </c>
      <c r="C13" s="5" t="s">
        <v>149</v>
      </c>
      <c r="D13" s="4" t="s">
        <v>18</v>
      </c>
      <c r="E13" s="4" t="s">
        <v>122</v>
      </c>
      <c r="F13" s="4" t="s">
        <v>123</v>
      </c>
      <c r="G13" s="5" t="n">
        <v>87</v>
      </c>
      <c r="H13" s="5" t="s">
        <v>124</v>
      </c>
      <c r="I13" s="4" t="s">
        <v>150</v>
      </c>
      <c r="J13" s="4" t="s">
        <v>97</v>
      </c>
    </row>
  </sheetData>
  <autoFilter ref="A1:J13"/>
  <conditionalFormatting sqref="J2:J13">
    <cfRule type="expression" priority="2" aboveAverage="0" equalAverage="0" bottom="0" percent="0" rank="0" text="" dxfId="2">
      <formula>ISNUMBER(SEARCH("مختصر",$J2))</formula>
    </cfRule>
    <cfRule type="expression" priority="3" aboveAverage="0" equalAverage="0" bottom="0" percent="0" rank="0" text="" dxfId="0">
      <formula>ISNUMBER(SEARCH("بدون أي نص",$J2))</formula>
    </cfRule>
  </conditionalFormatting>
  <conditionalFormatting sqref="H2:H13">
    <cfRule type="cellIs" priority="4" operator="equal" aboveAverage="0" equalAverage="0" bottom="0" percent="0" rank="0" text="" dxfId="1">
      <formula>"تفصيلي"</formula>
    </cfRule>
    <cfRule type="cellIs" priority="5" operator="equal" aboveAverage="0" equalAverage="0" bottom="0" percent="0" rank="0" text="" dxfId="2">
      <formula>"مختصر"</formula>
    </cfRule>
    <cfRule type="cellIs" priority="6" operator="equal" aboveAverage="0" equalAverage="0" bottom="0" percent="0" rank="0" text="" dxfId="0">
      <formula>"مختصر جداً / فارغ"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2026-09-03T06:11:18Z</dcterms:created>
  <dc:creator>openpyxl</dc:creator>
  <dc:description/>
  <dc:language>en-US</dc:language>
  <cp:lastModifiedBy/>
  <dcterms:modified xsi:type="dcterms:W3CDTF">2026-09-03T06:11:18Z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