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</sheets>
  <definedNames>
    <definedName function="false" hidden="true" localSheetId="3" name="_xlnm._FilterDatabase" vbProcedure="false">'تفاصيل الفرص'!$A$1:$Y$282</definedName>
    <definedName function="false" hidden="true" localSheetId="4" name="_xlnm._FilterDatabase" vbProcedure="false">'سجل الأكشنات'!$A$1:$J$539</definedName>
    <definedName function="false" hidden="true" localSheetId="1" name="_xlnm._FilterDatabase" vbProcedure="false">'متابعة يومية'!$A$3:$I$251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<sst xmlns="http://schemas.openxmlformats.org/spreadsheetml/2006/main" count="10387" uniqueCount="1860">
  <si>
    <t xml:space="preserve">شيت المتابعة اليومية للمناديب — Smou Lifts (Odoo CRM)</t>
  </si>
  <si>
    <t xml:space="preserve">الفترة: 01/08/2026 حتى 31/08/2026   |   البيانات متاحة فعلياً حتى 2026-08-29   |   المصدر: crm.lead   |   آخر تحديث: 29/08/2026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</si>
  <si>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</si>
  <si>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</si>
  <si>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</si>
  <si>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</si>
  <si>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</si>
  <si>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</si>
  <si>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</si>
  <si>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</si>
  <si>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</si>
  <si>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</si>
  <si>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</si>
  <si>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</si>
  <si>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</si>
  <si>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</si>
  <si>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</si>
  <si>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</si>
  <si>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</si>
  <si>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الـ12 فرصة) · كثيراً ما يترك فارغاً: Plot Number (9/12)، ملاحظات (7/12) · الأكشنات: 33 أكشن منها 2 مختصر/بدون نص</t>
  </si>
  <si>
    <t xml:space="preserve">Ahmed AlDinary</t>
  </si>
  <si>
    <t xml:space="preserve">لم ينشئ أي فرصة في الفترة · الأكشنات: 1 أكشن كلها مكتوبة بتفاصيل ✔</t>
  </si>
  <si>
    <t xml:space="preserve">Ahmed Alattar</t>
  </si>
  <si>
    <t xml:space="preserve">لا يكتب إطلاقاً: مرفقات (في كل الـ41 فرصة) · كثيراً ما يترك فارغاً: Plot Number (38/41)، ملاحظات (33/41)، Source (30/41)، الاستشاري (21/41) · الأكشنات: 62 أكشن منها 19 مختصر/بدون نص</t>
  </si>
  <si>
    <t xml:space="preserve">Ahmed Salah</t>
  </si>
  <si>
    <t xml:space="preserve">لا يكتب إطلاقاً: ملاحظات (في كل الـ16 فرصة) · كثيراً ما يترك فارغاً: مرفقات (15/16)، اسم العميل (13/16)، Plot Number (12/16)، المقاول (11/16)، Source (11/16)، Tags (9/16) · الأكشنات: 55 أكشن منها 4 مختصر/بدون نص</t>
  </si>
  <si>
    <t xml:space="preserve">Hossam Radi</t>
  </si>
  <si>
    <t xml:space="preserve">كثيراً ما يترك فارغاً: المقاول (11/15)، الاستشاري (9/15)، ملاحظات (9/15)، Plot Number (8/15) · الأكشنات: 84 أكشن منها 16 مختصر/بدون نص</t>
  </si>
  <si>
    <t xml:space="preserve">Mohammed Jamal</t>
  </si>
  <si>
    <t xml:space="preserve">لا يكتب إطلاقاً: مرفقات، ملاحظات (في كل الـ135 فرصة) · كثيراً ما يترك فارغاً: Plot Number (134/135)، Source (101/135) · الأكشنات: 134 أكشن منها 19 مختصر/بدون نص</t>
  </si>
  <si>
    <t xml:space="preserve">Ramy Moussa</t>
  </si>
  <si>
    <t xml:space="preserve">لا يكتب إطلاقاً: مرفقات (في كل الـ36 فرصة) · كثيراً ما يترك فارغاً: ملاحظات (35/36)، Plot Number (30/36)، Source (20/36)، الاستشاري (19/36)، Tags (19/36)، المقاول (18/36) · الأكشنات: 93 أكشن منها 24 مختصر/بدون نص</t>
  </si>
  <si>
    <t xml:space="preserve">Yossry Fayez</t>
  </si>
  <si>
    <t xml:space="preserve">لا يكتب إطلاقاً: مرفقات (في كل الـ26 فرصة) · كثيراً ما يترك فارغاً: Plot Number (25/26)، ملاحظات (23/26) · الأكشنات: 76 أكشن منها 3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</si>
  <si>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</si>
  <si>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</si>
  <si>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</si>
  <si>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</si>
  <si>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</si>
  <si>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</si>
  <si>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</si>
  <si>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البيانات مسحوبة من الأودو بتاريخ 29/08/2026 — آخر يوم به نشاط مسجّل هو 2026-08-29.</t>
  </si>
  <si>
    <t xml:space="preserve">• المناديب المستبعدون من الشيت: Sayed Samak.</t>
  </si>
  <si>
    <t xml:space="preserve">المتابعة اليومية لكل مندوب — 01/08/2026 إلى 31/08/2026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</si>
  <si>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</si>
  <si>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</si>
  <si>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</si>
  <si>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</si>
  <si>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</si>
  <si>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السبت</t>
  </si>
  <si>
    <t xml:space="preserve">2026-08-01</t>
  </si>
  <si>
    <t xml:space="preserve">الأحد</t>
  </si>
  <si>
    <t xml:space="preserve">2026-08-02</t>
  </si>
  <si>
    <t xml:space="preserve">الإثنين</t>
  </si>
  <si>
    <t xml:space="preserve">2026-08-03</t>
  </si>
  <si>
    <t xml:space="preserve">الثلاثاء</t>
  </si>
  <si>
    <t xml:space="preserve">2026-08-04</t>
  </si>
  <si>
    <t xml:space="preserve">الأربعاء</t>
  </si>
  <si>
    <t xml:space="preserve">2026-08-05</t>
  </si>
  <si>
    <t xml:space="preserve">الخميس</t>
  </si>
  <si>
    <t xml:space="preserve">2026-08-06</t>
  </si>
  <si>
    <t xml:space="preserve">الجمعة</t>
  </si>
  <si>
    <t xml:space="preserve">2026-08-07</t>
  </si>
  <si>
    <t xml:space="preserve">2026-08-08</t>
  </si>
  <si>
    <t xml:space="preserve">2026-08-09</t>
  </si>
  <si>
    <t xml:space="preserve">2026-08-10</t>
  </si>
  <si>
    <t xml:space="preserve">2026-08-11</t>
  </si>
  <si>
    <t xml:space="preserve">2026-08-12</t>
  </si>
  <si>
    <t xml:space="preserve">2026-08-13</t>
  </si>
  <si>
    <t xml:space="preserve">2026-08-14</t>
  </si>
  <si>
    <t xml:space="preserve">2026-08-15</t>
  </si>
  <si>
    <t xml:space="preserve">2026-08-16</t>
  </si>
  <si>
    <t xml:space="preserve">2026-08-17</t>
  </si>
  <si>
    <t xml:space="preserve">2026-08-18</t>
  </si>
  <si>
    <t xml:space="preserve">2026-08-19</t>
  </si>
  <si>
    <t xml:space="preserve">2026-08-20</t>
  </si>
  <si>
    <t xml:space="preserve">2026-08-21</t>
  </si>
  <si>
    <t xml:space="preserve">2026-08-22</t>
  </si>
  <si>
    <t xml:space="preserve">2026-08-23</t>
  </si>
  <si>
    <t xml:space="preserve">2026-08-24</t>
  </si>
  <si>
    <t xml:space="preserve">2026-08-25</t>
  </si>
  <si>
    <t xml:space="preserve">2026-08-26</t>
  </si>
  <si>
    <t xml:space="preserve">2026-08-27</t>
  </si>
  <si>
    <t xml:space="preserve">2026-08-28</t>
  </si>
  <si>
    <t xml:space="preserve">2026-08-29</t>
  </si>
  <si>
    <t xml:space="preserve">2026-08-30</t>
  </si>
  <si>
    <t xml:space="preserve">2026-08-31</t>
  </si>
  <si>
    <t xml:space="preserve">الملاحظات المتكررة ومدى تكرارها</t>
  </si>
  <si>
    <t xml:space="preserve">إجمالي الفرص المفحوصة: 281   |   إجمالي الأكشنات المفحوصة: 538   |   الفترة 01/08 – 31/08/2026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</si>
  <si>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</si>
  <si>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</si>
  <si>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</si>
  <si>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</si>
  <si>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</si>
  <si>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</si>
  <si>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</si>
  <si>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</si>
  <si>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</si>
  <si>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Ahmed Salah (13)</t>
  </si>
  <si>
    <t xml:space="preserve">المندوب لم يكتب «Plot Number» في الفرصة</t>
  </si>
  <si>
    <t xml:space="preserve">Mohammed Jamal (134)</t>
  </si>
  <si>
    <t xml:space="preserve">المندوب لم يكتب «الاستشاري» في الفرصة</t>
  </si>
  <si>
    <t xml:space="preserve">Mohammed Jamal (29)</t>
  </si>
  <si>
    <t xml:space="preserve">المندوب لم يكتب «المقاول» في الفرصة</t>
  </si>
  <si>
    <t xml:space="preserve">Mohammed Jamal (50)</t>
  </si>
  <si>
    <t xml:space="preserve">المندوب لم يكتب «Tags» في الفرصة</t>
  </si>
  <si>
    <t xml:space="preserve">Ramy Moussa (19)</t>
  </si>
  <si>
    <t xml:space="preserve">المندوب لم يكتب «مرفقات» في الفرصة</t>
  </si>
  <si>
    <t xml:space="preserve">Mohammed Jamal (135)</t>
  </si>
  <si>
    <t xml:space="preserve">المندوب لم يكتب «Source» في الفرصة</t>
  </si>
  <si>
    <t xml:space="preserve">Mohammed Jamal (101)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</si>
  <si>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</si>
  <si>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</si>
  <si>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</si>
  <si>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</si>
  <si>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Plot Number، مرفقات، Source، ملاحظات</t>
  </si>
  <si>
    <t xml:space="preserve">ناقص: Plot Number، مرفقات، ملاحظات</t>
  </si>
  <si>
    <t xml:space="preserve">ناقص: Plot Number، المقاول،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</si>
  <si>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</si>
  <si>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المقاول، مرفقات، ملاحظات</t>
  </si>
  <si>
    <t xml:space="preserve">ناقص: Plot Number، الاستشاري،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</si>
  <si>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</si>
  <si>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ملاحظات</t>
  </si>
  <si>
    <t xml:space="preserve">ناقص: مرفقات، ملاحظات</t>
  </si>
  <si>
    <t xml:space="preserve">ناقص: Plot Number، الاستشاري، مرفقات، ملاحظات</t>
  </si>
  <si>
    <t xml:space="preserve">ناقص: Plot Number، المقاول، مرفقات، Source</t>
  </si>
  <si>
    <t xml:space="preserve">ناقص: Plot Number، الاستشاري، مرفقات، Source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</si>
  <si>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</si>
  <si>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</si>
  <si>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</si>
  <si>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</si>
  <si>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</si>
  <si>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</si>
  <si>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</si>
  <si>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</si>
  <si>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</si>
  <si>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</si>
  <si>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</si>
  <si>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</si>
  <si>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</si>
  <si>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</si>
  <si>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</si>
  <si>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</si>
  <si>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</si>
  <si>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</si>
  <si>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</si>
  <si>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</si>
  <si>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</si>
  <si>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</si>
  <si>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</si>
  <si>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</si>
  <si>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</si>
  <si>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16:59</t>
  </si>
  <si>
    <t xml:space="preserve">Abu Dhabi, and Al Ain</t>
  </si>
  <si>
    <t xml:space="preserve">عرض سعر</t>
  </si>
  <si>
    <t xml:space="preserve">بيت الصيانه للمقاولات العامة's opportuni</t>
  </si>
  <si>
    <t xml:space="preserve">بيت الصيانه للمقاولات العامة</t>
  </si>
  <si>
    <t xml:space="preserve">نعم</t>
  </si>
  <si>
    <t xml:space="preserve">لا</t>
  </si>
  <si>
    <t xml:space="preserve">بازلت للاستشارات الهندسية</t>
  </si>
  <si>
    <t xml:space="preserve">مواقع</t>
  </si>
  <si>
    <t xml:space="preserve">المندوب لم يكتب: Plot Number، مرفقات، Source، ملاحظات  (4 خانة ناقصة)</t>
  </si>
  <si>
    <t xml:space="preserve">17:02</t>
  </si>
  <si>
    <t xml:space="preserve">السعادة للمقاولات العامة's opportunity</t>
  </si>
  <si>
    <t xml:space="preserve">السعادة للمقاولات العامة</t>
  </si>
  <si>
    <t xml:space="preserve">مكتب اركال للاستشارات الهندسية</t>
  </si>
  <si>
    <t xml:space="preserve">17:06</t>
  </si>
  <si>
    <t xml:space="preserve">كلاوس للمقاولات العامة's opportunity</t>
  </si>
  <si>
    <t xml:space="preserve">كلاوس للمقاولات العامة</t>
  </si>
  <si>
    <t xml:space="preserve">مكتب فنون العمارة للاستشارات اله</t>
  </si>
  <si>
    <t xml:space="preserve">17:09</t>
  </si>
  <si>
    <t xml:space="preserve">بالم إنترناشيونال للمقاولات العامة's opp</t>
  </si>
  <si>
    <t xml:space="preserve">بالم إنترناشيونال للمقاولات العامة</t>
  </si>
  <si>
    <t xml:space="preserve">بالم إنترناشيونال للمقاولات العا</t>
  </si>
  <si>
    <t xml:space="preserve">17:15</t>
  </si>
  <si>
    <t xml:space="preserve">دار الغد للمقاولات العامة's opportunity</t>
  </si>
  <si>
    <t xml:space="preserve">دار الغد للمقاولات العامة</t>
  </si>
  <si>
    <t xml:space="preserve">ابيلا للاستشارات الهندسية</t>
  </si>
  <si>
    <t xml:space="preserve">دار الغد للمقاولات العامه</t>
  </si>
  <si>
    <t xml:space="preserve">17:18</t>
  </si>
  <si>
    <t xml:space="preserve">Eng. Omar's opportunity</t>
  </si>
  <si>
    <t xml:space="preserve">مكتب العين</t>
  </si>
  <si>
    <t xml:space="preserve">مكتب</t>
  </si>
  <si>
    <t xml:space="preserve">المندوب لم يكتب: Plot Number، الاستشاري، المقاول، مرفقات، Source، ملاحظات  (6 خانة ناقصة)</t>
  </si>
  <si>
    <t xml:space="preserve">22:14</t>
  </si>
  <si>
    <t xml:space="preserve">ADMIN</t>
  </si>
  <si>
    <t xml:space="preserve">على اسماعيل ال بشر / بو زايد صاحب الصومع</t>
  </si>
  <si>
    <t xml:space="preserve">على اسماعيل ال بشر</t>
  </si>
  <si>
    <t xml:space="preserve">135/14</t>
  </si>
  <si>
    <t xml:space="preserve">مكتب البيت الحديث للاستشارات اله</t>
  </si>
  <si>
    <t xml:space="preserve">الصومعة للمقاولات العامة</t>
  </si>
  <si>
    <t xml:space="preserve">عرض سعر مصعد</t>
  </si>
  <si>
    <t xml:space="preserve">المندوب لم يكتب: مرفقات، ملاحظات  (2 خانة ناقصة)</t>
  </si>
  <si>
    <t xml:space="preserve">11:56</t>
  </si>
  <si>
    <t xml:space="preserve">Abu Dhabi, and Al Ain 1</t>
  </si>
  <si>
    <t xml:space="preserve">Qualified</t>
  </si>
  <si>
    <t xml:space="preserve">المالك شيخه المنصوري - Social 7- 2026</t>
  </si>
  <si>
    <t xml:space="preserve">حمد عبدالله سعيد محمد المزروعي</t>
  </si>
  <si>
    <t xml:space="preserve">MZ3 - 102</t>
  </si>
  <si>
    <t xml:space="preserve">مكتب لمسات معمارية للاستشارات ال</t>
  </si>
  <si>
    <t xml:space="preserve">مكتب بيت الرؤيه للمقاولات العامه</t>
  </si>
  <si>
    <t xml:space="preserve">Social Media, مصعد و تكييف</t>
  </si>
  <si>
    <t xml:space="preserve">social Media</t>
  </si>
  <si>
    <t xml:space="preserve">مكتمل ✔ — كل الخانات المطلوبة متعبّاة</t>
  </si>
  <si>
    <t xml:space="preserve">13:01</t>
  </si>
  <si>
    <t xml:space="preserve">محمد حمد محمد عبدالله الشامسي</t>
  </si>
  <si>
    <t xml:space="preserve">فراس للاستشارات</t>
  </si>
  <si>
    <t xml:space="preserve">ماستر بلان للمقاولات العامة</t>
  </si>
  <si>
    <t xml:space="preserve">تكييف, مصعد</t>
  </si>
  <si>
    <t xml:space="preserve">المندوب لم يكتب: Plot Number، مرفقات، ملاحظات  (3 خانة ناقصة)</t>
  </si>
  <si>
    <t xml:space="preserve">14:01</t>
  </si>
  <si>
    <t xml:space="preserve">جراند بلاذا للمقاولات- رويال دووم للاستش</t>
  </si>
  <si>
    <t xml:space="preserve">جراند بلاذا للمقاولات</t>
  </si>
  <si>
    <t xml:space="preserve">رويال دوم للاستشارات الهندسية</t>
  </si>
  <si>
    <t xml:space="preserve">المجلس العربي للمقاولات العامة's opportu</t>
  </si>
  <si>
    <t xml:space="preserve">المجلس العربي للمقاولات العامة</t>
  </si>
  <si>
    <t xml:space="preserve">66</t>
  </si>
  <si>
    <t xml:space="preserve">المندوب لم يكتب: مرفقات، Source، ملاحظات  (3 خانة ناقصة)</t>
  </si>
  <si>
    <t xml:space="preserve">تربل اتش للمقاولات العامة's opportunity</t>
  </si>
  <si>
    <t xml:space="preserve">تربل اتش للمقاولات العامة</t>
  </si>
  <si>
    <t xml:space="preserve">اس جي اس للاستشارات الهندسية</t>
  </si>
  <si>
    <t xml:space="preserve">اتربل اتش للمقاولات العامة</t>
  </si>
  <si>
    <t xml:space="preserve">17:20</t>
  </si>
  <si>
    <t xml:space="preserve">لاميزون للمقاولات العامة</t>
  </si>
  <si>
    <t xml:space="preserve">المندوب لم يكتب: اسم العميل، Plot Number، الاستشاري، المقاول، Tags، مرفقات، Source، ملاحظات  (8 خانة ناقصة)</t>
  </si>
  <si>
    <t xml:space="preserve">17:21</t>
  </si>
  <si>
    <t xml:space="preserve">لاميزون للمقاولات العامة's opportunity</t>
  </si>
  <si>
    <t xml:space="preserve">توب هاوس للاستشارات الهندسية</t>
  </si>
  <si>
    <t xml:space="preserve">17:24</t>
  </si>
  <si>
    <t xml:space="preserve">الجوهرة الكبره للمقاولات العامة's opport</t>
  </si>
  <si>
    <t xml:space="preserve">الجوهرة الكبره للمقاولات العامة</t>
  </si>
  <si>
    <t xml:space="preserve">هامبوغ للاستشارات الهندسية</t>
  </si>
  <si>
    <t xml:space="preserve">17:26</t>
  </si>
  <si>
    <t xml:space="preserve">سفتي سايت للمقاولات's opportunity</t>
  </si>
  <si>
    <t xml:space="preserve">سفتي سايت للمقاولات</t>
  </si>
  <si>
    <t xml:space="preserve">فريد دزاين الاستشارات الهندسية</t>
  </si>
  <si>
    <t xml:space="preserve">سيفتي سايت للمقاولات العامة</t>
  </si>
  <si>
    <t xml:space="preserve">17:28</t>
  </si>
  <si>
    <t xml:space="preserve">الواحه الطيبه للمقاولات العامة's opportu</t>
  </si>
  <si>
    <t xml:space="preserve">الواحه الطيبه للمقاولات العامة</t>
  </si>
  <si>
    <t xml:space="preserve">كيمت للاستشارات الهندسية</t>
  </si>
  <si>
    <t xml:space="preserve">17:30</t>
  </si>
  <si>
    <t xml:space="preserve">مكتب العين's opportunity</t>
  </si>
  <si>
    <t xml:space="preserve">21:54</t>
  </si>
  <si>
    <t xml:space="preserve">فرصة</t>
  </si>
  <si>
    <t xml:space="preserve">مكتب ظلال للاستشارات الهندسية's opportun</t>
  </si>
  <si>
    <t xml:space="preserve">مكتب ظلال للاستشارات الهندسية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</si>
  <si>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</si>
  <si>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</si>
  <si>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21:57</t>
  </si>
  <si>
    <t xml:space="preserve">مكتب دبل اتش للمقاولات العلمة's opportun</t>
  </si>
  <si>
    <t xml:space="preserve">مكتب دبل اتش للمقاولات العلمة</t>
  </si>
  <si>
    <t xml:space="preserve">دبل اتش للمقاولات العامة</t>
  </si>
  <si>
    <t xml:space="preserve">مكتب مقاولات</t>
  </si>
  <si>
    <t xml:space="preserve">المندوب لم يكتب: Plot Number، الاستشاري، مرفقات، Source، ملاحظات  (5 خانة ناقصة)</t>
  </si>
  <si>
    <t xml:space="preserve">22:01</t>
  </si>
  <si>
    <t xml:space="preserve">مكتب استبرق للاستشارات الهندسية's opport</t>
  </si>
  <si>
    <t xml:space="preserve">مكتب استبرق للاستشارات الهندسية</t>
  </si>
  <si>
    <t xml:space="preserve">استبرق للاستشارات الهندسية</t>
  </si>
  <si>
    <t xml:space="preserve">13:34</t>
  </si>
  <si>
    <t xml:space="preserve">كرييتف تيم للاستشارات</t>
  </si>
  <si>
    <t xml:space="preserve">المندوب لم يكتب: اسم العميل، Plot Number، المقاول، Tags، مرفقات، Source، ملاحظات  (7 خانة ناقصة)</t>
  </si>
  <si>
    <t xml:space="preserve">فرصة باوهاوس للاستشارات</t>
  </si>
  <si>
    <t xml:space="preserve">باوهاوس للاستشارات</t>
  </si>
  <si>
    <t xml:space="preserve">مكتب باوهاوس للاستشارات الهندسية</t>
  </si>
  <si>
    <t xml:space="preserve">المندوب لم يكتب: Plot Number، المقاول، Tags، مرفقات، Source، ملاحظات  (6 خانة ناقصة)</t>
  </si>
  <si>
    <t xml:space="preserve">13:40</t>
  </si>
  <si>
    <t xml:space="preserve">برج الليث للمقاولات العامه</t>
  </si>
  <si>
    <t xml:space="preserve">المندوب لم يكتب: اسم العميل، Plot Number، الاستشاري، Tags، مرفقات، Source، ملاحظات  (7 خانة ناقصة)</t>
  </si>
  <si>
    <t xml:space="preserve">13:48</t>
  </si>
  <si>
    <t xml:space="preserve">سحاب للاستشارات الهندسيه</t>
  </si>
  <si>
    <t xml:space="preserve">14:03</t>
  </si>
  <si>
    <t xml:space="preserve">فرصة العقد الناجح لاداره العقارات</t>
  </si>
  <si>
    <t xml:space="preserve">العقد الناجح لاداره العقارات</t>
  </si>
  <si>
    <t xml:space="preserve">17</t>
  </si>
  <si>
    <t xml:space="preserve">سفير</t>
  </si>
  <si>
    <t xml:space="preserve">العقد الناجح للعقارات</t>
  </si>
  <si>
    <t xml:space="preserve">مصعد</t>
  </si>
  <si>
    <t xml:space="preserve">14:28</t>
  </si>
  <si>
    <t xml:space="preserve">حمد حسين العيدروس \ كواليتي هوم</t>
  </si>
  <si>
    <t xml:space="preserve">عمدان</t>
  </si>
  <si>
    <t xml:space="preserve">كواليتي هوم</t>
  </si>
  <si>
    <t xml:space="preserve">تكييف</t>
  </si>
  <si>
    <t xml:space="preserve">17:29</t>
  </si>
  <si>
    <t xml:space="preserve">مشروع مدن 200 فيلا's opportunity</t>
  </si>
  <si>
    <t xml:space="preserve">مشروع مدن 200 فيلا</t>
  </si>
  <si>
    <t xml:space="preserve">NV5 / LW Design Group FZ-LLC</t>
  </si>
  <si>
    <t xml:space="preserve">بيفوت للمقاولات العامة</t>
  </si>
  <si>
    <t xml:space="preserve">عرض سعر مكيف</t>
  </si>
  <si>
    <t xml:space="preserve">مكاتب</t>
  </si>
  <si>
    <t xml:space="preserve">المندوب لم يكتب: Plot Number، مرفقات  (2 خانة ناقصة)</t>
  </si>
  <si>
    <t xml:space="preserve">09:56</t>
  </si>
  <si>
    <t xml:space="preserve">تلال الغدير للمقاولات's opportunity</t>
  </si>
  <si>
    <t xml:space="preserve">تلال الغدير للمقاولات</t>
  </si>
  <si>
    <t xml:space="preserve">العابد للاستشارات الهندسية</t>
  </si>
  <si>
    <t xml:space="preserve">09:59</t>
  </si>
  <si>
    <t xml:space="preserve">كومبتيشن للمقاولات العامة's opportunity</t>
  </si>
  <si>
    <t xml:space="preserve">كومبتيشن للمقاولات العامة</t>
  </si>
  <si>
    <t xml:space="preserve">هندسة الإبداع للاستشارات الهندسي</t>
  </si>
  <si>
    <t xml:space="preserve">10:02</t>
  </si>
  <si>
    <t xml:space="preserve">سراقب للمقاولات العامة's opportunity</t>
  </si>
  <si>
    <t xml:space="preserve">سراقب للمقاولات العامة</t>
  </si>
  <si>
    <t xml:space="preserve">النشمي للاستشارات الهندسية</t>
  </si>
  <si>
    <t xml:space="preserve">10:05</t>
  </si>
  <si>
    <t xml:space="preserve">رد بريكس للمقاولات العامة's opportunity</t>
  </si>
  <si>
    <t xml:space="preserve">رد بريكس للمقاولات العامة</t>
  </si>
  <si>
    <t xml:space="preserve">لوكاس للاستشارات الهندسية</t>
  </si>
  <si>
    <t xml:space="preserve">10:06</t>
  </si>
  <si>
    <t xml:space="preserve">مكتب اندو جلف للمقاولات العامة's opportu</t>
  </si>
  <si>
    <t xml:space="preserve">مكتب اندو جلف للمقاولات العامة</t>
  </si>
  <si>
    <t xml:space="preserve">اندو جلف للمقاولات العامة</t>
  </si>
  <si>
    <t xml:space="preserve">10:07</t>
  </si>
  <si>
    <t xml:space="preserve">واحة العين للمقاولات's opportunity</t>
  </si>
  <si>
    <t xml:space="preserve">واحة العين للمقاولات</t>
  </si>
  <si>
    <t xml:space="preserve">فريد دزاين للاستشارات الهندسية</t>
  </si>
  <si>
    <t xml:space="preserve">واحة العين للمقاولات العامة</t>
  </si>
  <si>
    <t xml:space="preserve">10:09</t>
  </si>
  <si>
    <t xml:space="preserve">انفنتي سبيد للمقاولات العامة's opportuni</t>
  </si>
  <si>
    <t xml:space="preserve">انفنتي سبيد للمقاولات العامة</t>
  </si>
  <si>
    <t xml:space="preserve">10:11</t>
  </si>
  <si>
    <t xml:space="preserve">المندوب لم يكتب: Plot Number، الاستشاري، المقاول، Tags، مرفقات، Source، ملاحظات  (7 خانة ناقصة)</t>
  </si>
  <si>
    <t xml:space="preserve">16:09</t>
  </si>
  <si>
    <t xml:space="preserve">علي البلوشي</t>
  </si>
  <si>
    <t xml:space="preserve">الفوعة - الليم</t>
  </si>
  <si>
    <t xml:space="preserve">بي اي ام بيونيرز للاستشارات</t>
  </si>
  <si>
    <t xml:space="preserve">رايز فيو للمقاولات</t>
  </si>
  <si>
    <t xml:space="preserve">16:17</t>
  </si>
  <si>
    <t xml:space="preserve">مطر الرميثي</t>
  </si>
  <si>
    <t xml:space="preserve">القطارة</t>
  </si>
  <si>
    <t xml:space="preserve">تايم تاورز للاستشارات</t>
  </si>
  <si>
    <t xml:space="preserve">مطر سعيد الرميثي للمقاولات</t>
  </si>
  <si>
    <t xml:space="preserve">16:21</t>
  </si>
  <si>
    <t xml:space="preserve">بن ونيس للمقاولات</t>
  </si>
  <si>
    <t xml:space="preserve">2 فيلا</t>
  </si>
  <si>
    <t xml:space="preserve">اركال للاستشارات</t>
  </si>
  <si>
    <t xml:space="preserve">16:26</t>
  </si>
  <si>
    <t xml:space="preserve">محمد شفيق للمقاولات</t>
  </si>
  <si>
    <t xml:space="preserve">16:29</t>
  </si>
  <si>
    <t xml:space="preserve">Won</t>
  </si>
  <si>
    <t xml:space="preserve">قبة المدينة للمقاولات</t>
  </si>
  <si>
    <t xml:space="preserve">16:55</t>
  </si>
  <si>
    <t xml:space="preserve">مثلث البناء للمقاولات العامة's opportuni</t>
  </si>
  <si>
    <t xml:space="preserve">مثلث البناء للمقاولات العامة</t>
  </si>
  <si>
    <t xml:space="preserve">مركز التصميمات للاستشارات الهندس</t>
  </si>
  <si>
    <t xml:space="preserve">16:57</t>
  </si>
  <si>
    <t xml:space="preserve">الفراعنة للاستشارات الهندسية's opportuni</t>
  </si>
  <si>
    <t xml:space="preserve">الفراعنة للاستشارات الهندسية</t>
  </si>
  <si>
    <t xml:space="preserve">16:58</t>
  </si>
  <si>
    <t xml:space="preserve">17:00</t>
  </si>
  <si>
    <t xml:space="preserve">مكتب الشعفار الوطنية للمقاولات's opportu</t>
  </si>
  <si>
    <t xml:space="preserve">مكتب الشعفار الوطنية للمقاولات</t>
  </si>
  <si>
    <t xml:space="preserve">الشعفار الوطنية للمقاولات</t>
  </si>
  <si>
    <t xml:space="preserve">17:03</t>
  </si>
  <si>
    <t xml:space="preserve">قمر البحار للمقاولات العامة's opportunit</t>
  </si>
  <si>
    <t xml:space="preserve">قمر البحار للمقاولات العامة</t>
  </si>
  <si>
    <t xml:space="preserve">بالاسيو للاستشارات الهندسية</t>
  </si>
  <si>
    <t xml:space="preserve">17:05</t>
  </si>
  <si>
    <t xml:space="preserve">مكتب فيوتشر تاور للمقاولات العامة's oppo</t>
  </si>
  <si>
    <t xml:space="preserve">مكتب فيوتشر تاور للمقاولات العامة</t>
  </si>
  <si>
    <t xml:space="preserve">فيوتشر تاور للمقاولات</t>
  </si>
  <si>
    <t xml:space="preserve">17:07</t>
  </si>
  <si>
    <t xml:space="preserve">بيم دزاين للاستشارات الهندسية's opportun</t>
  </si>
  <si>
    <t xml:space="preserve">بيم دزاين للاستشارات الهندسية</t>
  </si>
  <si>
    <t xml:space="preserve">مكتب جرانس للمقاولات العامة's opportunit</t>
  </si>
  <si>
    <t xml:space="preserve">مكتب جرانس للمقاولات العامة</t>
  </si>
  <si>
    <t xml:space="preserve">جرانس للمقاولات العامة</t>
  </si>
  <si>
    <t xml:space="preserve">17:10</t>
  </si>
  <si>
    <t xml:space="preserve">كالتشر للاستشارات الهندسية's opportunity</t>
  </si>
  <si>
    <t xml:space="preserve">كالتشر للاستشارات الهندسية</t>
  </si>
  <si>
    <t xml:space="preserve">11:01</t>
  </si>
  <si>
    <t xml:space="preserve">زيد الكثيري</t>
  </si>
  <si>
    <t xml:space="preserve">16:41</t>
  </si>
  <si>
    <t xml:space="preserve">فايز الجابري \ طرف ميدل ايست للاستشارات</t>
  </si>
  <si>
    <t xml:space="preserve">فايز الجابري \ طرف ميدل ايست للاستشارا</t>
  </si>
  <si>
    <t xml:space="preserve">طرف ميدل ايست</t>
  </si>
  <si>
    <t xml:space="preserve">المندوب لم يكتب: Plot Number، المقاول، مرفقات، Source  (4 خانة ناقصة)</t>
  </si>
  <si>
    <t xml:space="preserve">17:35</t>
  </si>
  <si>
    <t xml:space="preserve">الرواد للاعمار للمقاولات العامة's opport</t>
  </si>
  <si>
    <t xml:space="preserve">الرواد للاعمار للمقاولات العامة</t>
  </si>
  <si>
    <t xml:space="preserve">الرويه الحديثه للاستشارات الهندس</t>
  </si>
  <si>
    <t xml:space="preserve">17:38</t>
  </si>
  <si>
    <t xml:space="preserve">تلال الغدير للمقاولات العامة</t>
  </si>
  <si>
    <t xml:space="preserve">17:40</t>
  </si>
  <si>
    <t xml:space="preserve">ماكرو هوم للمقاولات العامة's opportunity</t>
  </si>
  <si>
    <t xml:space="preserve">ماكرو هوم للمقاولات العامة</t>
  </si>
  <si>
    <t xml:space="preserve">شام للاستشارات الهندسية</t>
  </si>
  <si>
    <t xml:space="preserve">17:42</t>
  </si>
  <si>
    <t xml:space="preserve">بلد اب للمقاولات العامة's opportunity</t>
  </si>
  <si>
    <t xml:space="preserve">بلد اب للمقاولات العامة</t>
  </si>
  <si>
    <t xml:space="preserve">22:36</t>
  </si>
  <si>
    <t xml:space="preserve">00:08</t>
  </si>
  <si>
    <t xml:space="preserve">مكتب ريندرز للاستشارات الهندسية's opport</t>
  </si>
  <si>
    <t xml:space="preserve">مكتب ريندرز للاستشارات الهندسية</t>
  </si>
  <si>
    <t xml:space="preserve">ريندرز للاستشارات الهندسية</t>
  </si>
  <si>
    <t xml:space="preserve">16:33</t>
  </si>
  <si>
    <t xml:space="preserve">العصر الفضي للمقاولات's opportunity</t>
  </si>
  <si>
    <t xml:space="preserve">العصر الفضي للمقاولات</t>
  </si>
  <si>
    <t xml:space="preserve">تراك للاستشارات الهندسية</t>
  </si>
  <si>
    <t xml:space="preserve">16:35</t>
  </si>
  <si>
    <t xml:space="preserve">تربل اتش للمقاولات</t>
  </si>
  <si>
    <t xml:space="preserve">16:37</t>
  </si>
  <si>
    <t xml:space="preserve">ايه اس ام للاستشارات الهندسية</t>
  </si>
  <si>
    <t xml:space="preserve">16:40</t>
  </si>
  <si>
    <t xml:space="preserve">تاج الواحة للاستشارات</t>
  </si>
  <si>
    <t xml:space="preserve">تاج الواحة للاستشارات الهندسية</t>
  </si>
  <si>
    <t xml:space="preserve">المندوب لم يكتب: Plot Number، المقاول، Tags، مرفقات، ملاحظات  (5 خانة ناقصة)</t>
  </si>
  <si>
    <t xml:space="preserve">لاي وايت للانشاءات والتعمير's opportunit</t>
  </si>
  <si>
    <t xml:space="preserve">لاي وايت للانشاءات والتعمير</t>
  </si>
  <si>
    <t xml:space="preserve">اركال للاستشارات الهندسية</t>
  </si>
  <si>
    <t xml:space="preserve">16:43</t>
  </si>
  <si>
    <t xml:space="preserve">ابو سلطان النعيمي للمقاولات العامة's opp</t>
  </si>
  <si>
    <t xml:space="preserve">ابو سلطان النعيمي للمقاولات العامة</t>
  </si>
  <si>
    <t xml:space="preserve">اركيتيكتشورال اند انتيريور ديزاي</t>
  </si>
  <si>
    <t xml:space="preserve">ابو سلطان النعيمي للمقاولات العا</t>
  </si>
  <si>
    <t xml:space="preserve">16:48</t>
  </si>
  <si>
    <t xml:space="preserve">جيانكو للمقاولات العامة's opportunity</t>
  </si>
  <si>
    <t xml:space="preserve">جيانكو للمقاولات العامة</t>
  </si>
  <si>
    <t xml:space="preserve">لمسات للاستشارات الهندسية</t>
  </si>
  <si>
    <t xml:space="preserve">16:49</t>
  </si>
  <si>
    <t xml:space="preserve">20:21</t>
  </si>
  <si>
    <t xml:space="preserve">فرصة احمد المهيري ظلال</t>
  </si>
  <si>
    <t xml:space="preserve">احمد المهيري ظلال</t>
  </si>
  <si>
    <t xml:space="preserve">ظلال</t>
  </si>
  <si>
    <t xml:space="preserve">20:23</t>
  </si>
  <si>
    <t xml:space="preserve">الركن الزكي للاستشارات's opportunity</t>
  </si>
  <si>
    <t xml:space="preserve">الركن الزكي للاستشارات</t>
  </si>
  <si>
    <t xml:space="preserve">20:24</t>
  </si>
  <si>
    <t xml:space="preserve">م محمود مدير مشاريع ظلال للاستشارات ابوظ</t>
  </si>
  <si>
    <t xml:space="preserve">المندوب لم يكتب: اسم العميل، Plot Number، المقاول، مرفقات، Source، ملاحظات  (6 خانة ناقصة)</t>
  </si>
  <si>
    <t xml:space="preserve">20:28</t>
  </si>
  <si>
    <t xml:space="preserve">مهندس امجد العقد الناجح للعقارات</t>
  </si>
  <si>
    <t xml:space="preserve">12:20</t>
  </si>
  <si>
    <t xml:space="preserve">مكتب ريموند ميدل ايست للمقاولات's opport</t>
  </si>
  <si>
    <t xml:space="preserve">مكتب ريموند ميدل ايست للمقاولات</t>
  </si>
  <si>
    <t xml:space="preserve">ريموند ميدل ايست للمقاولات</t>
  </si>
  <si>
    <t xml:space="preserve">المندوب لم يكتب: Plot Number، الاستشاري، مرفقات، Source  (4 خانة ناقصة)</t>
  </si>
  <si>
    <t xml:space="preserve">15:09</t>
  </si>
  <si>
    <t xml:space="preserve">مكتب ستايل للاستشارات الهندسية's opportu</t>
  </si>
  <si>
    <t xml:space="preserve">مكتب ستايل للاستشارات الهندسية</t>
  </si>
  <si>
    <t xml:space="preserve">ستايل للاستشارات الهندسية</t>
  </si>
  <si>
    <t xml:space="preserve">22:29</t>
  </si>
  <si>
    <t xml:space="preserve">مكتب سبيشالايزد للاستشارات الهندسية's op</t>
  </si>
  <si>
    <t xml:space="preserve">مكتب سبيشالايزد للاستشارات الهندسية</t>
  </si>
  <si>
    <t xml:space="preserve">سبيشالايزد للاستشارات الهندسية</t>
  </si>
  <si>
    <t xml:space="preserve">22:42</t>
  </si>
  <si>
    <t xml:space="preserve">مكتب ماجيستك ماونتن للمقاولات العامة's o</t>
  </si>
  <si>
    <t xml:space="preserve">مكتب ماجيستك ماونتن للمقاولات العامة</t>
  </si>
  <si>
    <t xml:space="preserve">ماجيستك ماونتن للمقاولات العامة</t>
  </si>
  <si>
    <t xml:space="preserve">12:34</t>
  </si>
  <si>
    <t xml:space="preserve">محمد النعيمي</t>
  </si>
  <si>
    <t xml:space="preserve">فلج هزاع مجمع ثلاث مصاعد</t>
  </si>
  <si>
    <t xml:space="preserve">ابوسلطان النعيمي</t>
  </si>
  <si>
    <t xml:space="preserve">12:55</t>
  </si>
  <si>
    <t xml:space="preserve">عبدالله الحمادي</t>
  </si>
  <si>
    <t xml:space="preserve">تزامن</t>
  </si>
  <si>
    <t xml:space="preserve">12:59</t>
  </si>
  <si>
    <t xml:space="preserve">عامر سالمين هلابي</t>
  </si>
  <si>
    <t xml:space="preserve">ابراج الغد</t>
  </si>
  <si>
    <t xml:space="preserve">13:39</t>
  </si>
  <si>
    <t xml:space="preserve">مكتب ايه اي 7 للاستشارات الهندسية</t>
  </si>
  <si>
    <t xml:space="preserve">ايه اي 7 للاستشارات الهندسية</t>
  </si>
  <si>
    <t xml:space="preserve">ايه اى 7 للاستشارات الهندسية</t>
  </si>
  <si>
    <t xml:space="preserve">13:56</t>
  </si>
  <si>
    <t xml:space="preserve">مكتب الحصن للاستشارات الهندسية's opportu</t>
  </si>
  <si>
    <t xml:space="preserve">مكتب الحصن للاستشارات الهندسية</t>
  </si>
  <si>
    <t xml:space="preserve">المد للمقاولات العامة's opportunity</t>
  </si>
  <si>
    <t xml:space="preserve">المد للمقاولات العامة</t>
  </si>
  <si>
    <t xml:space="preserve">ايبلا للاستشارات الهندسية</t>
  </si>
  <si>
    <t xml:space="preserve">17:04</t>
  </si>
  <si>
    <t xml:space="preserve">محارة الغرب للمقاولات العامة's opportuni</t>
  </si>
  <si>
    <t xml:space="preserve">محارة الغرب للمقاولات العامة</t>
  </si>
  <si>
    <t xml:space="preserve">الابداع الهندسيه للاستشارات الهن</t>
  </si>
  <si>
    <t xml:space="preserve">كالتشر للاستشارات للاستشارات</t>
  </si>
  <si>
    <t xml:space="preserve">انفنتي للمقاولات العامة's opportunity</t>
  </si>
  <si>
    <t xml:space="preserve">انفنتي للمقاولات العامة</t>
  </si>
  <si>
    <t xml:space="preserve">ديماس للاستشارات الهندسية</t>
  </si>
  <si>
    <t xml:space="preserve">13:06</t>
  </si>
  <si>
    <t xml:space="preserve">خالد الشامسي</t>
  </si>
  <si>
    <t xml:space="preserve">الجابية</t>
  </si>
  <si>
    <t xml:space="preserve">عملاء سابقين</t>
  </si>
  <si>
    <t xml:space="preserve">المندوب لم يكتب: Plot Number، الاستشاري، مرفقات، ملاحظات  (4 خانة ناقصة)</t>
  </si>
  <si>
    <t xml:space="preserve">13:10</t>
  </si>
  <si>
    <t xml:space="preserve">دحام المنصوري</t>
  </si>
  <si>
    <t xml:space="preserve">16:52</t>
  </si>
  <si>
    <t xml:space="preserve">واحة العين للمقاولات العامة's opportunit</t>
  </si>
  <si>
    <t xml:space="preserve">16:53</t>
  </si>
  <si>
    <t xml:space="preserve">اجياد الخير للمقاولات العامة's opportuni</t>
  </si>
  <si>
    <t xml:space="preserve">اجياد الخير للمقاولات العامة</t>
  </si>
  <si>
    <t xml:space="preserve">16:56</t>
  </si>
  <si>
    <t xml:space="preserve">برج البرايا للمقاولات العامة's opportuni</t>
  </si>
  <si>
    <t xml:space="preserve">برج البرايا للمقاولات العامة</t>
  </si>
  <si>
    <t xml:space="preserve">الحوار للاستشارات الهندسية</t>
  </si>
  <si>
    <t xml:space="preserve">سريانا للمقاولات العامة's opportunity</t>
  </si>
  <si>
    <t xml:space="preserve">سريانا للمقاولات العامة</t>
  </si>
  <si>
    <t xml:space="preserve">عمدان للاستشارات الهندسية</t>
  </si>
  <si>
    <t xml:space="preserve">اركيتيكتشورال اند ديزاين للاستشارات</t>
  </si>
  <si>
    <t xml:space="preserve">الساحه الحديثه للمقاولات's opportunity</t>
  </si>
  <si>
    <t xml:space="preserve">الساحه الحديثه للمقاولات</t>
  </si>
  <si>
    <t xml:space="preserve">الاسطوره للاستشارات الهندسية</t>
  </si>
  <si>
    <t xml:space="preserve">الساحه الحديثه للمقاولات العامة</t>
  </si>
  <si>
    <t xml:space="preserve">17:01</t>
  </si>
  <si>
    <t xml:space="preserve">قواعد الامان للمقاولات العامة's opportun</t>
  </si>
  <si>
    <t xml:space="preserve">قواعد الامان للمقاولات العامة</t>
  </si>
  <si>
    <t xml:space="preserve">الدوام من المكتب's opportunity</t>
  </si>
  <si>
    <t xml:space="preserve">الدوام من المكتب</t>
  </si>
  <si>
    <t xml:space="preserve">05:31</t>
  </si>
  <si>
    <t xml:space="preserve">سعيد المزروعي/ شام للاستشارات/التحفة الش</t>
  </si>
  <si>
    <t xml:space="preserve">سعيد المزروعي/ شام للاستشارات/التحفة ا</t>
  </si>
  <si>
    <t xml:space="preserve">مكتب شام للتصميم والاستشارات اله</t>
  </si>
  <si>
    <t xml:space="preserve">التحفة الشرقية للمقاولات العامة</t>
  </si>
  <si>
    <t xml:space="preserve">05:43</t>
  </si>
  <si>
    <t xml:space="preserve">محمد/ استبرق/ البرشا's opportunity</t>
  </si>
  <si>
    <t xml:space="preserve">محمد/ استبرق/ البرشا</t>
  </si>
  <si>
    <t xml:space="preserve">المندوب لم يكتب: Plot Number، الاستشاري، المقاول، مرفقات، ملاحظات  (5 خانة ناقصة)</t>
  </si>
  <si>
    <t xml:space="preserve">05:49</t>
  </si>
  <si>
    <t xml:space="preserve">دكتورة لبنى/ معرض's opportunity</t>
  </si>
  <si>
    <t xml:space="preserve">دكتورة لبنى/ معرض</t>
  </si>
  <si>
    <t xml:space="preserve">نيشن للاستشارات الهندسية</t>
  </si>
  <si>
    <t xml:space="preserve">معرض</t>
  </si>
  <si>
    <t xml:space="preserve">المندوب لم يكتب: Plot Number، المقاول، مرفقات، ملاحظات  (4 خانة ناقصة)</t>
  </si>
  <si>
    <t xml:space="preserve">10:58</t>
  </si>
  <si>
    <t xml:space="preserve">المندوب لم يكتب: Plot Number، الاستشاري، Tags، مرفقات، Source، ملاحظات  (6 خانة ناقصة)</t>
  </si>
  <si>
    <t xml:space="preserve">11:00</t>
  </si>
  <si>
    <t xml:space="preserve">احمد محمد الحميري</t>
  </si>
  <si>
    <t xml:space="preserve">بينونا</t>
  </si>
  <si>
    <t xml:space="preserve">11:14</t>
  </si>
  <si>
    <t xml:space="preserve">الساحه الحديثة للمقاولات</t>
  </si>
  <si>
    <t xml:space="preserve">المندوب لم يكتب: Plot Number، Tags، مرفقات، Source، ملاحظات  (5 خانة ناقصة)</t>
  </si>
  <si>
    <t xml:space="preserve">13:57</t>
  </si>
  <si>
    <t xml:space="preserve">المالك سعد الكعبي - معرض - 8 - 2026</t>
  </si>
  <si>
    <t xml:space="preserve">سعد الكعبي</t>
  </si>
  <si>
    <t xml:space="preserve">تكييف, معرض</t>
  </si>
  <si>
    <t xml:space="preserve">المندوب لم يكتب: Plot Number، الاستشاري، المقاول، ملاحظات  (4 خانة ناقصة)</t>
  </si>
  <si>
    <t xml:space="preserve">14:20</t>
  </si>
  <si>
    <t xml:space="preserve">المالك خليفه بامطرف - معرض - 8 -2026</t>
  </si>
  <si>
    <t xml:space="preserve">خليفه بامطرف</t>
  </si>
  <si>
    <t xml:space="preserve">متعاقد, تكييف, معرض</t>
  </si>
  <si>
    <t xml:space="preserve">المندوب لم يكتب: Plot Number، الاستشاري، المقاول  (3 خانة ناقصة)</t>
  </si>
  <si>
    <t xml:space="preserve">14:40</t>
  </si>
  <si>
    <t xml:space="preserve">المالك حسن ريزا - معرص - 8 - 2026</t>
  </si>
  <si>
    <t xml:space="preserve">حسن ريزا - باكستاني</t>
  </si>
  <si>
    <t xml:space="preserve">جزيرة الجبيل - 215</t>
  </si>
  <si>
    <t xml:space="preserve">معرض, مصعد</t>
  </si>
  <si>
    <t xml:space="preserve">المندوب لم يكتب: الاستشاري، المقاول، ملاحظات  (3 خانة ناقصة)</t>
  </si>
  <si>
    <t xml:space="preserve">14:49</t>
  </si>
  <si>
    <t xml:space="preserve">المالك طارق الكثيري - معرض - 8 - 2026</t>
  </si>
  <si>
    <t xml:space="preserve">طارق الكثيري</t>
  </si>
  <si>
    <t xml:space="preserve">16:15</t>
  </si>
  <si>
    <t xml:space="preserve">فرصة طارق محمد سيف الزعابي كواليتي</t>
  </si>
  <si>
    <t xml:space="preserve">طارق محمد سيف الزعابي كواليتي</t>
  </si>
  <si>
    <t xml:space="preserve">١٣ \٧٤ حمد بن زايد</t>
  </si>
  <si>
    <t xml:space="preserve">فراس</t>
  </si>
  <si>
    <t xml:space="preserve">القاسم للاستشارات الهندسية's opportunity</t>
  </si>
  <si>
    <t xml:space="preserve">القاسم للاستشارات الهندسية</t>
  </si>
  <si>
    <t xml:space="preserve">السفير للاستشارات الهندسية's opportunity</t>
  </si>
  <si>
    <t xml:space="preserve">السفير للاستشارات الهندسية</t>
  </si>
  <si>
    <t xml:space="preserve">فريد دزاين للاستشارات الهندسية's opportu</t>
  </si>
  <si>
    <t xml:space="preserve">17:08</t>
  </si>
  <si>
    <t xml:space="preserve">البنفسج للاستشارات الهندسية's opportunit</t>
  </si>
  <si>
    <t xml:space="preserve">البنفسج للاستشارات الهندسية</t>
  </si>
  <si>
    <t xml:space="preserve">09:01</t>
  </si>
  <si>
    <t xml:space="preserve">مكتب تايجر's opportunity</t>
  </si>
  <si>
    <t xml:space="preserve">مكتب تايجر</t>
  </si>
  <si>
    <t xml:space="preserve">تايجر للمقاولات</t>
  </si>
  <si>
    <t xml:space="preserve">مانشن 2 / شوبا's opportunity</t>
  </si>
  <si>
    <t xml:space="preserve">مانشن 2 / شوبا</t>
  </si>
  <si>
    <t xml:space="preserve">شوبه العقارية</t>
  </si>
  <si>
    <t xml:space="preserve">15:49</t>
  </si>
  <si>
    <t xml:space="preserve">خلفان صالح خلفان محمد الظاهري's opportun</t>
  </si>
  <si>
    <t xml:space="preserve">خلفان صالح خلفان محمد الظاهري</t>
  </si>
  <si>
    <t xml:space="preserve">إدارة البناء للمقاولات العامة's opportun</t>
  </si>
  <si>
    <t xml:space="preserve">إدارة البناء للمقاولات العامة</t>
  </si>
  <si>
    <t xml:space="preserve">ادارة البناء للاستشارات الهندسية</t>
  </si>
  <si>
    <t xml:space="preserve">17:17</t>
  </si>
  <si>
    <t xml:space="preserve">استون ماستر للمقاولات العامة's opportuni</t>
  </si>
  <si>
    <t xml:space="preserve">استون ماستر للمقاولات العامة</t>
  </si>
  <si>
    <t xml:space="preserve">استون ماستر للمقاولات</t>
  </si>
  <si>
    <t xml:space="preserve">رانا للمقاولات العامة's opportunity</t>
  </si>
  <si>
    <t xml:space="preserve">رانا للمقاولات العامة</t>
  </si>
  <si>
    <t xml:space="preserve">ايكون لايف للاستشارات الهندسية</t>
  </si>
  <si>
    <t xml:space="preserve">20:19</t>
  </si>
  <si>
    <t xml:space="preserve">سفير للاستشارات - مهندس محمود درويش</t>
  </si>
  <si>
    <t xml:space="preserve">سفير للاستشارات</t>
  </si>
  <si>
    <t xml:space="preserve">مكتب سفير للاستشارات</t>
  </si>
  <si>
    <t xml:space="preserve">مصعد, عميل سابق</t>
  </si>
  <si>
    <t xml:space="preserve">21:15</t>
  </si>
  <si>
    <t xml:space="preserve">المغرب العربي للاستشارات الهندسية's oppo</t>
  </si>
  <si>
    <t xml:space="preserve">المغرب العربي للاستشارات الهندسية</t>
  </si>
  <si>
    <t xml:space="preserve">المغرب العربي للاستشارات الهندسي</t>
  </si>
  <si>
    <t xml:space="preserve">21:19</t>
  </si>
  <si>
    <t xml:space="preserve">دار الامارات للاستشارات الهندسية's oppor</t>
  </si>
  <si>
    <t xml:space="preserve">دار الامارات للاستشارات الهندسية</t>
  </si>
  <si>
    <t xml:space="preserve">21:21</t>
  </si>
  <si>
    <t xml:space="preserve">اجياد للاستشارات الهندسية's opportunity</t>
  </si>
  <si>
    <t xml:space="preserve">اجياد للاستشارات الهندسية</t>
  </si>
  <si>
    <t xml:space="preserve">المهندس الاماراتي للاستشارات اله</t>
  </si>
  <si>
    <t xml:space="preserve">12:17</t>
  </si>
  <si>
    <t xml:space="preserve">علي سلطان المهيري's opportunity</t>
  </si>
  <si>
    <t xml:space="preserve">علي سلطان المهيري</t>
  </si>
  <si>
    <t xml:space="preserve">المالك جميله رجب محمد - حمود الشيكيلي</t>
  </si>
  <si>
    <t xml:space="preserve">جميله رجب محمد</t>
  </si>
  <si>
    <t xml:space="preserve">الراشديه دبي</t>
  </si>
  <si>
    <t xml:space="preserve">مكتب نيكست للاستشارات الهندسية</t>
  </si>
  <si>
    <t xml:space="preserve">مكتب المحافظ للمقاولات العامه</t>
  </si>
  <si>
    <t xml:space="preserve">متعاقد</t>
  </si>
  <si>
    <t xml:space="preserve">Private Data</t>
  </si>
  <si>
    <t xml:space="preserve">16:31</t>
  </si>
  <si>
    <t xml:space="preserve">اركال للاستشارات الهندسية's opportunity</t>
  </si>
  <si>
    <t xml:space="preserve">لاي وايت للمقاولات العامة</t>
  </si>
  <si>
    <t xml:space="preserve">16:34</t>
  </si>
  <si>
    <t xml:space="preserve">دماستك للمقاولات العامة's opportunity</t>
  </si>
  <si>
    <t xml:space="preserve">دماستك للمقاولات العامة</t>
  </si>
  <si>
    <t xml:space="preserve">16:45</t>
  </si>
  <si>
    <t xml:space="preserve">ثلاثية الأبعاد للمقاولات العامة's opport</t>
  </si>
  <si>
    <t xml:space="preserve">ثلاثية الأبعاد للمقاولات العامة</t>
  </si>
  <si>
    <t xml:space="preserve">ثلاثية الأبعاد للمقاولات</t>
  </si>
  <si>
    <t xml:space="preserve">سيف ون للمقاولات العامة's opportunity</t>
  </si>
  <si>
    <t xml:space="preserve">سيف ون للمقاولات العامة</t>
  </si>
  <si>
    <t xml:space="preserve">الابداع الهندسي للاستشارات الهند</t>
  </si>
  <si>
    <t xml:space="preserve">سالم الراشدى / مهندس شريف's opportunity</t>
  </si>
  <si>
    <t xml:space="preserve">سالم الراشدى / مهندس شريف</t>
  </si>
  <si>
    <t xml:space="preserve">الرياض32/C2</t>
  </si>
  <si>
    <t xml:space="preserve">يو جي سي للمقاولات العامة</t>
  </si>
  <si>
    <t xml:space="preserve">المندوب لم يكتب: الاستشاري، Tags، مرفقات، Source، ملاحظات  (5 خانة ناقصة)</t>
  </si>
  <si>
    <t xml:space="preserve">23:30</t>
  </si>
  <si>
    <t xml:space="preserve">فرصة تنميه الصحراء للمقاولات</t>
  </si>
  <si>
    <t xml:space="preserve">تنميه الصحراء للمقاولات</t>
  </si>
  <si>
    <t xml:space="preserve">11:10</t>
  </si>
  <si>
    <t xml:space="preserve">جولدن تشويس ميديكال سنتر/معرض's opportun</t>
  </si>
  <si>
    <t xml:space="preserve">جولدن تشويس ميديكال سنتر/معرض</t>
  </si>
  <si>
    <t xml:space="preserve">الجدار الماسي للمقاولات العامة</t>
  </si>
  <si>
    <t xml:space="preserve">المندوب لم يكتب: Plot Number، الاستشاري، مرفقات  (3 خانة ناقصة)</t>
  </si>
  <si>
    <t xml:space="preserve">18:24</t>
  </si>
  <si>
    <t xml:space="preserve">18:39</t>
  </si>
  <si>
    <t xml:space="preserve">بناء الغد للمقاولات</t>
  </si>
  <si>
    <t xml:space="preserve">18:41</t>
  </si>
  <si>
    <t xml:space="preserve">حصان الشرق للمقاولات العامة's opportunit</t>
  </si>
  <si>
    <t xml:space="preserve">حصان الشرق للمقاولات العامة</t>
  </si>
  <si>
    <t xml:space="preserve">دار السلام للمقاولات العامة</t>
  </si>
  <si>
    <t xml:space="preserve">حصان الشرق للمقاولات</t>
  </si>
  <si>
    <t xml:space="preserve">18:43</t>
  </si>
  <si>
    <t xml:space="preserve">18:45</t>
  </si>
  <si>
    <t xml:space="preserve">كالتشر للاستشارات للاستشارات's opportuni</t>
  </si>
  <si>
    <t xml:space="preserve">كالتشر للاستشارات الهندسيه</t>
  </si>
  <si>
    <t xml:space="preserve">عزيزة الشامسي</t>
  </si>
  <si>
    <t xml:space="preserve">الكفاءات الهندسه للمقاولات's opportunity</t>
  </si>
  <si>
    <t xml:space="preserve">الكفاءات الهندسه للمقاولات</t>
  </si>
  <si>
    <t xml:space="preserve">الكفاءات الهندسية للمقاولات</t>
  </si>
  <si>
    <t xml:space="preserve">ارض التيسير للمقاولات العامة's opportuni</t>
  </si>
  <si>
    <t xml:space="preserve">ارض التيسير للمقاولات العامة</t>
  </si>
  <si>
    <t xml:space="preserve">ارش انترناشونال للاستشارات</t>
  </si>
  <si>
    <t xml:space="preserve">فلاترون للمقاولات العامة's opportunity</t>
  </si>
  <si>
    <t xml:space="preserve">فلاترون للمقاولات العامة</t>
  </si>
  <si>
    <t xml:space="preserve">امبريم للاستشارات الهندسية</t>
  </si>
  <si>
    <t xml:space="preserve">لوسيل للمقاولات العامة's opportunity</t>
  </si>
  <si>
    <t xml:space="preserve">لوسيل للمقاولات العامة</t>
  </si>
  <si>
    <t xml:space="preserve">الدوام من المعرض's opportunity</t>
  </si>
  <si>
    <t xml:space="preserve">الدوام من المعرض</t>
  </si>
  <si>
    <t xml:space="preserve">17:45</t>
  </si>
  <si>
    <t xml:space="preserve">فرصة م ابراهيم هارون بصمه وفاء للمقاولات</t>
  </si>
  <si>
    <t xml:space="preserve">م ابراهيم هارون بصمه وفاء للمقاولات</t>
  </si>
  <si>
    <t xml:space="preserve">بصمه وفاء</t>
  </si>
  <si>
    <t xml:space="preserve">14:00</t>
  </si>
  <si>
    <t xml:space="preserve">عيسي المنصوري- الرحبة- الرصاصي للمقاولات</t>
  </si>
  <si>
    <t xml:space="preserve">عيسي المنصوري- الرحبة</t>
  </si>
  <si>
    <t xml:space="preserve">الرصاصي للمقاولات العامة</t>
  </si>
  <si>
    <t xml:space="preserve">مصعد, مواقع, سمارت هوم</t>
  </si>
  <si>
    <t xml:space="preserve">14:13</t>
  </si>
  <si>
    <t xml:space="preserve">رويال بروجكت - نابولي</t>
  </si>
  <si>
    <t xml:space="preserve">مكتب نابولي للاستشارات الهندسية</t>
  </si>
  <si>
    <t xml:space="preserve">رويال بروجكت للمقاولات</t>
  </si>
  <si>
    <t xml:space="preserve">تكييف, مواقع</t>
  </si>
  <si>
    <t xml:space="preserve">المندوب لم يكتب: اسم العميل، Plot Number، مرفقات، Source، ملاحظات  (5 خانة ناقصة)</t>
  </si>
  <si>
    <t xml:space="preserve">14:50</t>
  </si>
  <si>
    <t xml:space="preserve">الصدي الذهبي - فيوتشر بيلد</t>
  </si>
  <si>
    <t xml:space="preserve">فيوتشر بيلد للاستشارات الهندسية</t>
  </si>
  <si>
    <t xml:space="preserve">الصدي الذهبي للمقاولات</t>
  </si>
  <si>
    <t xml:space="preserve">مصعد, مواقع</t>
  </si>
  <si>
    <t xml:space="preserve">المندوب لم يكتب: اسم العميل، Plot Number، مرفقات، Source  (4 خانة ناقصة)</t>
  </si>
  <si>
    <t xml:space="preserve">عثمان ابراهيم محمد القبيلي الشامسي - كنو</t>
  </si>
  <si>
    <t xml:space="preserve">عثمان ابراهيم محمد القبيلي الشامسي</t>
  </si>
  <si>
    <t xml:space="preserve">RD 147 -182</t>
  </si>
  <si>
    <t xml:space="preserve">مكتب كنوز للاستشارات الهندسية</t>
  </si>
  <si>
    <t xml:space="preserve">تكييف, مكتب استشارات</t>
  </si>
  <si>
    <t xml:space="preserve">المندوب لم يكتب: المقاول  (1 خانة ناقصة)</t>
  </si>
  <si>
    <t xml:space="preserve">عمر علي حسن علي الحمادي - الرؤيه الذكيه</t>
  </si>
  <si>
    <t xml:space="preserve">عمر علي حسن علي الحمادي</t>
  </si>
  <si>
    <t xml:space="preserve">RD 65 - 50</t>
  </si>
  <si>
    <t xml:space="preserve">مكتب الرؤية الذكية للاستشارات ال</t>
  </si>
  <si>
    <t xml:space="preserve">مكتب استشارات, تكييف ومصعد</t>
  </si>
  <si>
    <t xml:space="preserve">المندوب لم يكتب: المقاول، ملاحظات  (2 خانة ناقصة)</t>
  </si>
  <si>
    <t xml:space="preserve">18:23</t>
  </si>
  <si>
    <t xml:space="preserve">المهندس الاماراتي للاستشارات's opportuni</t>
  </si>
  <si>
    <t xml:space="preserve">المهندس الاماراتي للاستشارات</t>
  </si>
  <si>
    <t xml:space="preserve">أجيال الخير للمقاولات العامة</t>
  </si>
  <si>
    <t xml:space="preserve">18:26</t>
  </si>
  <si>
    <t xml:space="preserve">ريلاكس للمقاولات العامة's opportunity</t>
  </si>
  <si>
    <t xml:space="preserve">ريلاكس للمقاولات العامة</t>
  </si>
  <si>
    <t xml:space="preserve">ماضي للاستشارات الهندسية</t>
  </si>
  <si>
    <t xml:space="preserve">ريلاكس العقارية</t>
  </si>
  <si>
    <t xml:space="preserve">18:30</t>
  </si>
  <si>
    <t xml:space="preserve">18:32</t>
  </si>
  <si>
    <t xml:space="preserve">الواحه الطيبة للمقاولات's opportunity</t>
  </si>
  <si>
    <t xml:space="preserve">الواحه الطيبة للمقاولات</t>
  </si>
  <si>
    <t xml:space="preserve">18:40</t>
  </si>
  <si>
    <t xml:space="preserve">الجوهرة الكبره للمقاولات's opportunity</t>
  </si>
  <si>
    <t xml:space="preserve">الجوهرة الكبره للمقاولات</t>
  </si>
  <si>
    <t xml:space="preserve">18:42</t>
  </si>
  <si>
    <t xml:space="preserve">بوحذوه للمقاولات العامة's opportunity</t>
  </si>
  <si>
    <t xml:space="preserve">بوحذوه للمقاولات العامة</t>
  </si>
  <si>
    <t xml:space="preserve">19:33</t>
  </si>
  <si>
    <t xml:space="preserve">يروان الشامسي</t>
  </si>
  <si>
    <t xml:space="preserve">ادارة البناء للمقاولات</t>
  </si>
  <si>
    <t xml:space="preserve">19:37</t>
  </si>
  <si>
    <t xml:space="preserve">سعود العزيزي</t>
  </si>
  <si>
    <t xml:space="preserve">النود</t>
  </si>
  <si>
    <t xml:space="preserve">العمران انترناشونال للاستشارات</t>
  </si>
  <si>
    <t xml:space="preserve">22:23</t>
  </si>
  <si>
    <t xml:space="preserve">راشد الكيومي</t>
  </si>
  <si>
    <t xml:space="preserve">الركائز الهندسية للمقاولات</t>
  </si>
  <si>
    <t xml:space="preserve">22:32</t>
  </si>
  <si>
    <t xml:space="preserve">واحه الفرسان للمقاولات's opportunity</t>
  </si>
  <si>
    <t xml:space="preserve">واحه الفرسان للمقاولات</t>
  </si>
  <si>
    <t xml:space="preserve">23:56</t>
  </si>
  <si>
    <t xml:space="preserve">فرصة دينو للمقاولات</t>
  </si>
  <si>
    <t xml:space="preserve">عبدالله عبيد عبدالله الهرمودي</t>
  </si>
  <si>
    <t xml:space="preserve">عهد الفن للاستشارات</t>
  </si>
  <si>
    <t xml:space="preserve">00:00</t>
  </si>
  <si>
    <t xml:space="preserve">محمد ناصر الزعابي</t>
  </si>
  <si>
    <t xml:space="preserve">المباني الذكيه للاستشارات</t>
  </si>
  <si>
    <t xml:space="preserve">11:59</t>
  </si>
  <si>
    <t xml:space="preserve">بدر الكعبي غنيمة</t>
  </si>
  <si>
    <t xml:space="preserve">زورجوانا</t>
  </si>
  <si>
    <t xml:space="preserve">12:08</t>
  </si>
  <si>
    <t xml:space="preserve">مريم الظاهري's opportunity</t>
  </si>
  <si>
    <t xml:space="preserve">مريم الظاهري</t>
  </si>
  <si>
    <t xml:space="preserve">12:58</t>
  </si>
  <si>
    <t xml:space="preserve">فائز النهدي</t>
  </si>
  <si>
    <t xml:space="preserve">14:06</t>
  </si>
  <si>
    <t xml:space="preserve">عبدالحميد الخوري للاستثمار- ايكوينوفا لل</t>
  </si>
  <si>
    <t xml:space="preserve">عبدالحميد الخوري للاستثمار</t>
  </si>
  <si>
    <t xml:space="preserve">مكتب ايكوينوفا للاستشارات الهندس</t>
  </si>
  <si>
    <t xml:space="preserve">عبدالحميد الخوري للماستثمار</t>
  </si>
  <si>
    <t xml:space="preserve">متعاقد, مصعد, عميل سابق, مبني تجاري</t>
  </si>
  <si>
    <t xml:space="preserve">18:21</t>
  </si>
  <si>
    <t xml:space="preserve">ارشيل للمقاولات العامة's opportunity</t>
  </si>
  <si>
    <t xml:space="preserve">ارشيل للمقاولات العامة</t>
  </si>
  <si>
    <t xml:space="preserve">نيشان للاستشارات الهندسية</t>
  </si>
  <si>
    <t xml:space="preserve">18:22</t>
  </si>
  <si>
    <t xml:space="preserve">18:25</t>
  </si>
  <si>
    <t xml:space="preserve">الدمين للمقاولات العامة's opportunity</t>
  </si>
  <si>
    <t xml:space="preserve">الدمين للمقاولات العامة</t>
  </si>
  <si>
    <t xml:space="preserve">18:27</t>
  </si>
  <si>
    <t xml:space="preserve">التخطيط الحديث للمقاولات العامة's opport</t>
  </si>
  <si>
    <t xml:space="preserve">التخطيط الحديث للمقاولات العامة</t>
  </si>
  <si>
    <t xml:space="preserve">بيلد اب للمقاولات العامة's opportunity</t>
  </si>
  <si>
    <t xml:space="preserve">بيلد اب للمقاولات العامة</t>
  </si>
  <si>
    <t xml:space="preserve">18:34</t>
  </si>
  <si>
    <t xml:space="preserve">معرض العين's opportunity</t>
  </si>
  <si>
    <t xml:space="preserve">معرض العين</t>
  </si>
  <si>
    <t xml:space="preserve">19:32</t>
  </si>
  <si>
    <t xml:space="preserve">فرصة م شادي الجوده الفائقه للمقالولات</t>
  </si>
  <si>
    <t xml:space="preserve">م شادي الجوده الفائقه للمقالولات</t>
  </si>
  <si>
    <t xml:space="preserve">الجوده الفائقه</t>
  </si>
  <si>
    <t xml:space="preserve">22:00</t>
  </si>
  <si>
    <t xml:space="preserve">مكتب سكاى هوب للمقاولات's opportunity</t>
  </si>
  <si>
    <t xml:space="preserve">مكتب سكاى هوب للمقاولات</t>
  </si>
  <si>
    <t xml:space="preserve">سكاى هوب للمقاولات</t>
  </si>
  <si>
    <t xml:space="preserve">22:03</t>
  </si>
  <si>
    <t xml:space="preserve">مكتب شوبه العقارية's opportunity</t>
  </si>
  <si>
    <t xml:space="preserve">مكتب شوبه العقارية</t>
  </si>
  <si>
    <t xml:space="preserve">23:21</t>
  </si>
  <si>
    <t xml:space="preserve">صقر الحمادي السمحه صقر</t>
  </si>
  <si>
    <t xml:space="preserve">كاتانيا للمقاولات العامة's opportunity</t>
  </si>
  <si>
    <t xml:space="preserve">كاتانيا للمقاولات العامة</t>
  </si>
  <si>
    <t xml:space="preserve">الحصن للاستشارات الهندسية</t>
  </si>
  <si>
    <t xml:space="preserve">هيرميس للمقاولات العامة's opportunity</t>
  </si>
  <si>
    <t xml:space="preserve">هيرميس للمقاولات العامة</t>
  </si>
  <si>
    <t xml:space="preserve">سكوير للمقاولات العامة's opportunity</t>
  </si>
  <si>
    <t xml:space="preserve">سكوير للمقاولات العامة</t>
  </si>
  <si>
    <t xml:space="preserve">هوم ارت للاستشارات الهندسية</t>
  </si>
  <si>
    <t xml:space="preserve">20:55</t>
  </si>
  <si>
    <t xml:space="preserve">21:05</t>
  </si>
  <si>
    <t xml:space="preserve">مكتب ايه اند ام للمقاولات's opportunity</t>
  </si>
  <si>
    <t xml:space="preserve">مكتب ايه اند ام للمقاولات</t>
  </si>
  <si>
    <t xml:space="preserve">ايه اند ام للمقاولات العامة</t>
  </si>
  <si>
    <t xml:space="preserve">21:50</t>
  </si>
  <si>
    <t xml:space="preserve">فرصة فاطمه المنصوري</t>
  </si>
  <si>
    <t xml:space="preserve">فاطمه المنصوري</t>
  </si>
  <si>
    <t xml:space="preserve">بيت الواحه</t>
  </si>
  <si>
    <t xml:space="preserve">17:59</t>
  </si>
  <si>
    <t xml:space="preserve">الموناليزا للمقاولات- الشوامخ - MDD</t>
  </si>
  <si>
    <t xml:space="preserve">الموناليزا للمقاولات</t>
  </si>
  <si>
    <t xml:space="preserve">675</t>
  </si>
  <si>
    <t xml:space="preserve">MDD ام دي دي للاستشارات الهندسية</t>
  </si>
  <si>
    <t xml:space="preserve">مكتب الموناليزا للمقاولات العامه</t>
  </si>
  <si>
    <t xml:space="preserve">عملاء مكاتب</t>
  </si>
  <si>
    <t xml:space="preserve">18:53</t>
  </si>
  <si>
    <t xml:space="preserve">التيسير جروب للمقاولات's opportunity</t>
  </si>
  <si>
    <t xml:space="preserve">التيسير جروب للمقاولات</t>
  </si>
  <si>
    <t xml:space="preserve">تكونين للاستشارات الهندسية</t>
  </si>
  <si>
    <t xml:space="preserve">التيسير جروب للمقاولات العامة</t>
  </si>
  <si>
    <t xml:space="preserve">18:55</t>
  </si>
  <si>
    <t xml:space="preserve">النشمي للاستشارات الهندسية's opportunity</t>
  </si>
  <si>
    <t xml:space="preserve">18:57</t>
  </si>
  <si>
    <t xml:space="preserve">كوننين للاستشارات الهندسية's opportunity</t>
  </si>
  <si>
    <t xml:space="preserve">كوننين للاستشارات الهندسية</t>
  </si>
  <si>
    <t xml:space="preserve">18:59</t>
  </si>
  <si>
    <t xml:space="preserve">الدوام من معرض ابوظبي's opportunity</t>
  </si>
  <si>
    <t xml:space="preserve">الدوام من معرض ابوظبي</t>
  </si>
  <si>
    <t xml:space="preserve">23:26</t>
  </si>
  <si>
    <t xml:space="preserve">انفنتي اسبيد للمقاولات</t>
  </si>
  <si>
    <t xml:space="preserve">23:37</t>
  </si>
  <si>
    <t xml:space="preserve">فخر الاجيال للمقاولات's opportunity</t>
  </si>
  <si>
    <t xml:space="preserve">فخر الاجيال للمقاولات</t>
  </si>
  <si>
    <t xml:space="preserve">17:33</t>
  </si>
  <si>
    <t xml:space="preserve">مكتب المباني المستدامة للاستشارات الهندس</t>
  </si>
  <si>
    <t xml:space="preserve">مكتب المباني المستدامة للاستشارات الهن</t>
  </si>
  <si>
    <t xml:space="preserve">المباني المستدامه للاستشارات</t>
  </si>
  <si>
    <t xml:space="preserve">17:36</t>
  </si>
  <si>
    <t xml:space="preserve">مكتب طرف للاستشارات الهندسة's opportunit</t>
  </si>
  <si>
    <t xml:space="preserve">مكتب طرف للاستشارات الهندسة</t>
  </si>
  <si>
    <t xml:space="preserve">مكتب طرف للاستشارات الهندسية</t>
  </si>
  <si>
    <t xml:space="preserve">22:55</t>
  </si>
  <si>
    <t xml:space="preserve">مكتب مباني الشرق للمقاولات's opportunity</t>
  </si>
  <si>
    <t xml:space="preserve">مكتب مباني الشرق للمقاولات</t>
  </si>
  <si>
    <t xml:space="preserve">مباني الشرق للمقاولات</t>
  </si>
  <si>
    <t xml:space="preserve">23:01</t>
  </si>
  <si>
    <t xml:space="preserve">New</t>
  </si>
  <si>
    <t xml:space="preserve">شركة ابوظبى الدولية للمقاولات/ مهندس يزن</t>
  </si>
  <si>
    <t xml:space="preserve">شركة ابوظبى الدولية للمقاولات/ مهندس ي</t>
  </si>
  <si>
    <t xml:space="preserve">شركة الاتحاد الهندسي</t>
  </si>
  <si>
    <t xml:space="preserve">شركة ابوظبى الدولية للمقاولات</t>
  </si>
  <si>
    <t xml:space="preserve">القيادة العامة لشرطة ابوظبي - الناصية ل</t>
  </si>
  <si>
    <t xml:space="preserve">القيادة العامة لشرطة ابوظبي</t>
  </si>
  <si>
    <t xml:space="preserve">مورجان للاستشارات الهندسية</t>
  </si>
  <si>
    <t xml:space="preserve">الناصية للمقاولات العامة</t>
  </si>
  <si>
    <t xml:space="preserve">12:50</t>
  </si>
  <si>
    <t xml:space="preserve">المالك محمد ابراهيم لاحمادي - ام القوين</t>
  </si>
  <si>
    <t xml:space="preserve">محمد ابراهيم لاحمادي</t>
  </si>
  <si>
    <t xml:space="preserve">25- 4</t>
  </si>
  <si>
    <t xml:space="preserve">مكتب القاده للاستشارات الهندسيه</t>
  </si>
  <si>
    <t xml:space="preserve">مكتب الرواد لمقاولات البناء</t>
  </si>
  <si>
    <t xml:space="preserve">متعاقد, معرض</t>
  </si>
  <si>
    <t xml:space="preserve">المندوب لم يكتب: مرفقات  (1 خانة ناقصة)</t>
  </si>
  <si>
    <t xml:space="preserve">13:43</t>
  </si>
  <si>
    <t xml:space="preserve">يوتايتد هوم للمقاولات - لاميزون للاستشار</t>
  </si>
  <si>
    <t xml:space="preserve">يوتايتد هوم للمقاولات</t>
  </si>
  <si>
    <t xml:space="preserve">لاميزون للاستشارات الهندسية</t>
  </si>
  <si>
    <t xml:space="preserve">يونايتد هوم للمقاولات العامة</t>
  </si>
  <si>
    <t xml:space="preserve">13:51</t>
  </si>
  <si>
    <t xml:space="preserve">سيف علي عبيد الكتبي</t>
  </si>
  <si>
    <t xml:space="preserve">قواعد للاستشارات الهندسيه</t>
  </si>
  <si>
    <t xml:space="preserve">13:52</t>
  </si>
  <si>
    <t xml:space="preserve">سعيد حاتم سعيد المحرمي</t>
  </si>
  <si>
    <t xml:space="preserve">الوادي الاخضر للمقاولات</t>
  </si>
  <si>
    <t xml:space="preserve">تكييف ومصعد</t>
  </si>
  <si>
    <t xml:space="preserve">المندوب لم يكتب: اسم العميل، Plot Number، مرفقات، ملاحظات  (4 خانة ناقصة)</t>
  </si>
  <si>
    <t xml:space="preserve">حسن الحامد - المنصة للانشاءات</t>
  </si>
  <si>
    <t xml:space="preserve">المنصة للانشاءات</t>
  </si>
  <si>
    <t xml:space="preserve">تكييف, مصعد, مواقع</t>
  </si>
  <si>
    <t xml:space="preserve">14:17</t>
  </si>
  <si>
    <t xml:space="preserve">اصول للمقاولات - النيل للاستشارات</t>
  </si>
  <si>
    <t xml:space="preserve">اصول للانشاء والتعمير</t>
  </si>
  <si>
    <t xml:space="preserve">النيل للاستشارات الهندسيه</t>
  </si>
  <si>
    <t xml:space="preserve">اصول للانشاءات والتعمير</t>
  </si>
  <si>
    <t xml:space="preserve">الابتكار الذكي - جارالله للمقاولات</t>
  </si>
  <si>
    <t xml:space="preserve">الابتكار الذكى للاستشارات الهندس</t>
  </si>
  <si>
    <t xml:space="preserve">جارالله للمقاولات العامة</t>
  </si>
  <si>
    <t xml:space="preserve">14:38</t>
  </si>
  <si>
    <t xml:space="preserve">الموناليزا للمقاولات- شام للتصميم</t>
  </si>
  <si>
    <t xml:space="preserve">مصعد, عملاء مكاتب</t>
  </si>
  <si>
    <t xml:space="preserve">15:03</t>
  </si>
  <si>
    <t xml:space="preserve">الذكي للمقاولات العامة- موازنون للاستشار</t>
  </si>
  <si>
    <t xml:space="preserve">الذكي للمقاولات العامة</t>
  </si>
  <si>
    <t xml:space="preserve">موازنون</t>
  </si>
  <si>
    <t xml:space="preserve">15:54</t>
  </si>
  <si>
    <t xml:space="preserve">محمد الشحى/ كيرفتشر للمقاولات's opportun</t>
  </si>
  <si>
    <t xml:space="preserve">محمد الشحى/ كيرفتشر للمقاولات</t>
  </si>
  <si>
    <t xml:space="preserve">كيرفيتشر للمقاولات</t>
  </si>
  <si>
    <t xml:space="preserve">18:03</t>
  </si>
  <si>
    <t xml:space="preserve">اي اف جي للمقاولات العامة's opportunity</t>
  </si>
  <si>
    <t xml:space="preserve">اي اف جي للمقاولات العامة</t>
  </si>
  <si>
    <t xml:space="preserve">ليون للاستشارات الهندسية</t>
  </si>
  <si>
    <t xml:space="preserve">18:05</t>
  </si>
  <si>
    <t xml:space="preserve">هندسه الابداع الهندسية</t>
  </si>
  <si>
    <t xml:space="preserve">18:08</t>
  </si>
  <si>
    <t xml:space="preserve">ايجبيان للمقاولات العامة's opportunity</t>
  </si>
  <si>
    <t xml:space="preserve">ايجبيان للمقاولات العامة</t>
  </si>
  <si>
    <t xml:space="preserve">برلين للاستشارات الهندسية</t>
  </si>
  <si>
    <t xml:space="preserve">18:13</t>
  </si>
  <si>
    <t xml:space="preserve">تلال الغدير للمقاولات العامة's opportuni</t>
  </si>
  <si>
    <t xml:space="preserve">18:15</t>
  </si>
  <si>
    <t xml:space="preserve">11:42</t>
  </si>
  <si>
    <t xml:space="preserve">عبد الحكيم سعيد الذبيدي</t>
  </si>
  <si>
    <t xml:space="preserve">62</t>
  </si>
  <si>
    <t xml:space="preserve">سكاي للانشاءات</t>
  </si>
  <si>
    <t xml:space="preserve">مصعد و تكييف</t>
  </si>
  <si>
    <t xml:space="preserve">المندوب لم يكتب: اسم العميل، مرفقات، ملاحظات  (3 خانة ناقصة)</t>
  </si>
  <si>
    <t xml:space="preserve">11:45</t>
  </si>
  <si>
    <t xml:space="preserve">ابراهيم سالم احمد العامري</t>
  </si>
  <si>
    <t xml:space="preserve">104</t>
  </si>
  <si>
    <t xml:space="preserve">سكاي ستون لللمقاولات</t>
  </si>
  <si>
    <t xml:space="preserve">المندوب لم يكتب: اسم العميل، ملاحظات  (2 خانة ناقصة)</t>
  </si>
  <si>
    <t xml:space="preserve">11:48</t>
  </si>
  <si>
    <t xml:space="preserve">زايد مبارك سعيد المنصوري</t>
  </si>
  <si>
    <t xml:space="preserve">14</t>
  </si>
  <si>
    <t xml:space="preserve">المندوب لم يكتب: اسم العميل، المقاول، مرفقات، ملاحظات  (4 خانة ناقصة)</t>
  </si>
  <si>
    <t xml:space="preserve">ابو راشد سوشيال</t>
  </si>
  <si>
    <t xml:space="preserve">سوشيال ميديا</t>
  </si>
  <si>
    <t xml:space="preserve">سوشيال</t>
  </si>
  <si>
    <t xml:space="preserve">ساند لاند - نيكست للاستشارات الهندسية's </t>
  </si>
  <si>
    <t xml:space="preserve">ساند لاند - نيكست للاستشارات الهندسية</t>
  </si>
  <si>
    <t xml:space="preserve">نيكست للاستشارات الهندسية</t>
  </si>
  <si>
    <t xml:space="preserve">ساند لاند للمقاولات العامة</t>
  </si>
  <si>
    <t xml:space="preserve">18:31</t>
  </si>
  <si>
    <t xml:space="preserve">18:33</t>
  </si>
  <si>
    <t xml:space="preserve">18:35</t>
  </si>
  <si>
    <t xml:space="preserve">مركز التصميمات للاستشارات الهندسية's opp</t>
  </si>
  <si>
    <t xml:space="preserve">مركز التصميمات للاستشارات الهندسية</t>
  </si>
  <si>
    <t xml:space="preserve">استفنس للمقاولات العامة's opportunity</t>
  </si>
  <si>
    <t xml:space="preserve">استفنس للمقاولات العامة</t>
  </si>
  <si>
    <t xml:space="preserve">18:47</t>
  </si>
  <si>
    <t xml:space="preserve">حمود القحطانى/ سباين's opportunity</t>
  </si>
  <si>
    <t xml:space="preserve">حمود القحطانى/ سباين</t>
  </si>
  <si>
    <t xml:space="preserve">سباين للمقاولات العامة</t>
  </si>
  <si>
    <t xml:space="preserve">21:07</t>
  </si>
  <si>
    <t xml:space="preserve">مكتب سباين للمقاولات العامة's opportunit</t>
  </si>
  <si>
    <t xml:space="preserve">مكتب سباين للمقاولات العامة</t>
  </si>
  <si>
    <t xml:space="preserve">21:18</t>
  </si>
  <si>
    <t xml:space="preserve">مكتب اصل التشييد للمقاولات العامة's oppo</t>
  </si>
  <si>
    <t xml:space="preserve">مكتب اصل التشييد للمقاولات العامة</t>
  </si>
  <si>
    <t xml:space="preserve">أصل التشييد للمقاولات</t>
  </si>
  <si>
    <t xml:space="preserve">22:51</t>
  </si>
  <si>
    <t xml:space="preserve">فاطمة الهاشمى/ قواعد للاستشارات/ اصل الت</t>
  </si>
  <si>
    <t xml:space="preserve">فاطمة الهاشمى/ قواعد للاستشارات/ اصل ا</t>
  </si>
  <si>
    <t xml:space="preserve">100/159</t>
  </si>
  <si>
    <t xml:space="preserve">10:36</t>
  </si>
  <si>
    <t xml:space="preserve">ايكوينوفا للاستشارات الهندسية- جرين فورت</t>
  </si>
  <si>
    <t xml:space="preserve">ايكوينوفا للاستشارات الهندسية</t>
  </si>
  <si>
    <t xml:space="preserve">جرين فورت للمقاولات</t>
  </si>
  <si>
    <t xml:space="preserve">تارجيت للاستشارات الهندسية- اضواء الليل</t>
  </si>
  <si>
    <t xml:space="preserve">تارجيت للاستشارات الهندسية</t>
  </si>
  <si>
    <t xml:space="preserve">مكتب تارجيت للاستشارات الهندسية</t>
  </si>
  <si>
    <t xml:space="preserve">اضواء الليل للمقاولات العامة</t>
  </si>
  <si>
    <t xml:space="preserve">14:18</t>
  </si>
  <si>
    <t xml:space="preserve">عبدالله المحرمي معرض 8</t>
  </si>
  <si>
    <t xml:space="preserve">160</t>
  </si>
  <si>
    <t xml:space="preserve">المندوب لم يكتب: اسم العميل، الاستشاري، المقاول، مرفقات، Source، ملاحظات  (6 خانة ناقصة)</t>
  </si>
  <si>
    <t xml:space="preserve">14:19</t>
  </si>
  <si>
    <t xml:space="preserve">فرصة ثري ساوسند للمقاولات</t>
  </si>
  <si>
    <t xml:space="preserve">ثري ساوند للمقاولات</t>
  </si>
  <si>
    <t xml:space="preserve">ماتركس للاستشارات</t>
  </si>
  <si>
    <t xml:space="preserve">ثري ثاوسند للمقاولات</t>
  </si>
  <si>
    <t xml:space="preserve">Jamal@smou.ae</t>
  </si>
  <si>
    <t xml:space="preserve">19:00</t>
  </si>
  <si>
    <t xml:space="preserve">العناية الهندسه للمقاولات العامة's oppor</t>
  </si>
  <si>
    <t xml:space="preserve">العناية الهندسه للمقاولات العامة</t>
  </si>
  <si>
    <t xml:space="preserve">العناية الهندسيه للمقاولات العام</t>
  </si>
  <si>
    <t xml:space="preserve">علي سيف محمد عبلان</t>
  </si>
  <si>
    <t xml:space="preserve">الخبيصي</t>
  </si>
  <si>
    <t xml:space="preserve">مكتب الثقة للاستشارات</t>
  </si>
  <si>
    <t xml:space="preserve">الرداء الذهبي</t>
  </si>
  <si>
    <t xml:space="preserve">19:41</t>
  </si>
  <si>
    <t xml:space="preserve">محمد عبدالله محمد هزام</t>
  </si>
  <si>
    <t xml:space="preserve">19:46</t>
  </si>
  <si>
    <t xml:space="preserve">رايه فاضل سيف سلطان</t>
  </si>
  <si>
    <t xml:space="preserve">19:52</t>
  </si>
  <si>
    <t xml:space="preserve">اركون للمقاولات's opportunity</t>
  </si>
  <si>
    <t xml:space="preserve">اركون للمقاولات</t>
  </si>
  <si>
    <t xml:space="preserve">19:55</t>
  </si>
  <si>
    <t xml:space="preserve">جيومترك للاستشارات</t>
  </si>
  <si>
    <t xml:space="preserve">21:04</t>
  </si>
  <si>
    <t xml:space="preserve">مراسي للمقاولات العامة's opportunity</t>
  </si>
  <si>
    <t xml:space="preserve">مراسي للمقاولات العامة</t>
  </si>
  <si>
    <t xml:space="preserve">21:06</t>
  </si>
  <si>
    <t xml:space="preserve">لويل وان للمقاولات's opportunity</t>
  </si>
  <si>
    <t xml:space="preserve">لويل وان للمقاولات</t>
  </si>
  <si>
    <t xml:space="preserve">النوخذه للمقاولات العامة</t>
  </si>
  <si>
    <t xml:space="preserve">23:47</t>
  </si>
  <si>
    <t xml:space="preserve">الاندلس للمقاولات العامة- نابولي</t>
  </si>
  <si>
    <t xml:space="preserve">الاندلس للمقاولات</t>
  </si>
  <si>
    <t xml:space="preserve">الاندلس للمقاولات العامة</t>
  </si>
  <si>
    <t xml:space="preserve">تكييف, عملاء مكاتب</t>
  </si>
  <si>
    <t xml:space="preserve">08:50</t>
  </si>
  <si>
    <t xml:space="preserve">مكتب نيشن للاستشارات الهندسية's opportun</t>
  </si>
  <si>
    <t xml:space="preserve">مكتب نيشن للاستشارات الهندسية</t>
  </si>
  <si>
    <t xml:space="preserve">15:06</t>
  </si>
  <si>
    <t xml:space="preserve">المالك احمد علي معرض 8 - 2026</t>
  </si>
  <si>
    <t xml:space="preserve">احمد علي</t>
  </si>
  <si>
    <t xml:space="preserve">سمارت هوم</t>
  </si>
  <si>
    <t xml:space="preserve">15:10</t>
  </si>
  <si>
    <t xml:space="preserve">مكتب وينر للاستشارات الهندسية</t>
  </si>
  <si>
    <t xml:space="preserve">وينر للاستشارات الهندسية</t>
  </si>
  <si>
    <t xml:space="preserve">المالك منصور معرض 8 - 2026</t>
  </si>
  <si>
    <t xml:space="preserve">منصور</t>
  </si>
  <si>
    <t xml:space="preserve">المندوب لم يكتب: Plot Number، الاستشاري، المقاول، Tags، مرفقات، ملاحظات  (6 خانة ناقصة)</t>
  </si>
  <si>
    <t xml:space="preserve">15:14</t>
  </si>
  <si>
    <t xml:space="preserve">مكتب ذا ديزاين ستوديو للاستشارات الهندسي</t>
  </si>
  <si>
    <t xml:space="preserve">مكتب ذا ديزاين ستوديو للاستشارات الهند</t>
  </si>
  <si>
    <t xml:space="preserve">ذا ديزاين ستوديو للاستشارات الهن</t>
  </si>
  <si>
    <t xml:space="preserve">15:17</t>
  </si>
  <si>
    <t xml:space="preserve">الاملك محمد علي معرض 8 - 2026</t>
  </si>
  <si>
    <t xml:space="preserve">محمد علي</t>
  </si>
  <si>
    <t xml:space="preserve">15:45</t>
  </si>
  <si>
    <t xml:space="preserve">المكتب الهندسي الوطني- النسر للنقل والمق</t>
  </si>
  <si>
    <t xml:space="preserve">المكتب الهندسي الوطني</t>
  </si>
  <si>
    <t xml:space="preserve">النسر للنقل والمقاولات</t>
  </si>
  <si>
    <t xml:space="preserve">133 Villa Project</t>
  </si>
  <si>
    <t xml:space="preserve">19:01</t>
  </si>
  <si>
    <t xml:space="preserve">سعيد ناصر سعير العامري</t>
  </si>
  <si>
    <t xml:space="preserve">MZ4 - 220</t>
  </si>
  <si>
    <t xml:space="preserve">مكتب اكسترود للاستشارات الهندسية</t>
  </si>
  <si>
    <t xml:space="preserve">مكتب نسور المجد للمقاولات العامه</t>
  </si>
  <si>
    <t xml:space="preserve">معرض, تكييف ومصعد</t>
  </si>
  <si>
    <t xml:space="preserve">المالك فواز الهاجري - Social media</t>
  </si>
  <si>
    <t xml:space="preserve">فواز جبران حسين عبد الرحمن الهاجري</t>
  </si>
  <si>
    <t xml:space="preserve">متعاقد, Social Media, تكييف</t>
  </si>
  <si>
    <t xml:space="preserve">19:50</t>
  </si>
  <si>
    <t xml:space="preserve">فرصة مكتوم غانم المزروعي \\ رد اروما</t>
  </si>
  <si>
    <t xml:space="preserve">مكتوم غانم المزروعي \\ رد اروما</t>
  </si>
  <si>
    <t xml:space="preserve">76</t>
  </si>
  <si>
    <t xml:space="preserve">الفنان</t>
  </si>
  <si>
    <t xml:space="preserve">رد اروما</t>
  </si>
  <si>
    <t xml:space="preserve">المندوب لم يكتب: مرفقات، Source  (2 خانة ناقصة)</t>
  </si>
  <si>
    <t xml:space="preserve">الرواد للاعمار للمقاولات's opportunity</t>
  </si>
  <si>
    <t xml:space="preserve">الرواد للاعمار للمقاولات</t>
  </si>
  <si>
    <t xml:space="preserve">تري ارك للاستشارات الهندسية</t>
  </si>
  <si>
    <t xml:space="preserve">20:31</t>
  </si>
  <si>
    <t xml:space="preserve">ماكرو هوم للمقاولات's opportunity</t>
  </si>
  <si>
    <t xml:space="preserve">ماكرو هوم للمقاولات</t>
  </si>
  <si>
    <t xml:space="preserve">20:33</t>
  </si>
  <si>
    <t xml:space="preserve">مثلث البناء للمقاولات</t>
  </si>
  <si>
    <t xml:space="preserve">20:37</t>
  </si>
  <si>
    <t xml:space="preserve">فيرست دريم للمقاولات العامة's opportunit</t>
  </si>
  <si>
    <t xml:space="preserve">فيرست دريم للمقاولات العامة</t>
  </si>
  <si>
    <t xml:space="preserve">فيرست دريم للمقاولات</t>
  </si>
  <si>
    <t xml:space="preserve">20:40</t>
  </si>
  <si>
    <t xml:space="preserve">امواج الشمال للمقاولات's opportunity</t>
  </si>
  <si>
    <t xml:space="preserve">امواج الشمال للمقاولات</t>
  </si>
  <si>
    <t xml:space="preserve">أمواج الشمال للمقاولات العامة</t>
  </si>
  <si>
    <t xml:space="preserve">22:13</t>
  </si>
  <si>
    <t xml:space="preserve">رنا الحلبي للاستشارات's opportunity</t>
  </si>
  <si>
    <t xml:space="preserve">رنا الحلبي للاستشارات</t>
  </si>
  <si>
    <t xml:space="preserve">22:15</t>
  </si>
  <si>
    <t xml:space="preserve">مباني الخليج للمقاولات's opportunity</t>
  </si>
  <si>
    <t xml:space="preserve">مباني الخليج للمقاولات</t>
  </si>
  <si>
    <t xml:space="preserve">11:22</t>
  </si>
  <si>
    <t xml:space="preserve">مكتب لوجوس للمقاولات العامة</t>
  </si>
  <si>
    <t xml:space="preserve">لوجوس للمقاولات العامة</t>
  </si>
  <si>
    <t xml:space="preserve">17:23</t>
  </si>
  <si>
    <t xml:space="preserve">النهضة الذهبية للمقاولات's opportunity</t>
  </si>
  <si>
    <t xml:space="preserve">النهضة الذهبية للمقاولات</t>
  </si>
  <si>
    <t xml:space="preserve">النهضة الذهبية</t>
  </si>
  <si>
    <t xml:space="preserve">عميل سابق, مصعد و تكييف</t>
  </si>
  <si>
    <t xml:space="preserve">عميل سابق</t>
  </si>
  <si>
    <t xml:space="preserve">21:09</t>
  </si>
  <si>
    <t xml:space="preserve">21:12</t>
  </si>
  <si>
    <t xml:space="preserve">الواحه الطيبة للمقاولات العامة's opportu</t>
  </si>
  <si>
    <t xml:space="preserve">الواحه الطيبة للمقاولات العامة</t>
  </si>
  <si>
    <t xml:space="preserve">21:38</t>
  </si>
  <si>
    <t xml:space="preserve">الميراج السريع للمقاولات's opportunity</t>
  </si>
  <si>
    <t xml:space="preserve">الميراج السريع للمقاولات</t>
  </si>
  <si>
    <t xml:space="preserve">21:40</t>
  </si>
  <si>
    <t xml:space="preserve">الخط البنفسج للمقاولات العامة's opportun</t>
  </si>
  <si>
    <t xml:space="preserve">الخط البنفسج للمقاولات العامة</t>
  </si>
  <si>
    <t xml:space="preserve">21:42</t>
  </si>
  <si>
    <t xml:space="preserve">عود الغاف للمقاولات العامه's opportunity</t>
  </si>
  <si>
    <t xml:space="preserve">عود الغاف للمقاولات العامه</t>
  </si>
  <si>
    <t xml:space="preserve">21:44</t>
  </si>
  <si>
    <t xml:space="preserve">مشاريع الامارات الدولية للمقاولات's oppo</t>
  </si>
  <si>
    <t xml:space="preserve">مشاريع الامارات الدولية للمقاولات</t>
  </si>
  <si>
    <t xml:space="preserve">22:09</t>
  </si>
  <si>
    <t xml:space="preserve">اورينتال ويلنس سبا's opportunity</t>
  </si>
  <si>
    <t xml:space="preserve">اورينتال ويلنس سبا</t>
  </si>
  <si>
    <t xml:space="preserve">الخيل للاستشارات</t>
  </si>
  <si>
    <t xml:space="preserve">09:52</t>
  </si>
  <si>
    <t xml:space="preserve">الدرة العالمية للمقاولات العامة'- المشار</t>
  </si>
  <si>
    <t xml:space="preserve">الدرة العالمية للمقاولات العامة</t>
  </si>
  <si>
    <t xml:space="preserve">مكتب المشارف للاستشارات الهندسية</t>
  </si>
  <si>
    <t xml:space="preserve">10:15</t>
  </si>
  <si>
    <t xml:space="preserve">المكتب الوطني للهندسه- توليدو للمقاولات</t>
  </si>
  <si>
    <t xml:space="preserve">المكتب الوطني للهندسه</t>
  </si>
  <si>
    <t xml:space="preserve">المكتب الوطني للاستشارات</t>
  </si>
  <si>
    <t xml:space="preserve">توليدو للمقاولات العامة</t>
  </si>
  <si>
    <t xml:space="preserve">12:39</t>
  </si>
  <si>
    <t xml:space="preserve">مركز مسك الطبي</t>
  </si>
  <si>
    <t xml:space="preserve">16:47</t>
  </si>
  <si>
    <t xml:space="preserve">الجوهرة الفنية للمقاولات العامة- المؤيد </t>
  </si>
  <si>
    <t xml:space="preserve">الجوهرة الفنية للمقاولات العامة</t>
  </si>
  <si>
    <t xml:space="preserve">مكتب المؤيد للاستشارات الهندسية</t>
  </si>
  <si>
    <t xml:space="preserve">الجوهرة الفنية للمقاولات</t>
  </si>
  <si>
    <t xml:space="preserve">18:36</t>
  </si>
  <si>
    <t xml:space="preserve">هندسه الابداع للاستشارات الهندسي</t>
  </si>
  <si>
    <t xml:space="preserve">18:38</t>
  </si>
  <si>
    <t xml:space="preserve">ارت تتش للاستشارات الهندسية</t>
  </si>
  <si>
    <t xml:space="preserve">21:08</t>
  </si>
  <si>
    <t xml:space="preserve">مكتب البيت الحديث للاستشارات's opportuni</t>
  </si>
  <si>
    <t xml:space="preserve">مكتب البيت الحديث للاستشارات</t>
  </si>
  <si>
    <t xml:space="preserve">البيت الحديث للاستشارات</t>
  </si>
  <si>
    <t xml:space="preserve">بو خالد/ حى المزن/ معرض's opportunity</t>
  </si>
  <si>
    <t xml:space="preserve">بو خالد/ حى المزن/ معرض</t>
  </si>
  <si>
    <t xml:space="preserve">المندوب لم يكتب: Plot Number، الاستشاري، المقاول، مرفقات  (4 خانة ناقصة)</t>
  </si>
  <si>
    <t xml:space="preserve">12:04</t>
  </si>
  <si>
    <t xml:space="preserve">شام للتصميم والاستشارات- دار الاساس</t>
  </si>
  <si>
    <t xml:space="preserve">شام للاستشارات</t>
  </si>
  <si>
    <t xml:space="preserve">دار الاساس للمقاولات العامة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</si>
  <si>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</si>
  <si>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</si>
  <si>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</si>
  <si>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</si>
  <si>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</si>
  <si>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10:57</t>
  </si>
  <si>
    <t xml:space="preserve">نشاط منفذ</t>
  </si>
  <si>
    <t xml:space="preserve">Meeting</t>
  </si>
  <si>
    <t xml:space="preserve">مختصر جداً / فارغ</t>
  </si>
  <si>
    <t xml:space="preserve">دوام من معرض العين</t>
  </si>
  <si>
    <t xml:space="preserve">13:55</t>
  </si>
  <si>
    <t xml:space="preserve">مختصر</t>
  </si>
  <si>
    <t xml:space="preserve">تم زياره معرض العين والتعاقد الحمدلله</t>
  </si>
  <si>
    <t xml:space="preserve">16:42</t>
  </si>
  <si>
    <t xml:space="preserve">تفصيلي</t>
  </si>
  <si>
    <t xml:space="preserve">الاجتماع تم : تمت زياره للمكتب ومقابله م تمام</t>
  </si>
  <si>
    <t xml:space="preserve">Site Visit</t>
  </si>
  <si>
    <t xml:space="preserve">زيارة الموقع ومقابلة المالك الاستاذ عبدالرحمن المن</t>
  </si>
  <si>
    <t xml:space="preserve">زيارة الموقع ومقابلة المهندس زاهر متابعة عرض سعر ن</t>
  </si>
  <si>
    <t xml:space="preserve">زيارة الموقع ومقابلة المهندس مارك تم التعاقد مع شر</t>
  </si>
  <si>
    <t xml:space="preserve">زيارة الموقع وتم الاتصال على مهندس احمد المالك ماج</t>
  </si>
  <si>
    <t xml:space="preserve">To Do</t>
  </si>
  <si>
    <t xml:space="preserve">تم عمل عرض سعر ومقابلة المالك فى المعرض</t>
  </si>
  <si>
    <t xml:space="preserve">22:22</t>
  </si>
  <si>
    <t xml:space="preserve">تم مقابلة مهندس فياز وعمل عرض سعر للمصعد</t>
  </si>
  <si>
    <t xml:space="preserve">22:31</t>
  </si>
  <si>
    <t xml:space="preserve">2 مقابلة/ 2 عرض سعر مصعد/ معرض</t>
  </si>
  <si>
    <t xml:space="preserve">10:10</t>
  </si>
  <si>
    <t xml:space="preserve">تم مقابله المالك والمقاول ومتابعه وجاري تعديل متطل</t>
  </si>
  <si>
    <t xml:space="preserve">13:09</t>
  </si>
  <si>
    <t xml:space="preserve">معاينه الموقع ورفع المقاسات والتواصل مع مهندس احمد</t>
  </si>
  <si>
    <t xml:space="preserve">زياره الموقع ومقابله ا رضا وتم التواصل اخذ رقم مسؤ</t>
  </si>
  <si>
    <t xml:space="preserve">13:13</t>
  </si>
  <si>
    <t xml:space="preserve">Call</t>
  </si>
  <si>
    <t xml:space="preserve">تم التواصل وجاري المتابعه</t>
  </si>
  <si>
    <t xml:space="preserve">To Do done</t>
  </si>
  <si>
    <t xml:space="preserve">تم زيارة الموقع وعمل عرض سعر للمصعد وتم ارساله للم</t>
  </si>
  <si>
    <t xml:space="preserve">13:59</t>
  </si>
  <si>
    <t xml:space="preserve">تم التواصل وطلب عرض سعر سمارت هوم</t>
  </si>
  <si>
    <t xml:space="preserve">14:07</t>
  </si>
  <si>
    <t xml:space="preserve">تم التواصل مع المقاول بالواتس اب وارسل مخطط بمرحلة</t>
  </si>
  <si>
    <t xml:space="preserve">14:45</t>
  </si>
  <si>
    <t xml:space="preserve">للعميل اتواصل معايا وبيسال ع الاسعار ورن ع رقم الم</t>
  </si>
  <si>
    <t xml:space="preserve">زيارة الموقع ومقابلة المهندس سامه مطلوب عرض سعر را</t>
  </si>
  <si>
    <t xml:space="preserve">زيارة الموقع للمعاينة ورفع المقاسات عبدالعزيز النع</t>
  </si>
  <si>
    <t xml:space="preserve">زيارة الموقع ومقابلة المهندس عبدالله مطلوب عرض سعر</t>
  </si>
  <si>
    <t xml:space="preserve">زيارة الموقع ومقابلة المهندس صلاح لا يوجد مصعد لكن</t>
  </si>
  <si>
    <t xml:space="preserve">زيارة موقع سيف العرياني ولطيفة العرياني للمعاينة و</t>
  </si>
  <si>
    <t xml:space="preserve">زيارة زيارة وتم الاتصال على مهندس لم يرد يوجد مصعد</t>
  </si>
  <si>
    <t xml:space="preserve">الدوام من المكتب للاتصال علي السوشيال مديا</t>
  </si>
  <si>
    <t xml:space="preserve">الاجتماع تم : تم التنسيق واختيار واعتماد الديكور</t>
  </si>
  <si>
    <t xml:space="preserve">الاجتماع تم : تم التسيق واعتماد الديكور</t>
  </si>
  <si>
    <t xml:space="preserve">19:25</t>
  </si>
  <si>
    <t xml:space="preserve">الاجتماع تم : تم التواصل لمتابعه التوقيع العقد وقا</t>
  </si>
  <si>
    <t xml:space="preserve">19:27</t>
  </si>
  <si>
    <t xml:space="preserve">الاجتماع تم : تم التواصل واعلامه بوصول المصعد المخ</t>
  </si>
  <si>
    <t xml:space="preserve">21:56</t>
  </si>
  <si>
    <t xml:space="preserve">تم زيارة المكتب ومقابلة مهندس مصطفى</t>
  </si>
  <si>
    <t xml:space="preserve">21:59</t>
  </si>
  <si>
    <t xml:space="preserve">تم إرسال مشروع تجارى لعمل عرض سعر سعر مصاعد ومكيفا</t>
  </si>
  <si>
    <t xml:space="preserve">22:04</t>
  </si>
  <si>
    <t xml:space="preserve">تم مقابلة مهندس اسلام وفى انتظار مشروعين تكييف</t>
  </si>
  <si>
    <t xml:space="preserve">تم مقابلة مهندس احمد / 4 مصاعد + تركيب فقط للمكيف</t>
  </si>
  <si>
    <t xml:space="preserve">23:02</t>
  </si>
  <si>
    <t xml:space="preserve">المهام المراد تنفيذها تم : تمت زياره 5 مكاتب 2 مقا</t>
  </si>
  <si>
    <t xml:space="preserve">13:32</t>
  </si>
  <si>
    <t xml:space="preserve">الاجتماع تم : تمت زياره للمكتب وسفر م فهد ومقابله</t>
  </si>
  <si>
    <t xml:space="preserve">13:42</t>
  </si>
  <si>
    <t xml:space="preserve">الاجتماع تم : تم زياره للمكتب وعدم تواجد م جعفر وم</t>
  </si>
  <si>
    <t xml:space="preserve">13:45</t>
  </si>
  <si>
    <t xml:space="preserve">الاجتماع تم : غير متواجد</t>
  </si>
  <si>
    <t xml:space="preserve">13:47</t>
  </si>
  <si>
    <t xml:space="preserve">الاجتماع تم : تم مقابله ابوعلي صاحب الشركه وعرض عل</t>
  </si>
  <si>
    <t xml:space="preserve">الاجتماع تم : تم مقابله م صالح مدير المكتب وشرح كا</t>
  </si>
  <si>
    <t xml:space="preserve">13:49</t>
  </si>
  <si>
    <t xml:space="preserve">الاجتماع تم : تم زياره 12 مكتب و5 مقابلات 2 موقع</t>
  </si>
  <si>
    <t xml:space="preserve">14:05</t>
  </si>
  <si>
    <t xml:space="preserve">الاجتماع تم : تم التواصل وعمل عرض سع مصعد 2 وقفه</t>
  </si>
  <si>
    <t xml:space="preserve">14:29</t>
  </si>
  <si>
    <t xml:space="preserve">الاجتماع تم : تم عمل عرض سعر تكييف توريد وتركيب</t>
  </si>
  <si>
    <t xml:space="preserve">14:34</t>
  </si>
  <si>
    <t xml:space="preserve">الاجتماع تم : تم التواصل وتعديل عرض سعر التنكييف ل</t>
  </si>
  <si>
    <t xml:space="preserve">تم عمل عرض سعر تكييف ومصاعد</t>
  </si>
  <si>
    <t xml:space="preserve">تم إرسال الايميل وفى انتظار رد ابو عمار</t>
  </si>
  <si>
    <t xml:space="preserve">دوام من المعرض</t>
  </si>
  <si>
    <t xml:space="preserve">23:09</t>
  </si>
  <si>
    <t xml:space="preserve">زيارة الموقع ومقابلة المهندس فهمي يوجد مصعد ومطلوب</t>
  </si>
  <si>
    <t xml:space="preserve">10:01</t>
  </si>
  <si>
    <t xml:space="preserve">زيارة الموقع ومقابلة المهندس عصام متابعة موقع مبار</t>
  </si>
  <si>
    <t xml:space="preserve">10:04</t>
  </si>
  <si>
    <t xml:space="preserve">زيارة الموقع ومقابلة المهندس ابو فهد لا يوجد مصعد</t>
  </si>
  <si>
    <t xml:space="preserve">زيارة الموقع وتم الاتصال على مهندس تم التعاقد مع ش</t>
  </si>
  <si>
    <t xml:space="preserve">10:08</t>
  </si>
  <si>
    <t xml:space="preserve">تم مقابلة مهندس افروز وتعريفه بخدمات الشركة.. سيتم</t>
  </si>
  <si>
    <t xml:space="preserve">زيارة الموقع وتم الاتصال على مهندس محمد الموقع حال</t>
  </si>
  <si>
    <t xml:space="preserve">زيارة الموقع للمعاينة موقع حمد الدرعى</t>
  </si>
  <si>
    <t xml:space="preserve">10:12</t>
  </si>
  <si>
    <t xml:space="preserve">زياره الموقع ومقابله المالك ومتابعه العقود ولسه بع</t>
  </si>
  <si>
    <t xml:space="preserve">15:58</t>
  </si>
  <si>
    <t xml:space="preserve">زياره الموقع ومقابله مهندس سيد حسب الموعد وتم شرح</t>
  </si>
  <si>
    <t xml:space="preserve">16:00</t>
  </si>
  <si>
    <t xml:space="preserve">زيارة الموقع ومقابله مهندس محمود وتم رفع المقاسات</t>
  </si>
  <si>
    <t xml:space="preserve">16:10</t>
  </si>
  <si>
    <t xml:space="preserve">زياره الموقع ورفع المقاسات والتواصل مع مهندس مجد ا</t>
  </si>
  <si>
    <t xml:space="preserve">16:20</t>
  </si>
  <si>
    <t xml:space="preserve">زياره الموقع ورفع المقاسات واخذ رقم المالك وتم الت</t>
  </si>
  <si>
    <t xml:space="preserve">16:22</t>
  </si>
  <si>
    <t xml:space="preserve">زياره 2 موقع ورفع المقاسات والتواصل مع الشيخ احمد</t>
  </si>
  <si>
    <t xml:space="preserve">16:27</t>
  </si>
  <si>
    <t xml:space="preserve">زيارة الموقع والتواصل مع مهندس عبدالوهاب وهيشوف وي</t>
  </si>
  <si>
    <t xml:space="preserve">16:30</t>
  </si>
  <si>
    <t xml:space="preserve">تم التواصل مع مهندس فاروق ومتابعه المشاريع الجديدة</t>
  </si>
  <si>
    <t xml:space="preserve">زيارة الموقع للمعاينة والمتابعة</t>
  </si>
  <si>
    <t xml:space="preserve">زيارة الموقع ومقابلة المهندس ايمن والمالك لكن تعاق</t>
  </si>
  <si>
    <t xml:space="preserve">تم زيارة المكتب ومقابلة مهندس هانى لمتابعة ال 6 مش</t>
  </si>
  <si>
    <t xml:space="preserve">تم مقابلة مهندس وسيم وارسال ايميل للتعاون القريب</t>
  </si>
  <si>
    <t xml:space="preserve">زيارة الموقع ومقابلة المهندس ايمن قالي يوجد تعامل</t>
  </si>
  <si>
    <t xml:space="preserve">زيارة الموقع للمعاينة والمتابعة فالح الشامسي</t>
  </si>
  <si>
    <t xml:space="preserve">17:12</t>
  </si>
  <si>
    <t xml:space="preserve">زيارة المكتب ومقابلة المهندس محمود متابعة المشاريع</t>
  </si>
  <si>
    <t xml:space="preserve">زيارة المكتب ومقابلة المهندس محمد لمتابعة عرض سعر</t>
  </si>
  <si>
    <t xml:space="preserve">22:12</t>
  </si>
  <si>
    <t xml:space="preserve">المهام المراد تنفيذها تم : تمت زياره 4 مكاتب 2 موق</t>
  </si>
  <si>
    <t xml:space="preserve">To Do done Original note: تم ارسال لها فيديو سيف ا</t>
  </si>
  <si>
    <t xml:space="preserve">10:44</t>
  </si>
  <si>
    <t xml:space="preserve">ملاحظة</t>
  </si>
  <si>
    <t xml:space="preserve">11:02</t>
  </si>
  <si>
    <t xml:space="preserve">Site Visit تم : تمت زياره للموقع علي حسب الموعد وم</t>
  </si>
  <si>
    <t xml:space="preserve">14:31</t>
  </si>
  <si>
    <t xml:space="preserve">Call done Original note: تم التواصل مع المقاول وقا</t>
  </si>
  <si>
    <t xml:space="preserve">14:32</t>
  </si>
  <si>
    <t xml:space="preserve">Call done Original note: تم التواصل مع المهندس سيد</t>
  </si>
  <si>
    <t xml:space="preserve">14:55</t>
  </si>
  <si>
    <t xml:space="preserve">الاجتماع تم : تمت زياره للمكتب وتحصيل دفعه التركيب</t>
  </si>
  <si>
    <t xml:space="preserve">14:59</t>
  </si>
  <si>
    <t xml:space="preserve">الاجتماع تم : تمت زياره للمكتب ومقابله م حسام وتسل</t>
  </si>
  <si>
    <t xml:space="preserve">15:50</t>
  </si>
  <si>
    <t xml:space="preserve">زياره الموقع ومتابعه الجاهزية للتحويل</t>
  </si>
  <si>
    <t xml:space="preserve">الاجتماع تم : تم التواصل لمتابعه عروض اسعار ومنتظر</t>
  </si>
  <si>
    <t xml:space="preserve">الاجتماع تم : عميل تبع طرف للاستشارات تم عمل مصعد</t>
  </si>
  <si>
    <t xml:space="preserve">16:46</t>
  </si>
  <si>
    <t xml:space="preserve">الاجتماع تم : تموصول المصعد للموقع وابلاغ العميل و</t>
  </si>
  <si>
    <t xml:space="preserve">16:51</t>
  </si>
  <si>
    <t xml:space="preserve">المهام المراد تنفيذها تم : تمت زياره 3 مواقع و4 مك</t>
  </si>
  <si>
    <t xml:space="preserve">زيارة الموقع ومقابلة المهندس أحمد مطلوب عرض سعر عا</t>
  </si>
  <si>
    <t xml:space="preserve">17:39</t>
  </si>
  <si>
    <t xml:space="preserve">زيارة الموقع للمعاينة ورفع المقاسات فيلا حمد الكعب</t>
  </si>
  <si>
    <t xml:space="preserve">زيارة الموقع يوجد مصعد وتم الاتصال على مهندس لم ير</t>
  </si>
  <si>
    <t xml:space="preserve">زيارة الموقع ومقابلة المهندس أحمد قالي اشوف المالك</t>
  </si>
  <si>
    <t xml:space="preserve">19:13</t>
  </si>
  <si>
    <t xml:space="preserve">زياره المكتب ومتابعه الشيكات</t>
  </si>
  <si>
    <t xml:space="preserve">22:39</t>
  </si>
  <si>
    <t xml:space="preserve">الدوام من المعرض مقابله عميل تبع الاستاذ رامي بيخت</t>
  </si>
  <si>
    <t xml:space="preserve">00:09</t>
  </si>
  <si>
    <t xml:space="preserve">تم مقابلة مهندس عمرو وتم ارسال ايميل بالبروفايلات</t>
  </si>
  <si>
    <t xml:space="preserve">12:52</t>
  </si>
  <si>
    <t xml:space="preserve">الاجتماع تم : تمت زياره للمكتب ومقابله م مفيد وم ع</t>
  </si>
  <si>
    <t xml:space="preserve">12:53</t>
  </si>
  <si>
    <t xml:space="preserve">الاجتماع تم : تمت زياره للمكتب ورجوع ابوسلطان من ا</t>
  </si>
  <si>
    <t xml:space="preserve">الاجتماع تم : زياره للمكتب ومقابله م صلاح واتفاق ع</t>
  </si>
  <si>
    <t xml:space="preserve">14:35</t>
  </si>
  <si>
    <t xml:space="preserve">Call done Original note: قال لس هبيرتب اموره ووقت</t>
  </si>
  <si>
    <t xml:space="preserve">14:37</t>
  </si>
  <si>
    <t xml:space="preserve">Call done Original note: تم التواصل والمتابعه لتحص</t>
  </si>
  <si>
    <t xml:space="preserve">Call done Original note: تم التواصل اليوم وف انتظا</t>
  </si>
  <si>
    <t xml:space="preserve">Call done Original note: تم المتابعه وقال عنده مشا</t>
  </si>
  <si>
    <t xml:space="preserve">14:43</t>
  </si>
  <si>
    <t xml:space="preserve">Call done Original note: تم التواصل معاه اليوم وقا</t>
  </si>
  <si>
    <t xml:space="preserve">15:13</t>
  </si>
  <si>
    <t xml:space="preserve">To Do done Original note: تم التعاقد وتم عمل المخط</t>
  </si>
  <si>
    <t xml:space="preserve">Reminder</t>
  </si>
  <si>
    <t xml:space="preserve">Reminder done Original note: تم التواصل وتم اخذ مي</t>
  </si>
  <si>
    <t xml:space="preserve">زيارة الموقع للمعاينة فيلا قيس التميمي</t>
  </si>
  <si>
    <t xml:space="preserve">زيارة المكتب ومقابلة المهندس كومار متابعة موقع عبد</t>
  </si>
  <si>
    <t xml:space="preserve">16:39</t>
  </si>
  <si>
    <t xml:space="preserve">زيارة الموقع للمعاينة ورفع المقاسات فيلا حمدان الن</t>
  </si>
  <si>
    <t xml:space="preserve">Email</t>
  </si>
  <si>
    <t xml:space="preserve">تم التواصل وارسال 3مشاريع لعمل عروض اسعار مصاعد</t>
  </si>
  <si>
    <t xml:space="preserve">زيارة الموقع للمعاينة والمتابعة فيلا محمد هاشم</t>
  </si>
  <si>
    <t xml:space="preserve">زيارة الموقع يوجد 3 فلل بيهم ثلاث مصاعد وتم الاتصا</t>
  </si>
  <si>
    <t xml:space="preserve">زيارة الموقع وتم الاتصال على مهندس امير لم يرد</t>
  </si>
  <si>
    <t xml:space="preserve">16:50</t>
  </si>
  <si>
    <t xml:space="preserve">تم استلام الشيك ✔️</t>
  </si>
  <si>
    <t xml:space="preserve">20:22</t>
  </si>
  <si>
    <t xml:space="preserve">تم زياره الموقع ومتابعه نهائية</t>
  </si>
  <si>
    <t xml:space="preserve">الاجتماع تم : عميل تبع م محمود ظلال للاستشارات تم</t>
  </si>
  <si>
    <t xml:space="preserve">زياره 2موقع ورفع المقاسات وتحديد موعد الاسبوع القا</t>
  </si>
  <si>
    <t xml:space="preserve">20:25</t>
  </si>
  <si>
    <t xml:space="preserve">الاجتماع تم : تم الاتصال ومتابعه مشروع بالاضافه لت</t>
  </si>
  <si>
    <t xml:space="preserve">20:29</t>
  </si>
  <si>
    <t xml:space="preserve">الاجتماع تم : تم التواصل وارسال عرض سعر المصعد مع</t>
  </si>
  <si>
    <t xml:space="preserve">12:22</t>
  </si>
  <si>
    <t xml:space="preserve">تم مقابلة المهندس واعطائه البروفايل ولكنه غير متفا</t>
  </si>
  <si>
    <t xml:space="preserve">15:11</t>
  </si>
  <si>
    <t xml:space="preserve">تم ارسال ايميل لتحديد معاد مهندس احمد الشهابي</t>
  </si>
  <si>
    <t xml:space="preserve">تم إرسال ايميل لعبدالبشير من المشتريات</t>
  </si>
  <si>
    <t xml:space="preserve">22:43</t>
  </si>
  <si>
    <t xml:space="preserve">تم مقابلة مهندس كاران وارسال ايميل للتعاون المستقب</t>
  </si>
  <si>
    <t xml:space="preserve">Site Visit تم : تمت زياره 5 مواقع فيلل د نافع</t>
  </si>
  <si>
    <t xml:space="preserve">Site Visit تم : تمت زياره البنايتين الاوله عمدان ا</t>
  </si>
  <si>
    <t xml:space="preserve">12:26</t>
  </si>
  <si>
    <t xml:space="preserve">Site Visit تم : تمت زياره 10 مواقع 2 مقابله وانتظا</t>
  </si>
  <si>
    <t xml:space="preserve">12:36</t>
  </si>
  <si>
    <t xml:space="preserve">مجمع تم زياره ورفع المقاسات 3مصاعد والتواصل مع مهن</t>
  </si>
  <si>
    <t xml:space="preserve">تم المعاينه من ا سيد لعمل عرض سعر لمكتب تاج الواحة</t>
  </si>
  <si>
    <t xml:space="preserve">تم المعاينه من ا احمدعطار لعمل عرض سعر</t>
  </si>
  <si>
    <t xml:space="preserve">13:41</t>
  </si>
  <si>
    <t xml:space="preserve">تم مقابلة مهندس عمر وارسال ايميل</t>
  </si>
  <si>
    <t xml:space="preserve">تم زيارة المكتب وارسال ايميل</t>
  </si>
  <si>
    <t xml:space="preserve">زيارة موقع فيصل وخالد الكعبي للمعاينة والمتابعة</t>
  </si>
  <si>
    <t xml:space="preserve">زيارة الموقع وتم الاتصال على الاستاذ سعيد الكعبي</t>
  </si>
  <si>
    <t xml:space="preserve">زيارة الموقع ومقابلة المالك ناصر الكعبي قالي ماجل</t>
  </si>
  <si>
    <t xml:space="preserve">زيارة الموقع ومقابلة المهندس والمالك الاستاذ خميس</t>
  </si>
  <si>
    <t xml:space="preserve">زيارة الموقع للمعاينة والمتابعة فيصل الكعبي</t>
  </si>
  <si>
    <t xml:space="preserve">13:07</t>
  </si>
  <si>
    <t xml:space="preserve">تم زياره معرض العين ومقابله المالك وابن عمه عبدالر</t>
  </si>
  <si>
    <t xml:space="preserve">13:12</t>
  </si>
  <si>
    <t xml:space="preserve">تم المعاينه من ا سيد لعمل عرض سعر</t>
  </si>
  <si>
    <t xml:space="preserve">13:14</t>
  </si>
  <si>
    <t xml:space="preserve">تم زياره المكتب ومقابله مهندس محمود وتسليم عروض ال</t>
  </si>
  <si>
    <t xml:space="preserve">15:36</t>
  </si>
  <si>
    <t xml:space="preserve">تم زياره الموقع ورفع المقاسات والتواصل مع المالك و</t>
  </si>
  <si>
    <t xml:space="preserve">زيارة الموقع ومقابلة المهندس عمر مطلوب عرض سعر مصع</t>
  </si>
  <si>
    <t xml:space="preserve">زيارة الموقع ومقابلة المهندس مدثر لا يوجد مصعد وتم</t>
  </si>
  <si>
    <t xml:space="preserve">زيارة الموقع وتم الاتصال على مهندس لم يرد</t>
  </si>
  <si>
    <t xml:space="preserve">زيارة الموقع وتم الاتصال على مهندس عبدالفتاح حاليا</t>
  </si>
  <si>
    <t xml:space="preserve">تم زياره المكتب ومتابعه وقت تاني لمقابله مدير المش</t>
  </si>
  <si>
    <t xml:space="preserve">زيارة الموقع وتم الاتصال على مهندس محمد قالي هشوف</t>
  </si>
  <si>
    <t xml:space="preserve">زياره المكتب ومتابعه مع مهندس محمد توفيق مشاريع ال</t>
  </si>
  <si>
    <t xml:space="preserve">زياره المكتب ومتابعه مع مهندس محمد السيد لوجودة في</t>
  </si>
  <si>
    <t xml:space="preserve">زيارة الموقع وتم الاتصال على مهندس ناجي لم يرد</t>
  </si>
  <si>
    <t xml:space="preserve">الدوام من المكتب للاتصال علي عملاء السوشيال مديا</t>
  </si>
  <si>
    <t xml:space="preserve">زياره المكتب ومتابعه مع مهندس وائل</t>
  </si>
  <si>
    <t xml:space="preserve">تم الاتصال بالمالك وقال لم يعتمد مقاول حتي الان</t>
  </si>
  <si>
    <t xml:space="preserve">تم الاتصال بالمالك وقال وقع مع شركة اخري</t>
  </si>
  <si>
    <t xml:space="preserve">23:34</t>
  </si>
  <si>
    <t xml:space="preserve">Call done Original note: هيتم المقابله غدا مع المق</t>
  </si>
  <si>
    <t xml:space="preserve">To Do done Original note: تم التعاقد اليوم وتحويل</t>
  </si>
  <si>
    <t xml:space="preserve">تم التواصل مع مهندس احمد وتم تعديل عرض السعر</t>
  </si>
  <si>
    <t xml:space="preserve">05:33</t>
  </si>
  <si>
    <t xml:space="preserve">تم معاينة الموقع وعمل عرض سعر</t>
  </si>
  <si>
    <t xml:space="preserve">05:46</t>
  </si>
  <si>
    <t xml:space="preserve">تم عمل عرض السعر وارساله للعميل</t>
  </si>
  <si>
    <t xml:space="preserve">05:52</t>
  </si>
  <si>
    <t xml:space="preserve">تمت المعاينة وعمل عرض سعر للمصعد وفى انتظار رأى ال</t>
  </si>
  <si>
    <t xml:space="preserve">10:59</t>
  </si>
  <si>
    <t xml:space="preserve">معاينه الموقع والتواصل مع مهندس مصطفي وارسل المخطط</t>
  </si>
  <si>
    <t xml:space="preserve">11:07</t>
  </si>
  <si>
    <t xml:space="preserve">زياره الموقع ورفع المقاسات والتواصل مع مهندس ايهم</t>
  </si>
  <si>
    <t xml:space="preserve">زياره مشروع الهيلي 3مصاعد ومتابعه العقود مع مهندس</t>
  </si>
  <si>
    <t xml:space="preserve">11:32</t>
  </si>
  <si>
    <t xml:space="preserve">زياره الموقع ورفع المقاسات ومتابعه لزيارة المكتب</t>
  </si>
  <si>
    <t xml:space="preserve">14:10</t>
  </si>
  <si>
    <t xml:space="preserve">14:11</t>
  </si>
  <si>
    <t xml:space="preserve">To Do done Original note: تم زيارة المعرض وعنده مش</t>
  </si>
  <si>
    <t xml:space="preserve">14:22</t>
  </si>
  <si>
    <t xml:space="preserve">تم المقابله ف المعرض وتم عمل معاينه للموقع للمهندس</t>
  </si>
  <si>
    <t xml:space="preserve">14:23</t>
  </si>
  <si>
    <t xml:space="preserve">14:41</t>
  </si>
  <si>
    <t xml:space="preserve">تمت المعاينه للموقع وعمل عرض سعر للمصعد وقفتين وف</t>
  </si>
  <si>
    <t xml:space="preserve">تم المقابله مع المالك وقال ان عنده الفيلا الخاصه ب</t>
  </si>
  <si>
    <t xml:space="preserve">16:18</t>
  </si>
  <si>
    <t xml:space="preserve">الاجتماع تم : عمبل عن طريق المقاول تم عمل عرض سعر</t>
  </si>
  <si>
    <t xml:space="preserve">الاجتماع تم : تم التواصل وارسال مطط جديد وعمل عرض</t>
  </si>
  <si>
    <t xml:space="preserve">زيارة المكتب ومقابلة المهندس شادي مطلوب عرض سعر مص</t>
  </si>
  <si>
    <t xml:space="preserve">زيارة الموقع ومقابلة المهندس محمد متابعة عرض سعر</t>
  </si>
  <si>
    <t xml:space="preserve">زيارة المكتب المهندس محمد مش موجود</t>
  </si>
  <si>
    <t xml:space="preserve">زيارة المكتب ومقابلة المهندس محمد متابعة المشاريع</t>
  </si>
  <si>
    <t xml:space="preserve">زيارة المكتب المهندس كمال مش موجود</t>
  </si>
  <si>
    <t xml:space="preserve">23:51</t>
  </si>
  <si>
    <t xml:space="preserve">المهام المراد تنفيذها تم : تمت زياره 3 مكاتب 2 مقا</t>
  </si>
  <si>
    <t xml:space="preserve">08:59</t>
  </si>
  <si>
    <t xml:space="preserve">تحصيل شيكات للمصعدين وزيارة المواقع ومقابلة المالك</t>
  </si>
  <si>
    <t xml:space="preserve">09:00</t>
  </si>
  <si>
    <t xml:space="preserve">تم استلام شيك التصنيع</t>
  </si>
  <si>
    <t xml:space="preserve">09:02</t>
  </si>
  <si>
    <t xml:space="preserve">تم الاتصال بمهندس معاذ للمصاعد وتم الاتفاق على زيا</t>
  </si>
  <si>
    <t xml:space="preserve">زياره الموقع حسب الموعد وانتظار المالك واعتذر وتم</t>
  </si>
  <si>
    <t xml:space="preserve">12:49</t>
  </si>
  <si>
    <t xml:space="preserve">المهام المراد تنفيذها تم : تمت التواصل مع عملاء ال</t>
  </si>
  <si>
    <t xml:space="preserve">تم اجتماع مع مهندس محمد صبري ومهندس احمد الكط ومعا</t>
  </si>
  <si>
    <t xml:space="preserve">تمت زيارة الموقع ومقابلة المهندس وعمل عرض سعر</t>
  </si>
  <si>
    <t xml:space="preserve">تم ارسال مخطط مهندس محمد المهدي وطلب عرض سعر بناية</t>
  </si>
  <si>
    <t xml:space="preserve">17:16</t>
  </si>
  <si>
    <t xml:space="preserve">زيارة الموقع ومقابلة المهندس وائل اعطانى رقم المال</t>
  </si>
  <si>
    <t xml:space="preserve">زيارة الموقع ومقابلة المهندس محمد المالك تعاقد مع</t>
  </si>
  <si>
    <t xml:space="preserve">17:32</t>
  </si>
  <si>
    <t xml:space="preserve">زيارة الموقع ومقابلة المهندس محمد المالك اقفل المص</t>
  </si>
  <si>
    <t xml:space="preserve">تم التواصل بالواتس اب مع المهندس محمود وارسل مخطط</t>
  </si>
  <si>
    <t xml:space="preserve">21:17</t>
  </si>
  <si>
    <t xml:space="preserve">21:20</t>
  </si>
  <si>
    <t xml:space="preserve">21:22</t>
  </si>
  <si>
    <t xml:space="preserve">زيارة المكتب المهندس مجدي مش موجود</t>
  </si>
  <si>
    <t xml:space="preserve">22:57</t>
  </si>
  <si>
    <t xml:space="preserve">10 مواقع ودوام من المعرض</t>
  </si>
  <si>
    <t xml:space="preserve">22:58</t>
  </si>
  <si>
    <t xml:space="preserve">12:11</t>
  </si>
  <si>
    <t xml:space="preserve">تم عمل 4عروض اسعار وجاري متابعه للمقابله</t>
  </si>
  <si>
    <t xml:space="preserve">معاينه الموقع والتواصل مع ام مبارك للتحويل متابعه</t>
  </si>
  <si>
    <t xml:space="preserve">12:19</t>
  </si>
  <si>
    <t xml:space="preserve">تم التعاقد الحمدلله ع المصعد وسيتم عمل المخططات وت</t>
  </si>
  <si>
    <t xml:space="preserve">15:31</t>
  </si>
  <si>
    <t xml:space="preserve">تم الاتصال بالمقاول وقال المالك لا يوجد معه فلوس و</t>
  </si>
  <si>
    <t xml:space="preserve">زيارة الموقع وتم الاجتماع مع المهندس الاستشاري وال</t>
  </si>
  <si>
    <t xml:space="preserve">زيارة الموقع ومقابلة المهندس مجدي لا يوجد مصعد وتم</t>
  </si>
  <si>
    <t xml:space="preserve">زيارة الموقع ومقابلة المهندس وليد لا يوجد مصعد وتم</t>
  </si>
  <si>
    <t xml:space="preserve">زيارة الموقع ومقابلة المهندس محمد متابعة موقع فالح</t>
  </si>
  <si>
    <t xml:space="preserve">زيارة الموقع للمعاينة والمتابعة سالم الشامسي</t>
  </si>
  <si>
    <t xml:space="preserve">الاجتماع تم : تم التواصل مع المهندس واستلام مخططات</t>
  </si>
  <si>
    <t xml:space="preserve">المهام المراد تنفيذها تم : الدوام بالمعرض لمتابعه</t>
  </si>
  <si>
    <t xml:space="preserve">21:13</t>
  </si>
  <si>
    <t xml:space="preserve">إجتماع مع المالك والمقاول وجاري المتابعه</t>
  </si>
  <si>
    <t xml:space="preserve">تم زيارة المكتب ومقابلة مهندس فيصل لبحث امكانية مش</t>
  </si>
  <si>
    <t xml:space="preserve">12:01</t>
  </si>
  <si>
    <t xml:space="preserve">تم التواصل مع المالك وارسال عرض السعر</t>
  </si>
  <si>
    <t xml:space="preserve">20:42</t>
  </si>
  <si>
    <t xml:space="preserve">الاجتماع تم : تم التواصل والاستعلام عن مشر وعات جد</t>
  </si>
  <si>
    <t xml:space="preserve">23:33</t>
  </si>
  <si>
    <t xml:space="preserve">الاجتماع تم : تم التواصل وعمل ٤ عروض مصاعد مختلفه</t>
  </si>
  <si>
    <t xml:space="preserve">09:30</t>
  </si>
  <si>
    <t xml:space="preserve">المهام المراد تنفيذها تم : تمت زياره 3 مكاتب وتحصي</t>
  </si>
  <si>
    <t xml:space="preserve">11:12</t>
  </si>
  <si>
    <t xml:space="preserve">Call done Original note: تم التواصل للمتابعه عرض س</t>
  </si>
  <si>
    <t xml:space="preserve">تم التواصل مع شاجى ولكن المشكلة فى التأخير من مالك</t>
  </si>
  <si>
    <t xml:space="preserve">11:13</t>
  </si>
  <si>
    <t xml:space="preserve">To Do done Original note: تم التواصل و المتابعه مع</t>
  </si>
  <si>
    <t xml:space="preserve">11:17</t>
  </si>
  <si>
    <t xml:space="preserve">Call done Original note: تم التواصل لتنسيق ميعاد م</t>
  </si>
  <si>
    <t xml:space="preserve">To Do done Original note: تم عمل المخططات وسيتم تن</t>
  </si>
  <si>
    <t xml:space="preserve">11:27</t>
  </si>
  <si>
    <t xml:space="preserve">To Do done Original note: تم التواصل والمتابعه معا</t>
  </si>
  <si>
    <t xml:space="preserve">11:29</t>
  </si>
  <si>
    <t xml:space="preserve">Call done Original note: تم التواصل والمتابعه مع ا</t>
  </si>
  <si>
    <t xml:space="preserve">11:30</t>
  </si>
  <si>
    <t xml:space="preserve">To Do done Original note: تم التواصل اليوم وقال ان</t>
  </si>
  <si>
    <t xml:space="preserve">11:33</t>
  </si>
  <si>
    <t xml:space="preserve">To Do done Original note: تم المتابعه مع المهندس ا</t>
  </si>
  <si>
    <t xml:space="preserve">11:35</t>
  </si>
  <si>
    <t xml:space="preserve">To Do done Original note: تم تنسيق الميعاد يوم الا</t>
  </si>
  <si>
    <t xml:space="preserve">11:40</t>
  </si>
  <si>
    <t xml:space="preserve">To Do done Original note: سيتم زيارة المكتب يوم ال</t>
  </si>
  <si>
    <t xml:space="preserve">11:41</t>
  </si>
  <si>
    <t xml:space="preserve">To Do done Original note: تم التواصل مع المالك وقا</t>
  </si>
  <si>
    <t xml:space="preserve">11:44</t>
  </si>
  <si>
    <t xml:space="preserve">Reminder done Original note: تم المتابعه مع اللعمي</t>
  </si>
  <si>
    <t xml:space="preserve">11:50</t>
  </si>
  <si>
    <t xml:space="preserve">Call done Original note: تم لاتواصل مع المالك والم</t>
  </si>
  <si>
    <t xml:space="preserve">11:57</t>
  </si>
  <si>
    <t xml:space="preserve">المهام المراد تنفيذها تم : الدوام بمعرض ابو ظبي</t>
  </si>
  <si>
    <t xml:space="preserve">زيارة الموقع وتم الاتصال على مهندس محمد مطلوب عرض</t>
  </si>
  <si>
    <t xml:space="preserve">زيارة الموقع ومقابلة المهندس محمد مطلوب عرض سعر مص</t>
  </si>
  <si>
    <t xml:space="preserve">18:44</t>
  </si>
  <si>
    <t xml:space="preserve">زيارة الموقع وتم الاتصال على مهندس احمد مطلوب عرض</t>
  </si>
  <si>
    <t xml:space="preserve">18:46</t>
  </si>
  <si>
    <t xml:space="preserve">زيارة الموقع ومقابلة المهندس والمالك لتسليم المصعد</t>
  </si>
  <si>
    <t xml:space="preserve">زياره الموقع ومقابله الكهربائي والتواصل مع المالك</t>
  </si>
  <si>
    <t xml:space="preserve">زياره الموقع ومتابعه تحصيل والتواصل مع عيسي الشامس</t>
  </si>
  <si>
    <t xml:space="preserve">زياره المجمع ومعاينه 7 فلل ومتابعه مع مهندس محمود</t>
  </si>
  <si>
    <t xml:space="preserve">الاجتماع تم : تم زياره للمكتب ومقابله م عبد الرحمن</t>
  </si>
  <si>
    <t xml:space="preserve">16:54</t>
  </si>
  <si>
    <t xml:space="preserve">زيارة الموقع للمعاينة ومتابعه تحصيل احمد الكعبي</t>
  </si>
  <si>
    <t xml:space="preserve">زيارة الموقع ومقابلة المهندس معاينه ورفع المقاسات</t>
  </si>
  <si>
    <t xml:space="preserve">زيارة الموقع ومقابلة المالك الاستاذ احمد العامري ل</t>
  </si>
  <si>
    <t xml:space="preserve">زيارة الموقع ومقابلة المهندس قصي مطلوب عرض سعر مصع</t>
  </si>
  <si>
    <t xml:space="preserve">زيارة الموقع وتم الاتصال على مهندس نوري لم يرد</t>
  </si>
  <si>
    <t xml:space="preserve">زيارة الموقع وتم الاتصال على المالك ام محمد الاحبا</t>
  </si>
  <si>
    <t xml:space="preserve">الدوام من المعرض للاتصال علي عملاء سوشيال مديا</t>
  </si>
  <si>
    <t xml:space="preserve">17:34</t>
  </si>
  <si>
    <t xml:space="preserve">تم الاتصال بالمالك وقال محتاج المصعد بس بيدبر الفل</t>
  </si>
  <si>
    <t xml:space="preserve">الاجتماع تم : تم الاتصال لمتابعه استكمال الدفع وقا</t>
  </si>
  <si>
    <t xml:space="preserve">الاجتماع تم : تم التواصل والتنعريف سمارت هوم بالاض</t>
  </si>
  <si>
    <t xml:space="preserve">17:47</t>
  </si>
  <si>
    <t xml:space="preserve">الاجتماع تم : تم التواصل والتفاوض فس سعر التكييف و</t>
  </si>
  <si>
    <t xml:space="preserve">17:56</t>
  </si>
  <si>
    <t xml:space="preserve">تم التواصل مع المهندس وسيتم ارسال عرض السعر</t>
  </si>
  <si>
    <t xml:space="preserve">الاجتماع تم : التعريف بسمارت هوم ومتابعه مشروع مني</t>
  </si>
  <si>
    <t xml:space="preserve">18:16</t>
  </si>
  <si>
    <t xml:space="preserve">الاجتماع تم : تم متابعه عدد من المشروعات وطلب الفص</t>
  </si>
  <si>
    <t xml:space="preserve">19:53</t>
  </si>
  <si>
    <t xml:space="preserve">معرض+ زيارة 2 موقع</t>
  </si>
  <si>
    <t xml:space="preserve">زياره المكتب ومقابله مهندس طارق ومتابعه مشاريع جدي</t>
  </si>
  <si>
    <t xml:space="preserve">زياره المكتب ومقابله مهندس ندي ومتابعه عروض الاسعا</t>
  </si>
  <si>
    <t xml:space="preserve">زياره المكتب ومتابعه وقت اخر لمقابله مهندس بشار</t>
  </si>
  <si>
    <t xml:space="preserve">زياره المكتب ومتابعه مع مهندس محمد سمير وقت اخر</t>
  </si>
  <si>
    <t xml:space="preserve">21:24</t>
  </si>
  <si>
    <t xml:space="preserve">زياره المكتب ومتابعه مع مهندس امير مشروع سهيل العا</t>
  </si>
  <si>
    <t xml:space="preserve">تم زيارة ١٠ مواقع وعمل عرضين سعر مكيف</t>
  </si>
  <si>
    <t xml:space="preserve">10:13</t>
  </si>
  <si>
    <t xml:space="preserve">تم زيارة الموقع لمتابعة ما بعد البيع وتم عمل فيديو</t>
  </si>
  <si>
    <t xml:space="preserve">10:33</t>
  </si>
  <si>
    <t xml:space="preserve">تم زيارة الموقع لمتابعة عرض السعر وتم الاتصال بالم</t>
  </si>
  <si>
    <t xml:space="preserve">10:51</t>
  </si>
  <si>
    <t xml:space="preserve">Call done Original note: تم المتابعه مع العميل وطل</t>
  </si>
  <si>
    <t xml:space="preserve">10:54</t>
  </si>
  <si>
    <t xml:space="preserve">Call done Original note: العميل قال لسه بيشوف وهيك</t>
  </si>
  <si>
    <t xml:space="preserve">11:11</t>
  </si>
  <si>
    <t xml:space="preserve">Call done Original note: تم زيارة المكتب ومقابله ا</t>
  </si>
  <si>
    <t xml:space="preserve">To Do done Original note: قال لسه بيشوف هيحتاج ايه</t>
  </si>
  <si>
    <t xml:space="preserve">تم زيارة الموقع لمتابعة ما بعد البيع وتم عمل المعا</t>
  </si>
  <si>
    <t xml:space="preserve">11:21</t>
  </si>
  <si>
    <t xml:space="preserve">Call done Original note: تم التواصل مع المكتب وتم</t>
  </si>
  <si>
    <t xml:space="preserve">12:03</t>
  </si>
  <si>
    <t xml:space="preserve">12:05</t>
  </si>
  <si>
    <t xml:space="preserve">To Do done Original note: تم تحديد ميعاد غدا 10 صب</t>
  </si>
  <si>
    <t xml:space="preserve">12:28</t>
  </si>
  <si>
    <t xml:space="preserve">To Do done Original note: تم تحديد مقابله غدا السا</t>
  </si>
  <si>
    <t xml:space="preserve">12:45</t>
  </si>
  <si>
    <t xml:space="preserve">To Do done Original note: تم التواصل وتم تنسيق ميع</t>
  </si>
  <si>
    <t xml:space="preserve">12:47</t>
  </si>
  <si>
    <t xml:space="preserve">Call done Original note: تم التواصل ولم يرد وسيتم</t>
  </si>
  <si>
    <t xml:space="preserve">12:54</t>
  </si>
  <si>
    <t xml:space="preserve">Call done Original note: تم التواصل والمتابعه وارس</t>
  </si>
  <si>
    <t xml:space="preserve">12:56</t>
  </si>
  <si>
    <t xml:space="preserve">Call done Original note: تم وصول المصعد وسيتم ارسا</t>
  </si>
  <si>
    <t xml:space="preserve">تم زيارة الموقع ومقابلة مهندس عارف وابداء ملاحظات</t>
  </si>
  <si>
    <t xml:space="preserve">Call done Original note: تم ارسال بروفايل السمارت</t>
  </si>
  <si>
    <t xml:space="preserve">14:04</t>
  </si>
  <si>
    <t xml:space="preserve">تم زيارة الموقع ومقابلة المالك مقاول وتم التعريف ب</t>
  </si>
  <si>
    <t xml:space="preserve">Call done Original note: تم دفع دفعه التصنيع وتم ا</t>
  </si>
  <si>
    <t xml:space="preserve">14:09</t>
  </si>
  <si>
    <t xml:space="preserve">فيلا خاصه - م. علي - الزاوية الساطعه للمقاولات تم</t>
  </si>
  <si>
    <t xml:space="preserve">تم زيارة الموقع في مرحلة الاساسات وتم الاتصال بالم</t>
  </si>
  <si>
    <t xml:space="preserve">14:16</t>
  </si>
  <si>
    <t xml:space="preserve">Call done Original note: تم التواصل وافمتابعه بخصو</t>
  </si>
  <si>
    <t xml:space="preserve">تم الاتصال بالمقاول وتم مناقشة مقاسات المصعد البان</t>
  </si>
  <si>
    <t xml:space="preserve">14:27</t>
  </si>
  <si>
    <t xml:space="preserve">معرض+ اجتماع+ موقعين+ 2 مقابلة (مهندس عارف تيم ليد</t>
  </si>
  <si>
    <t xml:space="preserve">14:51</t>
  </si>
  <si>
    <t xml:space="preserve">تم زيارة الموقع ويوجد مصعد وتم رفع المقاسات وتم ال</t>
  </si>
  <si>
    <t xml:space="preserve">Call done Original note: تم دفع دفعه التصنيع و ف ا</t>
  </si>
  <si>
    <t xml:space="preserve">To Do done Original note: تم ارسال المخطط من قبل ا</t>
  </si>
  <si>
    <t xml:space="preserve">17:19</t>
  </si>
  <si>
    <t xml:space="preserve">To Do done Original note: تم ارساله من قبل المهندس</t>
  </si>
  <si>
    <t xml:space="preserve">17:37</t>
  </si>
  <si>
    <t xml:space="preserve">المالك عبدالله درويش الخوري- اعمار الخليج تم التوا</t>
  </si>
  <si>
    <t xml:space="preserve">Call done Original note: تم التواصل وتحديد ميعاد غ</t>
  </si>
  <si>
    <t xml:space="preserve">To Do done Original note: مسافر برة البلاد وهيتم ا</t>
  </si>
  <si>
    <t xml:space="preserve">زيارة الموقع للمعاينة المتابعه</t>
  </si>
  <si>
    <t xml:space="preserve">زيارة الموقع ومقابلة المهندس سمير مطلوب عرض سعر مص</t>
  </si>
  <si>
    <t xml:space="preserve">زيارة الموقع للمعاينة وتم مقابلة المهندس كومار متا</t>
  </si>
  <si>
    <t xml:space="preserve">زيارة الموقع وتم الاتصال على مهندس صلاح لم يرد</t>
  </si>
  <si>
    <t xml:space="preserve">زيارة الموقع ومقابلة المهندس بيتر مطلوب عرض سعر تك</t>
  </si>
  <si>
    <t xml:space="preserve">19:36</t>
  </si>
  <si>
    <t xml:space="preserve">زياره الموقع ومقابله مهندس حسن وتم اخذ رقم المالك</t>
  </si>
  <si>
    <t xml:space="preserve">19:42</t>
  </si>
  <si>
    <t xml:space="preserve">تم التواصل من المالك وارسل مخطط ولوكيشن لعمل عرض س</t>
  </si>
  <si>
    <t xml:space="preserve">20:45</t>
  </si>
  <si>
    <t xml:space="preserve">تم زياره معرض العين وتم اختيار الديكور زجاري استلا</t>
  </si>
  <si>
    <t xml:space="preserve">22:24</t>
  </si>
  <si>
    <t xml:space="preserve">تم زياره الموقع وارسال فيديو للمالك وتم التواصل من</t>
  </si>
  <si>
    <t xml:space="preserve">22:33</t>
  </si>
  <si>
    <t xml:space="preserve">معاينه الموقع ورفع المقاسات والتواصل مع مهندس رمزي</t>
  </si>
  <si>
    <t xml:space="preserve">23:59</t>
  </si>
  <si>
    <t xml:space="preserve">مكالمة تم : تم التواصل لمتابعه عرض السعر وارسال مخ</t>
  </si>
  <si>
    <t xml:space="preserve">00:02</t>
  </si>
  <si>
    <t xml:space="preserve">مكالمة تم : تم التواصل مع المالك والاتفاق علي زيار</t>
  </si>
  <si>
    <t xml:space="preserve">00:05</t>
  </si>
  <si>
    <t xml:space="preserve">مكالمة تم : تمت التواصل مع المهندس وجاري تجهيز الد</t>
  </si>
  <si>
    <t xml:space="preserve">10:42</t>
  </si>
  <si>
    <t xml:space="preserve">تم زيارة الموقع لمتابعة ما بعد البيع وتم مقابلة ال</t>
  </si>
  <si>
    <t xml:space="preserve">12:02</t>
  </si>
  <si>
    <t xml:space="preserve">تم التواصل من المالك علي عبدالله الشامسي وارسل مخط</t>
  </si>
  <si>
    <t xml:space="preserve">12:09</t>
  </si>
  <si>
    <t xml:space="preserve">تم ارسال لوكيشن من ا عهود الياسي وتم المعاينه المو</t>
  </si>
  <si>
    <t xml:space="preserve">12:10</t>
  </si>
  <si>
    <t xml:space="preserve">تم زياره الموقع ومقابله مهندس صبري وتحديد مكتن الك</t>
  </si>
  <si>
    <t xml:space="preserve">Site Visit تم : تمت زياره للموقع ورفع المقاسات وال</t>
  </si>
  <si>
    <t xml:space="preserve">تم الاجتماع مع المقاول والاستشاري والاستاذ سيد ومه</t>
  </si>
  <si>
    <t xml:space="preserve">15:30</t>
  </si>
  <si>
    <t xml:space="preserve">تم الاتصال بالمالك وقال في انتظار بعض التعديلات عل</t>
  </si>
  <si>
    <t xml:space="preserve">17:52</t>
  </si>
  <si>
    <t xml:space="preserve">زيارة 8 مكاتب/ 4 مقابلات</t>
  </si>
  <si>
    <t xml:space="preserve">زيارة الموقع ومقابلة المهندس منصور ارسلي مخطط ومطل</t>
  </si>
  <si>
    <t xml:space="preserve">زيارة الموقع ومقابلة المهندس والمالك سيتم ارسال ال</t>
  </si>
  <si>
    <t xml:space="preserve">زيارة الموقع ومقابلة المهندس اسماعيل ارسلي مخطط مط</t>
  </si>
  <si>
    <t xml:space="preserve">18:28</t>
  </si>
  <si>
    <t xml:space="preserve">زيارة الموقع ومقابلة المهندس أحمد لا يوجد مصعد وتم</t>
  </si>
  <si>
    <t xml:space="preserve">زيارة الموقع وتم الاتصال على احمد لم يرد</t>
  </si>
  <si>
    <t xml:space="preserve">زيارة الموقع وتم الاتصال على مهندس احمد لم يرد</t>
  </si>
  <si>
    <t xml:space="preserve">مقابله الاستاذ احمد الكعبى وتم استلام شيك باقي مبل</t>
  </si>
  <si>
    <t xml:space="preserve">19:30</t>
  </si>
  <si>
    <t xml:space="preserve">الاجتماع تم : تم التواصل ومتابعه عرض سعؤ التكييف و</t>
  </si>
  <si>
    <t xml:space="preserve">الاجتماع تم : تم مبعه عرض سعر التكييف لمشروه الجما</t>
  </si>
  <si>
    <t xml:space="preserve">19:35</t>
  </si>
  <si>
    <t xml:space="preserve">الاجتماع تم : تم التواصل وتم دفع باقي دفعه ال10 %</t>
  </si>
  <si>
    <t xml:space="preserve">الاجتماع تم : تم التاصل ارسال مطالبه دفعه التصنيع</t>
  </si>
  <si>
    <t xml:space="preserve">21:29</t>
  </si>
  <si>
    <t xml:space="preserve">تم توقيع عقد تكييف الحمدلله وعمل ٥ معاينات مواقع و</t>
  </si>
  <si>
    <t xml:space="preserve">22:02</t>
  </si>
  <si>
    <t xml:space="preserve">تم زيارة المكتب ومقابلة الريسبشن وسيتم ارسال ايميل</t>
  </si>
  <si>
    <t xml:space="preserve">22:05</t>
  </si>
  <si>
    <t xml:space="preserve">تم مقابلة مهندس جيجو ومناقشة مشروع مصعد بلاتفورم..</t>
  </si>
  <si>
    <t xml:space="preserve">22:06</t>
  </si>
  <si>
    <t xml:space="preserve">تم مقابلة مهندس فيصل وسيتم الرد بالموافقة او الرفض</t>
  </si>
  <si>
    <t xml:space="preserve">22:07</t>
  </si>
  <si>
    <t xml:space="preserve">تم مقابلة مهندس هانى وللاسف تم التعاقد مع سيجما بخ</t>
  </si>
  <si>
    <t xml:space="preserve">تم زياره معرض العين وتم الاتفاق علي العقد وهيتم زي</t>
  </si>
  <si>
    <t xml:space="preserve">23:20</t>
  </si>
  <si>
    <t xml:space="preserve">23:22</t>
  </si>
  <si>
    <t xml:space="preserve">الاجتماع تم : تمت زياره للموقع لتسليم المصعد واعتر</t>
  </si>
  <si>
    <t xml:space="preserve">10:45</t>
  </si>
  <si>
    <t xml:space="preserve">تم زيارة مكتب الموقع ومقابلة مدير المشاريع وتم منا</t>
  </si>
  <si>
    <t xml:space="preserve">معاينه موقع احمد محمد سعيد الكعبي</t>
  </si>
  <si>
    <t xml:space="preserve">زيارة الموقع ومقابلة المهندس والمالك والاستشاري لك</t>
  </si>
  <si>
    <t xml:space="preserve">زيارة الموقع ومقابلة المهندس أحمد سيتم ارسال مخطط</t>
  </si>
  <si>
    <t xml:space="preserve">زيارة الموقع ومقابلة المهندس حبيب مطلوب عرض سعر تك</t>
  </si>
  <si>
    <t xml:space="preserve">17:27</t>
  </si>
  <si>
    <t xml:space="preserve">تم زيارة المكتب ومقابلة المدير وتم مناقش. موضوع دف</t>
  </si>
  <si>
    <t xml:space="preserve">20:57</t>
  </si>
  <si>
    <t xml:space="preserve">مقابله الاستاذ خميس الكعبي في المكتب تفاوض فى عرض</t>
  </si>
  <si>
    <t xml:space="preserve">تم مقايلة مهندس احمد وسيتم ارسال عرض السعر بعد الت</t>
  </si>
  <si>
    <t xml:space="preserve">21:52</t>
  </si>
  <si>
    <t xml:space="preserve">الاجتماع تم : تم عمل عرض سعر سابقا ولكن كان التواص</t>
  </si>
  <si>
    <t xml:space="preserve">الاجتماع تم : تم التواصل والاستعلام عن بعض الامور</t>
  </si>
  <si>
    <t xml:space="preserve">22:54</t>
  </si>
  <si>
    <t xml:space="preserve">الاجتماع تم : تمت زياره للمكتب والاجتماع مع م حسن</t>
  </si>
  <si>
    <t xml:space="preserve">الاجتماع تم : تمت زياره للمكتب ورجوع المهندس ياسر</t>
  </si>
  <si>
    <t xml:space="preserve">23:25</t>
  </si>
  <si>
    <t xml:space="preserve">تم زيارة ٨ مكاتب و٣ مقابلاو</t>
  </si>
  <si>
    <t xml:space="preserve">تم زيارة المكتب ومقابلة مهندس احمد وتم شرح موضوع س</t>
  </si>
  <si>
    <t xml:space="preserve">11:03</t>
  </si>
  <si>
    <t xml:space="preserve">تم زيارة المكتب ومقابلة السكرتيرة وقالت مهندس مجدي</t>
  </si>
  <si>
    <t xml:space="preserve">17:43</t>
  </si>
  <si>
    <t xml:space="preserve">تم زيارة المكتب واسلام دفعة التعاقد وتم تسليم شيك</t>
  </si>
  <si>
    <t xml:space="preserve">18:00</t>
  </si>
  <si>
    <t xml:space="preserve">تم التواصل مع المقاول بالواتس اب وارسل مخطط وجاري</t>
  </si>
  <si>
    <t xml:space="preserve">تم زيارة المكتب ومقابلة المدير وتم تعريفة ببند سما</t>
  </si>
  <si>
    <t xml:space="preserve">زيارة الموقع ومقابلة المالك والمهندس موقع امل الحر</t>
  </si>
  <si>
    <t xml:space="preserve">زيارة الموقع ومقابلة المقاول فلتين عبيد العامري</t>
  </si>
  <si>
    <t xml:space="preserve">زيارة موقع العميل علي الحساني للمعاينة والمتابعة</t>
  </si>
  <si>
    <t xml:space="preserve">23:19</t>
  </si>
  <si>
    <t xml:space="preserve">زياره الموقع حسب الموعد ومقابله مهندس اسامه وتنسيق</t>
  </si>
  <si>
    <t xml:space="preserve">زياره الموقع ومتابعه نهائيه متابعه الاسبوع القادم</t>
  </si>
  <si>
    <t xml:space="preserve">تم استلام شيك الضمان وتم الغائه</t>
  </si>
  <si>
    <t xml:space="preserve">23:27</t>
  </si>
  <si>
    <t xml:space="preserve">معاينه الموقع ورفع المقاسات والتواصل مع مهندس عبدا</t>
  </si>
  <si>
    <t xml:space="preserve">23:29</t>
  </si>
  <si>
    <t xml:space="preserve">زياره الموقع ورفع المقاسات والتواصل مع مهندس بشار</t>
  </si>
  <si>
    <t xml:space="preserve">معاينه الموقع ورفع المقاسات والتواصل مع مهندس طارق</t>
  </si>
  <si>
    <t xml:space="preserve">تمت الزيارة أمس المعرض والتوقيع بفضل الله</t>
  </si>
  <si>
    <t xml:space="preserve">تم زيارة المكتب ومقابلة مهندس.. ستتم متابعة يوم ال</t>
  </si>
  <si>
    <t xml:space="preserve">تم مقابلة مهندسة وسيتم التواصل الاتنين بخصوص البنا</t>
  </si>
  <si>
    <t xml:space="preserve">تم زيارة المكتب ومقابلة مهندس ثروت/ ابو بكر الشاطب</t>
  </si>
  <si>
    <t xml:space="preserve">22:20</t>
  </si>
  <si>
    <t xml:space="preserve">دوام من المعرض وتم عمل مكالمات للعملاء المعرض والس</t>
  </si>
  <si>
    <t xml:space="preserve">22:21</t>
  </si>
  <si>
    <t xml:space="preserve">تم التواصل والاتفاق ع مقابله يوم الاحد القادم</t>
  </si>
  <si>
    <t xml:space="preserve">تم ارسال له عروض الاسعار بعد التعديل و في انتزار ا</t>
  </si>
  <si>
    <t xml:space="preserve">تم ارسال عروض الاسعار المنافسه للمهندس ايهاب و ف ا</t>
  </si>
  <si>
    <t xml:space="preserve">المالك خليفه بامطرف - معرض - 8 -2026 سيتم تنسيق مق</t>
  </si>
  <si>
    <t xml:space="preserve">22:56</t>
  </si>
  <si>
    <t xml:space="preserve">تم مقابلة مهندس جليل واعطائى رقم مهندس بهاء لبحث م</t>
  </si>
  <si>
    <t xml:space="preserve">23:03</t>
  </si>
  <si>
    <t xml:space="preserve">المهندس غير موجود فى الموقع/ سيتم التواصل بعد يومي</t>
  </si>
  <si>
    <t xml:space="preserve">09:57</t>
  </si>
  <si>
    <t xml:space="preserve">تم زيارة الموقع ومقابلة مهندس بدوي وتم التعريف بال</t>
  </si>
  <si>
    <t xml:space="preserve">To Do done Original note: تم التواصل وعمل المخطط ا</t>
  </si>
  <si>
    <t xml:space="preserve">تم زيارة الموقع وكان مقفول وتم الاتصال بالمقاول لم</t>
  </si>
  <si>
    <t xml:space="preserve">تم زيارة الموقع وتم عمل المعاينة وتم مقابلة مهندس</t>
  </si>
  <si>
    <t xml:space="preserve">Site Visit تم : تمت زياره للموقع لمتابعه الموقع لم</t>
  </si>
  <si>
    <t xml:space="preserve">Site Visit تم : تمت زياره للموقع والتاكو من المقاس</t>
  </si>
  <si>
    <t xml:space="preserve">14:14</t>
  </si>
  <si>
    <t xml:space="preserve">تم زيارة الموقع ويوجد مصعد في مرحلة الخرسانة وتم ر</t>
  </si>
  <si>
    <t xml:space="preserve">تم زيارة الموقع والباب مغلق وتم ارسال البورده للمق</t>
  </si>
  <si>
    <t xml:space="preserve">تم زيارة الموقع ولا يوجد مصعد وتما لاتصال بالمقاول</t>
  </si>
  <si>
    <t xml:space="preserve">تم زيارة الموقع ومقابلة المالك وتم التعريف بالشركة</t>
  </si>
  <si>
    <t xml:space="preserve">14:39</t>
  </si>
  <si>
    <t xml:space="preserve">تم زيارة الموقع ويوجد مصعد بمرحلة الخرسانة وتم رفع</t>
  </si>
  <si>
    <t xml:space="preserve">15:08</t>
  </si>
  <si>
    <t xml:space="preserve">تم زيارة الموقع بمرحلة الاساسات وتم الاتصال بالمقا</t>
  </si>
  <si>
    <t xml:space="preserve">15:52</t>
  </si>
  <si>
    <t xml:space="preserve">To Do done Original note: زيارة مكتب ومقابلة المدي</t>
  </si>
  <si>
    <t xml:space="preserve">15:53</t>
  </si>
  <si>
    <t xml:space="preserve">تم مقابلة المدير لمتابعة مشروع لاكى اويسز</t>
  </si>
  <si>
    <t xml:space="preserve">15:55</t>
  </si>
  <si>
    <t xml:space="preserve">تم عمل عرض سعر وارساله للمالك/ الاستشارى رشح تورين</t>
  </si>
  <si>
    <t xml:space="preserve">16:24</t>
  </si>
  <si>
    <t xml:space="preserve">تم التواصل مع المقاول وارسل المخططات بالواتس اب وت</t>
  </si>
  <si>
    <t xml:space="preserve">18:04</t>
  </si>
  <si>
    <t xml:space="preserve">زيارة الموقع ومقابلة المالك الاستاذ عيسي الظاهري م</t>
  </si>
  <si>
    <t xml:space="preserve">18:07</t>
  </si>
  <si>
    <t xml:space="preserve">زيارة الموقع متابعة الاستاذ خميس الكعبي</t>
  </si>
  <si>
    <t xml:space="preserve">18:09</t>
  </si>
  <si>
    <t xml:space="preserve">زيارة الموقع ومقابلة المهندس محمود متابعة موقع صال</t>
  </si>
  <si>
    <t xml:space="preserve">18:10</t>
  </si>
  <si>
    <t xml:space="preserve">زيارة الموقع ومقابلة المهندس وتم تسليمه عرض سعر ال</t>
  </si>
  <si>
    <t xml:space="preserve">18:14</t>
  </si>
  <si>
    <t xml:space="preserve">زيارة الموقع وتم الاتصال على مهندس محمد لم يرد</t>
  </si>
  <si>
    <t xml:space="preserve">زيارة الموقع ومقابلة المهندس محمد هيثم سيتم إرسال</t>
  </si>
  <si>
    <t xml:space="preserve">زياره المعرض اجتماع ا رؤوف</t>
  </si>
  <si>
    <t xml:space="preserve">10:24</t>
  </si>
  <si>
    <t xml:space="preserve">11:43</t>
  </si>
  <si>
    <t xml:space="preserve">Site Visit تم : تمت زياره للموقع للتاكد من كافه ال</t>
  </si>
  <si>
    <t xml:space="preserve">Site Visit تم : تمت زياره للموقع 2 جانب خرساني الم</t>
  </si>
  <si>
    <t xml:space="preserve">Site Visit تم : تمت زياره للموقع بمرحله القواعد وم</t>
  </si>
  <si>
    <t xml:space="preserve">Call done Original note: تم عمل عرض سعر سمارت و ف</t>
  </si>
  <si>
    <t xml:space="preserve">تم الاتصال بالمالك ولم يرد وتم التواصل بالواتس اب</t>
  </si>
  <si>
    <t xml:space="preserve">تم الاتصال وقال لم يعتمد المخططات حتي الان</t>
  </si>
  <si>
    <t xml:space="preserve">تم زيارة الموقع ولا يوجد مصعد وبايبات التكييف جاهز</t>
  </si>
  <si>
    <t xml:space="preserve">زيارة الموقع وتم الاتصال على مهندس عبدالفتاح لم ير</t>
  </si>
  <si>
    <t xml:space="preserve">18:37</t>
  </si>
  <si>
    <t xml:space="preserve">زيارة المكتب ومقابلة المهندس محمد متابعة عروض الاس</t>
  </si>
  <si>
    <t xml:space="preserve">زيارة المكتب ومقابلة المهندس عبدالمقصود متابعة الع</t>
  </si>
  <si>
    <t xml:space="preserve">زيارة المكتب المهندس أحمد مش موجود</t>
  </si>
  <si>
    <t xml:space="preserve">زيارة المكتب المهندس عبدالغني مش موجود</t>
  </si>
  <si>
    <t xml:space="preserve">18:48</t>
  </si>
  <si>
    <t xml:space="preserve">الدوام من مكتب العين للاتصال علي عملاء السوشيال مد</t>
  </si>
  <si>
    <t xml:space="preserve">تم التواصل مع المالك وعمل عرض سعر</t>
  </si>
  <si>
    <t xml:space="preserve">تم زيارة المكتب ومقابلة المهندس لمتابعة مشروع عبيد</t>
  </si>
  <si>
    <t xml:space="preserve">تم مقابلة مهندس احمد مجاهد واعطائى مشروع لتسعير ال</t>
  </si>
  <si>
    <t xml:space="preserve">21:51</t>
  </si>
  <si>
    <t xml:space="preserve">زياره الموقع اجتماع مع المالك ومهندس منعم</t>
  </si>
  <si>
    <t xml:space="preserve">زياره الموقع ومقابله مهندس احمد و التواصل مع المال</t>
  </si>
  <si>
    <t xml:space="preserve">زياره الموقع والتواصل مع المالك وتم تحديد الموعد غ</t>
  </si>
  <si>
    <t xml:space="preserve">زياره الموقع ومتابعه نهائية</t>
  </si>
  <si>
    <t xml:space="preserve">22:52</t>
  </si>
  <si>
    <t xml:space="preserve">تم عمل عرض سعر للتكييف بأقل تكلفة</t>
  </si>
  <si>
    <t xml:space="preserve">09:40</t>
  </si>
  <si>
    <t xml:space="preserve">تم التواصل مع المقاول وارسل مخططات المصعد والتكييف</t>
  </si>
  <si>
    <t xml:space="preserve">10:38</t>
  </si>
  <si>
    <t xml:space="preserve">تم زيارة الموقع ويوجد 4 مصاعد تم رفع المقاسات والا</t>
  </si>
  <si>
    <t xml:space="preserve">تم زيارة الموقع لمتابعة عرض سعر التكييف وتم الاتصا</t>
  </si>
  <si>
    <t xml:space="preserve">11:26</t>
  </si>
  <si>
    <t xml:space="preserve">تم زيارة الموقع وتم مقابلة المالك والتعريف بالشركة</t>
  </si>
  <si>
    <t xml:space="preserve">تم زيارة الموقع في مرحلة القواعد وتم الاتصال بالمق</t>
  </si>
  <si>
    <t xml:space="preserve">14:21</t>
  </si>
  <si>
    <t xml:space="preserve">Site Visit تم : تمت زياره للموقع ورفع المقاسات ومت</t>
  </si>
  <si>
    <t xml:space="preserve">14:44</t>
  </si>
  <si>
    <t xml:space="preserve">زيارة المكتب ومقابلة المهندس محمود متابعة عروض الا</t>
  </si>
  <si>
    <t xml:space="preserve">زيارة المكتب ومقابلة المهندس حسن أعطاني مخطط لموقع</t>
  </si>
  <si>
    <t xml:space="preserve">19:03</t>
  </si>
  <si>
    <t xml:space="preserve">زيارة المكتب ومقابلة المهندس عبدالرحمن أعطاني مخطط</t>
  </si>
  <si>
    <t xml:space="preserve">19:31</t>
  </si>
  <si>
    <t xml:space="preserve">تم الاجتماع مع المالك وتم التوقيع العقد بحمدلله</t>
  </si>
  <si>
    <t xml:space="preserve">زياره الموقع ) الكنترول(</t>
  </si>
  <si>
    <t xml:space="preserve">19:39</t>
  </si>
  <si>
    <t xml:space="preserve">تم معاينه الموقع ورفع المقاسات والتواصل مع مهندس م</t>
  </si>
  <si>
    <t xml:space="preserve">19:43</t>
  </si>
  <si>
    <t xml:space="preserve">تم معاينه الموقع والتواصل مع مهندس سمير الاستشاري</t>
  </si>
  <si>
    <t xml:space="preserve">19:47</t>
  </si>
  <si>
    <t xml:space="preserve">معاينه الموقع ومقابله مهندس محمد وطلب عروض اسعار و</t>
  </si>
  <si>
    <t xml:space="preserve">معاينه الموقع ومقابله مهندس اويس والنصعد تم توريده</t>
  </si>
  <si>
    <t xml:space="preserve">معاينه الموقع ورفع المقاسات والتواصل مع مهندس عباد</t>
  </si>
  <si>
    <t xml:space="preserve">زيارة الموقع ومقابلة المهندس محمد سيتم ارسال المخط</t>
  </si>
  <si>
    <t xml:space="preserve">زيارة الموقع ومقابلة المقاول قالي اشوف المالك واخب</t>
  </si>
  <si>
    <t xml:space="preserve">08:53</t>
  </si>
  <si>
    <t xml:space="preserve">تم زيارة المكتب .. مهندس يزن فى إجازة وسيرجع بعد ا</t>
  </si>
  <si>
    <t xml:space="preserve">09:43</t>
  </si>
  <si>
    <t xml:space="preserve">تم التواصل بالواتس اب مع المقاول وارسل مخطط تكييف</t>
  </si>
  <si>
    <t xml:space="preserve">15:07</t>
  </si>
  <si>
    <t xml:space="preserve">Call done Original note: تم التواصل وف انتظار استل</t>
  </si>
  <si>
    <t xml:space="preserve">تم زيارة المكتب ومقابلة المهندس</t>
  </si>
  <si>
    <t xml:space="preserve">تم زياره المعرض والعميل محتاج تكييفات دكت وف انتظا</t>
  </si>
  <si>
    <t xml:space="preserve">تم مقابلة مهندس عمر وسيتم زيارة المعرض</t>
  </si>
  <si>
    <t xml:space="preserve">15:15</t>
  </si>
  <si>
    <t xml:space="preserve">تم زيارة المكتب ومقابلة المهندس وطلب تحديث الرخصة</t>
  </si>
  <si>
    <t xml:space="preserve">15:18</t>
  </si>
  <si>
    <t xml:space="preserve">Call done Original note: تم عمل عرض سعر مكيف و ف ا</t>
  </si>
  <si>
    <t xml:space="preserve">تم زيارة مكتب الموقع وتم مقابلة المقاول وتم التعري</t>
  </si>
  <si>
    <t xml:space="preserve">تم زيارة الموقع لمتابعة عروض الاسعار والمشروع مازا</t>
  </si>
  <si>
    <t xml:space="preserve">تم زيارة الموقع لمتابعة عروض الاسعار ومازال الموقع</t>
  </si>
  <si>
    <t xml:space="preserve">تم زيارة الموقع ومقابلة المقاول وتم مناقشة مخطط ال</t>
  </si>
  <si>
    <t xml:space="preserve">مكالمة تم : تم التواصل مع م عبدالله وارسال عرض الس</t>
  </si>
  <si>
    <t xml:space="preserve">تم زيارة الموقع لمتابعة عرض السعر وتم عمل المعاينة</t>
  </si>
  <si>
    <t xml:space="preserve">الاجتماع تم : تم زياره للمكتب والاجتماع مع م عبد ا</t>
  </si>
  <si>
    <t xml:space="preserve">تم زيارة المكتب ومقابلة المدير وتم مناقشة بعض المش</t>
  </si>
  <si>
    <t xml:space="preserve">تم زبارة المكتب ومقابلة مهندس محمد وتم التعريف بال</t>
  </si>
  <si>
    <t xml:space="preserve">الاجتماع تم : تمت زياره للمكتب ومقابله ابو سلطان و</t>
  </si>
  <si>
    <t xml:space="preserve">تم زيارة المكتب ومقابلة مدير المشاريع وتم ابلاغه ب</t>
  </si>
  <si>
    <t xml:space="preserve">الاجتماع تم : تم زياره للمكتب ومقابله م صغير ووصول</t>
  </si>
  <si>
    <t xml:space="preserve">18:50</t>
  </si>
  <si>
    <t xml:space="preserve">To Do done Original note: تم التواصل ومقابله الامق</t>
  </si>
  <si>
    <t xml:space="preserve">19:05</t>
  </si>
  <si>
    <t xml:space="preserve">19:06</t>
  </si>
  <si>
    <t xml:space="preserve">Call done Original note: تم التواصل وتم عمل عرض سع</t>
  </si>
  <si>
    <t xml:space="preserve">To Do done Original note: تم عمل المخطط بعد المخطط</t>
  </si>
  <si>
    <t xml:space="preserve">الاجتماع تم : م التواصل عمل عرض سعر مصعد والارسال</t>
  </si>
  <si>
    <t xml:space="preserve">الاجتماع تم : تم التواصل ومتابعه المصعد بالاضافه ل</t>
  </si>
  <si>
    <t xml:space="preserve">19:58</t>
  </si>
  <si>
    <t xml:space="preserve">الاجتماع تم : تم التواصل طلب دفعه تركيب الماكينات</t>
  </si>
  <si>
    <t xml:space="preserve">20:02</t>
  </si>
  <si>
    <t xml:space="preserve">الاجتماع تم : تم التواصل مع المالك ومسؤول الموقه و</t>
  </si>
  <si>
    <t xml:space="preserve">20:32</t>
  </si>
  <si>
    <t xml:space="preserve">20:35</t>
  </si>
  <si>
    <t xml:space="preserve">زيارة الموقع ومقابلة المهندس ناجي متابعة موقع محمد</t>
  </si>
  <si>
    <t xml:space="preserve">20:39</t>
  </si>
  <si>
    <t xml:space="preserve">زيارة الموقع ومقابلة المهندس عماد والمالك تم التعا</t>
  </si>
  <si>
    <t xml:space="preserve">زيارة الموقع ومقابلة المالك الاستاذ محمد النعيمي م</t>
  </si>
  <si>
    <t xml:space="preserve">زياره المكتب ومقابله مهندس محمد ومتابعه جميع المشا</t>
  </si>
  <si>
    <t xml:space="preserve">زياره المكتب ومقابله مهندسه رنا ومتابعه مشاريع جدي</t>
  </si>
  <si>
    <t xml:space="preserve">زياره المكتب لتسليم عروض الاسعار</t>
  </si>
  <si>
    <t xml:space="preserve">22:18</t>
  </si>
  <si>
    <t xml:space="preserve">زياره المكتب ومقابله مهندس محمود ومتابعه عروض الاس</t>
  </si>
  <si>
    <t xml:space="preserve">تم زيارة المكتب ومقابلة مهندس احمد وتم مناقشة بعض</t>
  </si>
  <si>
    <t xml:space="preserve">10:49</t>
  </si>
  <si>
    <t xml:space="preserve">11:24</t>
  </si>
  <si>
    <t xml:space="preserve">تم زيارة المكتب ومقابلة المدير مهندس عبدالوهاب وتم</t>
  </si>
  <si>
    <t xml:space="preserve">13:29</t>
  </si>
  <si>
    <t xml:space="preserve">تم التواصل من مهندس محمود وارسل 2مخطط تكييف لعمل ع</t>
  </si>
  <si>
    <t xml:space="preserve">سعيد ناصر سعير العامري تم المقابله اليوم وشرح بالت</t>
  </si>
  <si>
    <t xml:space="preserve">16:19</t>
  </si>
  <si>
    <t xml:space="preserve">تم عمل 4 عروض الاسعارمع اضافة مبلغ 5000 كمر حديد ل</t>
  </si>
  <si>
    <t xml:space="preserve">17:25</t>
  </si>
  <si>
    <t xml:space="preserve">تم الاتصال بالعميل وارسل مخطط مكيف ومصعد وجاري عمل</t>
  </si>
  <si>
    <t xml:space="preserve">21:11</t>
  </si>
  <si>
    <t xml:space="preserve">زيارة الموقع ومقابلة المهندس كومار متابعة عرض سعر</t>
  </si>
  <si>
    <t xml:space="preserve">21:14</t>
  </si>
  <si>
    <t xml:space="preserve">زيارة الموقع وتم الاتصال على مهندس محمود حاليا الم</t>
  </si>
  <si>
    <t xml:space="preserve">21:41</t>
  </si>
  <si>
    <t xml:space="preserve">زيارة الموقع ومقابلة المهندس مروان قالي اشوف المال</t>
  </si>
  <si>
    <t xml:space="preserve">21:43</t>
  </si>
  <si>
    <t xml:space="preserve">زيارة الموقع وتم الاتصال على مهندس عبده لم يرد متا</t>
  </si>
  <si>
    <t xml:space="preserve">21:46</t>
  </si>
  <si>
    <t xml:space="preserve">زيارة الموقع وتم الاتصال على مهندس علي مطلوب عرض س</t>
  </si>
  <si>
    <t xml:space="preserve">22:11</t>
  </si>
  <si>
    <t xml:space="preserve">تم عمل عرض السعر وارساله لمهندس رأفت</t>
  </si>
  <si>
    <t xml:space="preserve">23:54</t>
  </si>
  <si>
    <t xml:space="preserve">مكالمة تم : تم التواصل بعد ارسال الخطاب المطلوب وي</t>
  </si>
  <si>
    <t xml:space="preserve">23:55</t>
  </si>
  <si>
    <t xml:space="preserve">مكالمة تم : تواصل وموعد الاثنين القادم لرجوع صاحب</t>
  </si>
  <si>
    <t xml:space="preserve">تم زيارة الموقع ويوجد مصعد تم رفع المقاسات وتم الا</t>
  </si>
  <si>
    <t xml:space="preserve">10:16</t>
  </si>
  <si>
    <t xml:space="preserve">تم زيارة الموقع ويوجد مصعد تم رفع المقاسات وتم مقا</t>
  </si>
  <si>
    <t xml:space="preserve">11:47</t>
  </si>
  <si>
    <t xml:space="preserve">تم زيارة الموقع ويوجد مصعد تم رفع المقاسات والاتصا</t>
  </si>
  <si>
    <t xml:space="preserve">12:40</t>
  </si>
  <si>
    <t xml:space="preserve">تم زياره الموقع حسب الموعد ومقابله مهندس حمزة والد</t>
  </si>
  <si>
    <t xml:space="preserve">الاجتماع تم : تم زياره للمكتب ومقابله م مفيد وعبد</t>
  </si>
  <si>
    <t xml:space="preserve">الاجتماع تم : زياره وعدم تواجده</t>
  </si>
  <si>
    <t xml:space="preserve">الاجتماع تم : نمت زياره للمكتب ومقابله م ياسر ومتا</t>
  </si>
  <si>
    <t xml:space="preserve">تم زيارة الموقع في مرحلة القواعدوتم الاتصال بالمقا</t>
  </si>
  <si>
    <t xml:space="preserve">تم زيارة الموقع لمتابعة عروض اسعار المصاعد وتم الا</t>
  </si>
  <si>
    <t xml:space="preserve">تم زيارة الموقع لمتابعةعرض السعر وتم الاتصال بالما</t>
  </si>
  <si>
    <t xml:space="preserve">تم زيارة الموقع لمتابعة عروض الاسعار وتم الاتصال ب</t>
  </si>
  <si>
    <t xml:space="preserve">تم زيارة الموقع وتم عمل المعاينة وارسالها للمقاول</t>
  </si>
  <si>
    <t xml:space="preserve">تم التواصل وتم التوقيع والتحويل بحمدالله</t>
  </si>
  <si>
    <t xml:space="preserve">17:22</t>
  </si>
  <si>
    <t xml:space="preserve">تم زياره الموقع ومقابله مهندس احمد وبيحدد موعد في</t>
  </si>
  <si>
    <t xml:space="preserve">زيارة الموقع ومقابلة المهندس أحمد متابعة موقع سالم</t>
  </si>
  <si>
    <t xml:space="preserve">زيارة الموقع وتم الاتصال على مهندس زاهر لم يرد</t>
  </si>
  <si>
    <t xml:space="preserve">مقابله الاستاذه كريمه الهنائي وتم توقيع عقد مصعد</t>
  </si>
  <si>
    <t xml:space="preserve">تم زيارة المكتب ومقابلة مهندس حسن ومهندس احمد سمار</t>
  </si>
  <si>
    <t xml:space="preserve">تم ارسال عرض السعر مع فصل سعر المصعد عن البرج الحد</t>
  </si>
  <si>
    <t xml:space="preserve">22:25</t>
  </si>
  <si>
    <t xml:space="preserve">09:42</t>
  </si>
  <si>
    <t xml:space="preserve">تم زيارة الموقع به مصعد في مرحلة الاساسات وتم الات</t>
  </si>
  <si>
    <t xml:space="preserve">تم زيارة الموقع في مرحلة الطابوق وتم الاتصال بالمق</t>
  </si>
  <si>
    <t xml:space="preserve">12:14</t>
  </si>
  <si>
    <t xml:space="preserve">تم زيارة الموقع لا يوجد مصعد دكت التكييف راكب وتم</t>
  </si>
  <si>
    <t xml:space="preserve">تم زيارة الموقع ويوجد حفرة لمصعد بانوراما في مرحلة</t>
  </si>
  <si>
    <t xml:space="preserve">تم استقبال العميل فى المعرض ودفع مراحل فى التكييف</t>
  </si>
  <si>
    <t xml:space="preserve">13:11</t>
  </si>
  <si>
    <t xml:space="preserve">تم التواصل مع المهندس وارسال عرض السعر بعد التعديل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</si>
</sst>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5" min="13" style="0" width="13"/>
    <col collapsed="false" customWidth="true" hidden="false" outlineLevel="0" max="16" min="16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</row>
    <row r="5" customFormat="false" ht="45.75" hidden="false" customHeight="true" outlineLevel="0" collapsed="false">
      <c r="A5" s="4" t="s">
        <v>18</v>
      </c>
      <c r="B5" s="5" t="n">
        <f aca="false">COUNTIF('تفاصيل الفرص'!$D$2:$D$282,$A5)</f>
        <v>12</v>
      </c>
      <c r="C5" s="5" t="n">
        <f aca="false">COUNTIFS('تفاصيل الفرص'!$D$2:$D$282,$A5,'تفاصيل الفرص'!$I$2:$I$282,"نعم")</f>
        <v>11</v>
      </c>
      <c r="D5" s="5" t="n">
        <f aca="false">COUNTIFS('تفاصيل الفرص'!$D$2:$D$282,$A5,'تفاصيل الفرص'!$K$2:$K$282,"نعم")</f>
        <v>3</v>
      </c>
      <c r="E5" s="5" t="n">
        <f aca="false">COUNTIFS('تفاصيل الفرص'!$D$2:$D$282,$A5,'تفاصيل الفرص'!$M$2:$M$282,"نعم")</f>
        <v>7</v>
      </c>
      <c r="F5" s="5" t="n">
        <f aca="false">COUNTIFS('تفاصيل الفرص'!$D$2:$D$282,$A5,'تفاصيل الفرص'!$O$2:$O$282,"نعم")</f>
        <v>8</v>
      </c>
      <c r="G5" s="5" t="n">
        <f aca="false">COUNTIFS('تفاصيل الفرص'!$D$2:$D$282,$A5,'تفاصيل الفرص'!$Q$2:$Q$282,"نعم")</f>
        <v>11</v>
      </c>
      <c r="H5" s="5" t="n">
        <f aca="false">COUNTIFS('تفاصيل الفرص'!$D$2:$D$282,$A5,'تفاصيل الفرص'!$S$2:$S$282,"نعم")</f>
        <v>0</v>
      </c>
      <c r="I5" s="5" t="n">
        <f aca="false">COUNTIFS('تفاصيل الفرص'!$D$2:$D$282,$A5,'تفاصيل الفرص'!$U$2:$U$282,"نعم")</f>
        <v>0</v>
      </c>
      <c r="J5" s="5" t="n">
        <f aca="false">COUNTIFS('تفاصيل الفرص'!$D$2:$D$282,$A5,'تفاصيل الفرص'!$W$2:$W$282,"نعم")</f>
        <v>5</v>
      </c>
      <c r="K5" s="6" t="n">
        <f aca="false">IF($B5=0,0,SUM(C5:J5)/($B5*8))</f>
        <v>0.46875</v>
      </c>
      <c r="L5" s="5" t="n">
        <f aca="false">COUNTIF('سجل الأكشنات'!$D$2:$D$539,$A5)</f>
        <v>33</v>
      </c>
      <c r="M5" s="5" t="n">
        <f aca="false">COUNTIFS('سجل الأكشنات'!$D$2:$D$539,$A5,'سجل الأكشنات'!$H$2:$H$539,"تفصيلي")</f>
        <v>31</v>
      </c>
      <c r="N5" s="5" t="n">
        <f aca="false">L5-M5</f>
        <v>2</v>
      </c>
      <c r="O5" s="6" t="n">
        <f aca="false">IF($L5=0,0,M5/L5)</f>
        <v>0.939393939393939</v>
      </c>
      <c r="P5" s="4" t="s">
        <v>19</v>
      </c>
    </row>
    <row r="6" customFormat="false" ht="45.75" hidden="false" customHeight="true" outlineLevel="0" collapsed="false">
      <c r="A6" s="4" t="s">
        <v>20</v>
      </c>
      <c r="B6" s="5" t="n">
        <f aca="false">COUNTIF('تفاصيل الفرص'!$D$2:$D$282,$A6)</f>
        <v>0</v>
      </c>
      <c r="C6" s="5" t="n">
        <f aca="false">COUNTIFS('تفاصيل الفرص'!$D$2:$D$282,$A6,'تفاصيل الفرص'!$I$2:$I$282,"نعم")</f>
        <v>0</v>
      </c>
      <c r="D6" s="5" t="n">
        <f aca="false">COUNTIFS('تفاصيل الفرص'!$D$2:$D$282,$A6,'تفاصيل الفرص'!$K$2:$K$282,"نعم")</f>
        <v>0</v>
      </c>
      <c r="E6" s="5" t="n">
        <f aca="false">COUNTIFS('تفاصيل الفرص'!$D$2:$D$282,$A6,'تفاصيل الفرص'!$M$2:$M$282,"نعم")</f>
        <v>0</v>
      </c>
      <c r="F6" s="5" t="n">
        <f aca="false">COUNTIFS('تفاصيل الفرص'!$D$2:$D$282,$A6,'تفاصيل الفرص'!$O$2:$O$282,"نعم")</f>
        <v>0</v>
      </c>
      <c r="G6" s="5" t="n">
        <f aca="false">COUNTIFS('تفاصيل الفرص'!$D$2:$D$282,$A6,'تفاصيل الفرص'!$Q$2:$Q$282,"نعم")</f>
        <v>0</v>
      </c>
      <c r="H6" s="5" t="n">
        <f aca="false">COUNTIFS('تفاصيل الفرص'!$D$2:$D$282,$A6,'تفاصيل الفرص'!$S$2:$S$282,"نعم")</f>
        <v>0</v>
      </c>
      <c r="I6" s="5" t="n">
        <f aca="false">COUNTIFS('تفاصيل الفرص'!$D$2:$D$282,$A6,'تفاصيل الفرص'!$U$2:$U$282,"نعم")</f>
        <v>0</v>
      </c>
      <c r="J6" s="5" t="n">
        <f aca="false">COUNTIFS('تفاصيل الفرص'!$D$2:$D$282,$A6,'تفاصيل الفرص'!$W$2:$W$282,"نعم")</f>
        <v>0</v>
      </c>
      <c r="K6" s="6" t="n">
        <f aca="false">IF($B6=0,0,SUM(C6:J6)/($B6*8))</f>
        <v>0</v>
      </c>
      <c r="L6" s="5" t="n">
        <f aca="false">COUNTIF('سجل الأكشنات'!$D$2:$D$539,$A6)</f>
        <v>1</v>
      </c>
      <c r="M6" s="5" t="n">
        <f aca="false">COUNTIFS('سجل الأكشنات'!$D$2:$D$539,$A6,'سجل الأكشنات'!$H$2:$H$539,"تفصيلي")</f>
        <v>1</v>
      </c>
      <c r="N6" s="5" t="n">
        <f aca="false">L6-M6</f>
        <v>0</v>
      </c>
      <c r="O6" s="6" t="n">
        <f aca="false">IF($L6=0,0,M6/L6)</f>
        <v>1</v>
      </c>
      <c r="P6" s="4" t="s">
        <v>21</v>
      </c>
    </row>
    <row r="7" customFormat="false" ht="45.75" hidden="false" customHeight="true" outlineLevel="0" collapsed="false">
      <c r="A7" s="4" t="s">
        <v>22</v>
      </c>
      <c r="B7" s="5" t="n">
        <f aca="false">COUNTIF('تفاصيل الفرص'!$D$2:$D$282,$A7)</f>
        <v>41</v>
      </c>
      <c r="C7" s="5" t="n">
        <f aca="false">COUNTIFS('تفاصيل الفرص'!$D$2:$D$282,$A7,'تفاصيل الفرص'!$I$2:$I$282,"نعم")</f>
        <v>41</v>
      </c>
      <c r="D7" s="5" t="n">
        <f aca="false">COUNTIFS('تفاصيل الفرص'!$D$2:$D$282,$A7,'تفاصيل الفرص'!$K$2:$K$282,"نعم")</f>
        <v>3</v>
      </c>
      <c r="E7" s="5" t="n">
        <f aca="false">COUNTIFS('تفاصيل الفرص'!$D$2:$D$282,$A7,'تفاصيل الفرص'!$M$2:$M$282,"نعم")</f>
        <v>20</v>
      </c>
      <c r="F7" s="5" t="n">
        <f aca="false">COUNTIFS('تفاصيل الفرص'!$D$2:$D$282,$A7,'تفاصيل الفرص'!$O$2:$O$282,"نعم")</f>
        <v>24</v>
      </c>
      <c r="G7" s="5" t="n">
        <f aca="false">COUNTIFS('تفاصيل الفرص'!$D$2:$D$282,$A7,'تفاصيل الفرص'!$Q$2:$Q$282,"نعم")</f>
        <v>39</v>
      </c>
      <c r="H7" s="5" t="n">
        <f aca="false">COUNTIFS('تفاصيل الفرص'!$D$2:$D$282,$A7,'تفاصيل الفرص'!$S$2:$S$282,"نعم")</f>
        <v>0</v>
      </c>
      <c r="I7" s="5" t="n">
        <f aca="false">COUNTIFS('تفاصيل الفرص'!$D$2:$D$282,$A7,'تفاصيل الفرص'!$U$2:$U$282,"نعم")</f>
        <v>11</v>
      </c>
      <c r="J7" s="5" t="n">
        <f aca="false">COUNTIFS('تفاصيل الفرص'!$D$2:$D$282,$A7,'تفاصيل الفرص'!$W$2:$W$282,"نعم")</f>
        <v>8</v>
      </c>
      <c r="K7" s="6" t="n">
        <f aca="false">IF($B7=0,0,SUM(C7:J7)/($B7*8))</f>
        <v>0.445121951219512</v>
      </c>
      <c r="L7" s="5" t="n">
        <f aca="false">COUNTIF('سجل الأكشنات'!$D$2:$D$539,$A7)</f>
        <v>62</v>
      </c>
      <c r="M7" s="5" t="n">
        <f aca="false">COUNTIFS('سجل الأكشنات'!$D$2:$D$539,$A7,'سجل الأكشنات'!$H$2:$H$539,"تفصيلي")</f>
        <v>43</v>
      </c>
      <c r="N7" s="5" t="n">
        <f aca="false">L7-M7</f>
        <v>19</v>
      </c>
      <c r="O7" s="6" t="n">
        <f aca="false">IF($L7=0,0,M7/L7)</f>
        <v>0.693548387096774</v>
      </c>
      <c r="P7" s="4" t="s">
        <v>23</v>
      </c>
    </row>
    <row r="8" customFormat="false" ht="45.75" hidden="false" customHeight="true" outlineLevel="0" collapsed="false">
      <c r="A8" s="4" t="s">
        <v>24</v>
      </c>
      <c r="B8" s="5" t="n">
        <f aca="false">COUNTIF('تفاصيل الفرص'!$D$2:$D$282,$A8)</f>
        <v>16</v>
      </c>
      <c r="C8" s="5" t="n">
        <f aca="false">COUNTIFS('تفاصيل الفرص'!$D$2:$D$282,$A8,'تفاصيل الفرص'!$I$2:$I$282,"نعم")</f>
        <v>3</v>
      </c>
      <c r="D8" s="5" t="n">
        <f aca="false">COUNTIFS('تفاصيل الفرص'!$D$2:$D$282,$A8,'تفاصيل الفرص'!$K$2:$K$282,"نعم")</f>
        <v>4</v>
      </c>
      <c r="E8" s="5" t="n">
        <f aca="false">COUNTIFS('تفاصيل الفرص'!$D$2:$D$282,$A8,'تفاصيل الفرص'!$M$2:$M$282,"نعم")</f>
        <v>11</v>
      </c>
      <c r="F8" s="5" t="n">
        <f aca="false">COUNTIFS('تفاصيل الفرص'!$D$2:$D$282,$A8,'تفاصيل الفرص'!$O$2:$O$282,"نعم")</f>
        <v>5</v>
      </c>
      <c r="G8" s="5" t="n">
        <f aca="false">COUNTIFS('تفاصيل الفرص'!$D$2:$D$282,$A8,'تفاصيل الفرص'!$Q$2:$Q$282,"نعم")</f>
        <v>7</v>
      </c>
      <c r="H8" s="5" t="n">
        <f aca="false">COUNTIFS('تفاصيل الفرص'!$D$2:$D$282,$A8,'تفاصيل الفرص'!$S$2:$S$282,"نعم")</f>
        <v>1</v>
      </c>
      <c r="I8" s="5" t="n">
        <f aca="false">COUNTIFS('تفاصيل الفرص'!$D$2:$D$282,$A8,'تفاصيل الفرص'!$U$2:$U$282,"نعم")</f>
        <v>5</v>
      </c>
      <c r="J8" s="5" t="n">
        <f aca="false">COUNTIFS('تفاصيل الفرص'!$D$2:$D$282,$A8,'تفاصيل الفرص'!$W$2:$W$282,"نعم")</f>
        <v>0</v>
      </c>
      <c r="K8" s="6" t="n">
        <f aca="false">IF($B8=0,0,SUM(C8:J8)/($B8*8))</f>
        <v>0.28125</v>
      </c>
      <c r="L8" s="5" t="n">
        <f aca="false">COUNTIF('سجل الأكشنات'!$D$2:$D$539,$A8)</f>
        <v>55</v>
      </c>
      <c r="M8" s="5" t="n">
        <f aca="false">COUNTIFS('سجل الأكشنات'!$D$2:$D$539,$A8,'سجل الأكشنات'!$H$2:$H$539,"تفصيلي")</f>
        <v>51</v>
      </c>
      <c r="N8" s="5" t="n">
        <f aca="false">L8-M8</f>
        <v>4</v>
      </c>
      <c r="O8" s="6" t="n">
        <f aca="false">IF($L8=0,0,M8/L8)</f>
        <v>0.927272727272727</v>
      </c>
      <c r="P8" s="4" t="s">
        <v>25</v>
      </c>
    </row>
    <row r="9" customFormat="false" ht="45.75" hidden="false" customHeight="true" outlineLevel="0" collapsed="false">
      <c r="A9" s="4" t="s">
        <v>26</v>
      </c>
      <c r="B9" s="5" t="n">
        <f aca="false">COUNTIF('تفاصيل الفرص'!$D$2:$D$282,$A9)</f>
        <v>15</v>
      </c>
      <c r="C9" s="5" t="n">
        <f aca="false">COUNTIFS('تفاصيل الفرص'!$D$2:$D$282,$A9,'تفاصيل الفرص'!$I$2:$I$282,"نعم")</f>
        <v>15</v>
      </c>
      <c r="D9" s="5" t="n">
        <f aca="false">COUNTIFS('تفاصيل الفرص'!$D$2:$D$282,$A9,'تفاصيل الفرص'!$K$2:$K$282,"نعم")</f>
        <v>7</v>
      </c>
      <c r="E9" s="5" t="n">
        <f aca="false">COUNTIFS('تفاصيل الفرص'!$D$2:$D$282,$A9,'تفاصيل الفرص'!$M$2:$M$282,"نعم")</f>
        <v>6</v>
      </c>
      <c r="F9" s="5" t="n">
        <f aca="false">COUNTIFS('تفاصيل الفرص'!$D$2:$D$282,$A9,'تفاصيل الفرص'!$O$2:$O$282,"نعم")</f>
        <v>4</v>
      </c>
      <c r="G9" s="5" t="n">
        <f aca="false">COUNTIFS('تفاصيل الفرص'!$D$2:$D$282,$A9,'تفاصيل الفرص'!$Q$2:$Q$282,"نعم")</f>
        <v>13</v>
      </c>
      <c r="H9" s="5" t="n">
        <f aca="false">COUNTIFS('تفاصيل الفرص'!$D$2:$D$282,$A9,'تفاصيل الفرص'!$S$2:$S$282,"نعم")</f>
        <v>8</v>
      </c>
      <c r="I9" s="5" t="n">
        <f aca="false">COUNTIFS('تفاصيل الفرص'!$D$2:$D$282,$A9,'تفاصيل الفرص'!$U$2:$U$282,"نعم")</f>
        <v>15</v>
      </c>
      <c r="J9" s="5" t="n">
        <f aca="false">COUNTIFS('تفاصيل الفرص'!$D$2:$D$282,$A9,'تفاصيل الفرص'!$W$2:$W$282,"نعم")</f>
        <v>6</v>
      </c>
      <c r="K9" s="6" t="n">
        <f aca="false">IF($B9=0,0,SUM(C9:J9)/($B9*8))</f>
        <v>0.616666666666667</v>
      </c>
      <c r="L9" s="5" t="n">
        <f aca="false">COUNTIF('سجل الأكشنات'!$D$2:$D$539,$A9)</f>
        <v>84</v>
      </c>
      <c r="M9" s="5" t="n">
        <f aca="false">COUNTIFS('سجل الأكشنات'!$D$2:$D$539,$A9,'سجل الأكشنات'!$H$2:$H$539,"تفصيلي")</f>
        <v>68</v>
      </c>
      <c r="N9" s="5" t="n">
        <f aca="false">L9-M9</f>
        <v>16</v>
      </c>
      <c r="O9" s="6" t="n">
        <f aca="false">IF($L9=0,0,M9/L9)</f>
        <v>0.80952380952381</v>
      </c>
      <c r="P9" s="4" t="s">
        <v>27</v>
      </c>
    </row>
    <row r="10" customFormat="false" ht="45.75" hidden="false" customHeight="true" outlineLevel="0" collapsed="false">
      <c r="A10" s="4" t="s">
        <v>28</v>
      </c>
      <c r="B10" s="5" t="n">
        <f aca="false">COUNTIF('تفاصيل الفرص'!$D$2:$D$282,$A10)</f>
        <v>135</v>
      </c>
      <c r="C10" s="5" t="n">
        <f aca="false">COUNTIFS('تفاصيل الفرص'!$D$2:$D$282,$A10,'تفاصيل الفرص'!$I$2:$I$282,"نعم")</f>
        <v>134</v>
      </c>
      <c r="D10" s="5" t="n">
        <f aca="false">COUNTIFS('تفاصيل الفرص'!$D$2:$D$282,$A10,'تفاصيل الفرص'!$K$2:$K$282,"نعم")</f>
        <v>1</v>
      </c>
      <c r="E10" s="5" t="n">
        <f aca="false">COUNTIFS('تفاصيل الفرص'!$D$2:$D$282,$A10,'تفاصيل الفرص'!$M$2:$M$282,"نعم")</f>
        <v>106</v>
      </c>
      <c r="F10" s="5" t="n">
        <f aca="false">COUNTIFS('تفاصيل الفرص'!$D$2:$D$282,$A10,'تفاصيل الفرص'!$O$2:$O$282,"نعم")</f>
        <v>85</v>
      </c>
      <c r="G10" s="5" t="n">
        <f aca="false">COUNTIFS('تفاصيل الفرص'!$D$2:$D$282,$A10,'تفاصيل الفرص'!$Q$2:$Q$282,"نعم")</f>
        <v>125</v>
      </c>
      <c r="H10" s="5" t="n">
        <f aca="false">COUNTIFS('تفاصيل الفرص'!$D$2:$D$282,$A10,'تفاصيل الفرص'!$S$2:$S$282,"نعم")</f>
        <v>0</v>
      </c>
      <c r="I10" s="5" t="n">
        <f aca="false">COUNTIFS('تفاصيل الفرص'!$D$2:$D$282,$A10,'تفاصيل الفرص'!$U$2:$U$282,"نعم")</f>
        <v>34</v>
      </c>
      <c r="J10" s="5" t="n">
        <f aca="false">COUNTIFS('تفاصيل الفرص'!$D$2:$D$282,$A10,'تفاصيل الفرص'!$W$2:$W$282,"نعم")</f>
        <v>0</v>
      </c>
      <c r="K10" s="6" t="n">
        <f aca="false">IF($B10=0,0,SUM(C10:J10)/($B10*8))</f>
        <v>0.449074074074074</v>
      </c>
      <c r="L10" s="5" t="n">
        <f aca="false">COUNTIF('سجل الأكشنات'!$D$2:$D$539,$A10)</f>
        <v>134</v>
      </c>
      <c r="M10" s="5" t="n">
        <f aca="false">COUNTIFS('سجل الأكشنات'!$D$2:$D$539,$A10,'سجل الأكشنات'!$H$2:$H$539,"تفصيلي")</f>
        <v>115</v>
      </c>
      <c r="N10" s="5" t="n">
        <f aca="false">L10-M10</f>
        <v>19</v>
      </c>
      <c r="O10" s="6" t="n">
        <f aca="false">IF($L10=0,0,M10/L10)</f>
        <v>0.858208955223881</v>
      </c>
      <c r="P10" s="4" t="s">
        <v>29</v>
      </c>
    </row>
    <row r="11" customFormat="false" ht="45.75" hidden="false" customHeight="true" outlineLevel="0" collapsed="false">
      <c r="A11" s="4" t="s">
        <v>30</v>
      </c>
      <c r="B11" s="5" t="n">
        <f aca="false">COUNTIF('تفاصيل الفرص'!$D$2:$D$282,$A11)</f>
        <v>36</v>
      </c>
      <c r="C11" s="5" t="n">
        <f aca="false">COUNTIFS('تفاصيل الفرص'!$D$2:$D$282,$A11,'تفاصيل الفرص'!$I$2:$I$282,"نعم")</f>
        <v>36</v>
      </c>
      <c r="D11" s="5" t="n">
        <f aca="false">COUNTIFS('تفاصيل الفرص'!$D$2:$D$282,$A11,'تفاصيل الفرص'!$K$2:$K$282,"نعم")</f>
        <v>6</v>
      </c>
      <c r="E11" s="5" t="n">
        <f aca="false">COUNTIFS('تفاصيل الفرص'!$D$2:$D$282,$A11,'تفاصيل الفرص'!$M$2:$M$282,"نعم")</f>
        <v>17</v>
      </c>
      <c r="F11" s="5" t="n">
        <f aca="false">COUNTIFS('تفاصيل الفرص'!$D$2:$D$282,$A11,'تفاصيل الفرص'!$O$2:$O$282,"نعم")</f>
        <v>18</v>
      </c>
      <c r="G11" s="5" t="n">
        <f aca="false">COUNTIFS('تفاصيل الفرص'!$D$2:$D$282,$A11,'تفاصيل الفرص'!$Q$2:$Q$282,"نعم")</f>
        <v>17</v>
      </c>
      <c r="H11" s="5" t="n">
        <f aca="false">COUNTIFS('تفاصيل الفرص'!$D$2:$D$282,$A11,'تفاصيل الفرص'!$S$2:$S$282,"نعم")</f>
        <v>0</v>
      </c>
      <c r="I11" s="5" t="n">
        <f aca="false">COUNTIFS('تفاصيل الفرص'!$D$2:$D$282,$A11,'تفاصيل الفرص'!$U$2:$U$282,"نعم")</f>
        <v>16</v>
      </c>
      <c r="J11" s="5" t="n">
        <f aca="false">COUNTIFS('تفاصيل الفرص'!$D$2:$D$282,$A11,'تفاصيل الفرص'!$W$2:$W$282,"نعم")</f>
        <v>1</v>
      </c>
      <c r="K11" s="6" t="n">
        <f aca="false">IF($B11=0,0,SUM(C11:J11)/($B11*8))</f>
        <v>0.385416666666667</v>
      </c>
      <c r="L11" s="5" t="n">
        <f aca="false">COUNTIF('سجل الأكشنات'!$D$2:$D$539,$A11)</f>
        <v>93</v>
      </c>
      <c r="M11" s="5" t="n">
        <f aca="false">COUNTIFS('سجل الأكشنات'!$D$2:$D$539,$A11,'سجل الأكشنات'!$H$2:$H$539,"تفصيلي")</f>
        <v>69</v>
      </c>
      <c r="N11" s="5" t="n">
        <f aca="false">L11-M11</f>
        <v>24</v>
      </c>
      <c r="O11" s="6" t="n">
        <f aca="false">IF($L11=0,0,M11/L11)</f>
        <v>0.741935483870968</v>
      </c>
      <c r="P11" s="4" t="s">
        <v>31</v>
      </c>
    </row>
    <row r="12" customFormat="false" ht="45.75" hidden="false" customHeight="true" outlineLevel="0" collapsed="false">
      <c r="A12" s="4" t="s">
        <v>32</v>
      </c>
      <c r="B12" s="5" t="n">
        <f aca="false">COUNTIF('تفاصيل الفرص'!$D$2:$D$282,$A12)</f>
        <v>26</v>
      </c>
      <c r="C12" s="5" t="n">
        <f aca="false">COUNTIFS('تفاصيل الفرص'!$D$2:$D$282,$A12,'تفاصيل الفرص'!$I$2:$I$282,"نعم")</f>
        <v>23</v>
      </c>
      <c r="D12" s="5" t="n">
        <f aca="false">COUNTIFS('تفاصيل الفرص'!$D$2:$D$282,$A12,'تفاصيل الفرص'!$K$2:$K$282,"نعم")</f>
        <v>1</v>
      </c>
      <c r="E12" s="5" t="n">
        <f aca="false">COUNTIFS('تفاصيل الفرص'!$D$2:$D$282,$A12,'تفاصيل الفرص'!$M$2:$M$282,"نعم")</f>
        <v>23</v>
      </c>
      <c r="F12" s="5" t="n">
        <f aca="false">COUNTIFS('تفاصيل الفرص'!$D$2:$D$282,$A12,'تفاصيل الفرص'!$O$2:$O$282,"نعم")</f>
        <v>24</v>
      </c>
      <c r="G12" s="5" t="n">
        <f aca="false">COUNTIFS('تفاصيل الفرص'!$D$2:$D$282,$A12,'تفاصيل الفرص'!$Q$2:$Q$282,"نعم")</f>
        <v>26</v>
      </c>
      <c r="H12" s="5" t="n">
        <f aca="false">COUNTIFS('تفاصيل الفرص'!$D$2:$D$282,$A12,'تفاصيل الفرص'!$S$2:$S$282,"نعم")</f>
        <v>0</v>
      </c>
      <c r="I12" s="5" t="n">
        <f aca="false">COUNTIFS('تفاصيل الفرص'!$D$2:$D$282,$A12,'تفاصيل الفرص'!$U$2:$U$282,"نعم")</f>
        <v>21</v>
      </c>
      <c r="J12" s="5" t="n">
        <f aca="false">COUNTIFS('تفاصيل الفرص'!$D$2:$D$282,$A12,'تفاصيل الفرص'!$W$2:$W$282,"نعم")</f>
        <v>3</v>
      </c>
      <c r="K12" s="6" t="n">
        <f aca="false">IF($B12=0,0,SUM(C12:J12)/($B12*8))</f>
        <v>0.581730769230769</v>
      </c>
      <c r="L12" s="5" t="n">
        <f aca="false">COUNTIF('سجل الأكشنات'!$D$2:$D$539,$A12)</f>
        <v>76</v>
      </c>
      <c r="M12" s="5" t="n">
        <f aca="false">COUNTIFS('سجل الأكشنات'!$D$2:$D$539,$A12,'سجل الأكشنات'!$H$2:$H$539,"تفصيلي")</f>
        <v>73</v>
      </c>
      <c r="N12" s="5" t="n">
        <f aca="false">L12-M12</f>
        <v>3</v>
      </c>
      <c r="O12" s="6" t="n">
        <f aca="false">IF($L12=0,0,M12/L12)</f>
        <v>0.960526315789474</v>
      </c>
      <c r="P12" s="4" t="s">
        <v>33</v>
      </c>
    </row>
    <row r="13" customFormat="false" ht="15" hidden="false" customHeight="false" outlineLevel="0" collapsed="false">
      <c r="A13" s="7" t="s">
        <v>34</v>
      </c>
      <c r="B13" s="8" t="n">
        <f aca="false">SUM(B5:B12)</f>
        <v>281</v>
      </c>
      <c r="C13" s="8" t="n">
        <f aca="false">SUM(C5:C12)</f>
        <v>263</v>
      </c>
      <c r="D13" s="8" t="n">
        <f aca="false">SUM(D5:D12)</f>
        <v>25</v>
      </c>
      <c r="E13" s="8" t="n">
        <f aca="false">SUM(E5:E12)</f>
        <v>190</v>
      </c>
      <c r="F13" s="8" t="n">
        <f aca="false">SUM(F5:F12)</f>
        <v>168</v>
      </c>
      <c r="G13" s="8" t="n">
        <f aca="false">SUM(G5:G12)</f>
        <v>238</v>
      </c>
      <c r="H13" s="8" t="n">
        <f aca="false">SUM(H5:H12)</f>
        <v>9</v>
      </c>
      <c r="I13" s="8" t="n">
        <f aca="false">SUM(I5:I12)</f>
        <v>102</v>
      </c>
      <c r="J13" s="8" t="n">
        <f aca="false">SUM(J5:J12)</f>
        <v>23</v>
      </c>
      <c r="K13" s="9" t="n">
        <f aca="false">IF($B13=0,0,SUM(C13:J13)/($B13*8))</f>
        <v>0.452846975088968</v>
      </c>
      <c r="L13" s="8" t="n">
        <f aca="false">SUM(L5:L12)</f>
        <v>538</v>
      </c>
      <c r="M13" s="8" t="n">
        <f aca="false">SUM(M5:M12)</f>
        <v>451</v>
      </c>
      <c r="N13" s="8" t="n">
        <f aca="false">SUM(N5:N12)</f>
        <v>87</v>
      </c>
      <c r="O13" s="9" t="n">
        <f aca="false">IF($L13=0,0,M13/L13)</f>
        <v>0.838289962825279</v>
      </c>
      <c r="P13" s="7"/>
    </row>
    <row r="15" customFormat="false" ht="15" hidden="false" customHeight="false" outlineLevel="0" collapsed="false">
      <c r="A15" s="10" t="s">
        <v>35</v>
      </c>
    </row>
    <row r="16" customFormat="false" ht="15" hidden="false" customHeight="false" outlineLevel="0" collapsed="false">
      <c r="A16" s="11" t="s">
        <v>36</v>
      </c>
    </row>
    <row r="17" customFormat="false" ht="15" hidden="false" customHeight="false" outlineLevel="0" collapsed="false">
      <c r="A17" s="11" t="s">
        <v>37</v>
      </c>
    </row>
    <row r="18" customFormat="false" ht="15" hidden="false" customHeight="false" outlineLevel="0" collapsed="false">
      <c r="A18" s="11" t="s">
        <v>38</v>
      </c>
    </row>
    <row r="19" customFormat="false" ht="15" hidden="false" customHeight="false" outlineLevel="0" collapsed="false">
      <c r="A19" s="11" t="s">
        <v>39</v>
      </c>
    </row>
    <row r="20" customFormat="false" ht="15" hidden="false" customHeight="false" outlineLevel="0" collapsed="false">
      <c r="A20" s="11" t="s">
        <v>40</v>
      </c>
    </row>
    <row r="21" customFormat="false" ht="15" hidden="false" customHeight="false" outlineLevel="0" collapsed="false">
      <c r="A21" s="11" t="s">
        <v>41</v>
      </c>
    </row>
    <row r="22" customFormat="false" ht="15" hidden="false" customHeight="false" outlineLevel="0" collapsed="false">
      <c r="A22" s="11" t="s">
        <v>42</v>
      </c>
    </row>
  </sheetData>
  <mergeCells count="2">
    <mergeCell ref="A1:N1"/>
    <mergeCell ref="A2:N2"/>
  </mergeCells>
  <conditionalFormatting sqref="K5:K12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2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8"/>
  </cols>
  <sheetData>
    <row r="1" customFormat="false" ht="17.15" hidden="false" customHeight="false" outlineLevel="0" collapsed="false">
      <c r="A1" s="1" t="s">
        <v>43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44</v>
      </c>
      <c r="B3" s="3" t="s">
        <v>45</v>
      </c>
      <c r="C3" s="3" t="s">
        <v>2</v>
      </c>
      <c r="D3" s="3" t="s">
        <v>3</v>
      </c>
      <c r="E3" s="3" t="s">
        <v>46</v>
      </c>
      <c r="F3" s="3" t="s">
        <v>47</v>
      </c>
      <c r="G3" s="3" t="s">
        <v>14</v>
      </c>
      <c r="H3" s="3" t="s">
        <v>15</v>
      </c>
      <c r="I3" s="3" t="s">
        <v>48</v>
      </c>
    </row>
    <row r="4" customFormat="false" ht="15" hidden="false" customHeight="false" outlineLevel="0" collapsed="false">
      <c r="A4" s="5" t="s">
        <v>49</v>
      </c>
      <c r="B4" s="5" t="s">
        <v>50</v>
      </c>
      <c r="C4" s="4" t="s">
        <v>18</v>
      </c>
      <c r="D4" s="5" t="n">
        <f aca="false">COUNTIFS('تفاصيل الفرص'!$B$2:$B$282,$B4,'تفاصيل الفرص'!$D$2:$D$282,$C4)</f>
        <v>0</v>
      </c>
      <c r="E4" s="5" t="n">
        <f aca="false">COUNTIFS('تفاصيل الفرص'!$B$2:$B$282,$B4,'تفاصيل الفرص'!$D$2:$D$282,$C4,'تفاصيل الفرص'!$X$2:$X$282,0)</f>
        <v>0</v>
      </c>
      <c r="F4" s="5" t="n">
        <f aca="false">COUNTIFS('سجل الأكشنات'!$B$2:$B$539,$B4,'سجل الأكشنات'!$D$2:$D$539,$C4)</f>
        <v>0</v>
      </c>
      <c r="G4" s="5" t="n">
        <f aca="false">COUNTIFS('سجل الأكشنات'!$B$2:$B$539,$B4,'سجل الأكشنات'!$D$2:$D$539,$C4,'سجل الأكشنات'!$H$2:$H$539,"تفصيلي")</f>
        <v>0</v>
      </c>
      <c r="H4" s="5" t="n">
        <f aca="false">F4-G4</f>
        <v>0</v>
      </c>
      <c r="I4" s="5" t="str">
        <f aca="false">IF($B4&gt;"2026-08-29","لا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49</v>
      </c>
      <c r="B5" s="5" t="s">
        <v>50</v>
      </c>
      <c r="C5" s="4" t="s">
        <v>20</v>
      </c>
      <c r="D5" s="5" t="n">
        <f aca="false">COUNTIFS('تفاصيل الفرص'!$B$2:$B$282,$B5,'تفاصيل الفرص'!$D$2:$D$282,$C5)</f>
        <v>0</v>
      </c>
      <c r="E5" s="5" t="n">
        <f aca="false">COUNTIFS('تفاصيل الفرص'!$B$2:$B$282,$B5,'تفاصيل الفرص'!$D$2:$D$282,$C5,'تفاصيل الفرص'!$X$2:$X$282,0)</f>
        <v>0</v>
      </c>
      <c r="F5" s="5" t="n">
        <f aca="false">COUNTIFS('سجل الأكشنات'!$B$2:$B$539,$B5,'سجل الأكشنات'!$D$2:$D$539,$C5)</f>
        <v>0</v>
      </c>
      <c r="G5" s="5" t="n">
        <f aca="false">COUNTIFS('سجل الأكشنات'!$B$2:$B$539,$B5,'سجل الأكشنات'!$D$2:$D$539,$C5,'سجل الأكشنات'!$H$2:$H$539,"تفصيلي")</f>
        <v>0</v>
      </c>
      <c r="H5" s="5" t="n">
        <f aca="false">F5-G5</f>
        <v>0</v>
      </c>
      <c r="I5" s="5" t="str">
        <f aca="false">IF($B5&gt;"2026-08-29","لا توجد بيانات بعد",IF(AND(D5=0,F5=0),"بدون نشاط","نشِط"))</f>
        <v>بدون نشاط</v>
      </c>
    </row>
    <row r="6" customFormat="false" ht="15" hidden="false" customHeight="false" outlineLevel="0" collapsed="false">
      <c r="A6" s="5" t="s">
        <v>49</v>
      </c>
      <c r="B6" s="5" t="s">
        <v>50</v>
      </c>
      <c r="C6" s="4" t="s">
        <v>22</v>
      </c>
      <c r="D6" s="5" t="n">
        <f aca="false">COUNTIFS('تفاصيل الفرص'!$B$2:$B$282,$B6,'تفاصيل الفرص'!$D$2:$D$282,$C6)</f>
        <v>1</v>
      </c>
      <c r="E6" s="5" t="n">
        <f aca="false">COUNTIFS('تفاصيل الفرص'!$B$2:$B$282,$B6,'تفاصيل الفرص'!$D$2:$D$282,$C6,'تفاصيل الفرص'!$X$2:$X$282,0)</f>
        <v>0</v>
      </c>
      <c r="F6" s="5" t="n">
        <f aca="false">COUNTIFS('سجل الأكشنات'!$B$2:$B$539,$B6,'سجل الأكشنات'!$D$2:$D$539,$C6)</f>
        <v>3</v>
      </c>
      <c r="G6" s="5" t="n">
        <f aca="false">COUNTIFS('سجل الأكشنات'!$B$2:$B$539,$B6,'سجل الأكشنات'!$D$2:$D$539,$C6,'سجل الأكشنات'!$H$2:$H$539,"تفصيلي")</f>
        <v>1</v>
      </c>
      <c r="H6" s="5" t="n">
        <f aca="false">F6-G6</f>
        <v>2</v>
      </c>
      <c r="I6" s="5" t="str">
        <f aca="false">IF($B6&gt;"2026-08-29","لا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49</v>
      </c>
      <c r="B7" s="5" t="s">
        <v>50</v>
      </c>
      <c r="C7" s="4" t="s">
        <v>24</v>
      </c>
      <c r="D7" s="5" t="n">
        <f aca="false">COUNTIFS('تفاصيل الفرص'!$B$2:$B$282,$B7,'تفاصيل الفرص'!$D$2:$D$282,$C7)</f>
        <v>0</v>
      </c>
      <c r="E7" s="5" t="n">
        <f aca="false">COUNTIFS('تفاصيل الفرص'!$B$2:$B$282,$B7,'تفاصيل الفرص'!$D$2:$D$282,$C7,'تفاصيل الفرص'!$X$2:$X$282,0)</f>
        <v>0</v>
      </c>
      <c r="F7" s="5" t="n">
        <f aca="false">COUNTIFS('سجل الأكشنات'!$B$2:$B$539,$B7,'سجل الأكشنات'!$D$2:$D$539,$C7)</f>
        <v>1</v>
      </c>
      <c r="G7" s="5" t="n">
        <f aca="false">COUNTIFS('سجل الأكشنات'!$B$2:$B$539,$B7,'سجل الأكشنات'!$D$2:$D$539,$C7,'سجل الأكشنات'!$H$2:$H$539,"تفصيلي")</f>
        <v>1</v>
      </c>
      <c r="H7" s="5" t="n">
        <f aca="false">F7-G7</f>
        <v>0</v>
      </c>
      <c r="I7" s="5" t="str">
        <f aca="false">IF($B7&gt;"2026-08-29","لا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49</v>
      </c>
      <c r="B8" s="5" t="s">
        <v>50</v>
      </c>
      <c r="C8" s="4" t="s">
        <v>26</v>
      </c>
      <c r="D8" s="5" t="n">
        <f aca="false">COUNTIFS('تفاصيل الفرص'!$B$2:$B$282,$B8,'تفاصيل الفرص'!$D$2:$D$282,$C8)</f>
        <v>0</v>
      </c>
      <c r="E8" s="5" t="n">
        <f aca="false">COUNTIFS('تفاصيل الفرص'!$B$2:$B$282,$B8,'تفاصيل الفرص'!$D$2:$D$282,$C8,'تفاصيل الفرص'!$X$2:$X$282,0)</f>
        <v>0</v>
      </c>
      <c r="F8" s="5" t="n">
        <f aca="false">COUNTIFS('سجل الأكشنات'!$B$2:$B$539,$B8,'سجل الأكشنات'!$D$2:$D$539,$C8)</f>
        <v>0</v>
      </c>
      <c r="G8" s="5" t="n">
        <f aca="false">COUNTIFS('سجل الأكشنات'!$B$2:$B$539,$B8,'سجل الأكشنات'!$D$2:$D$539,$C8,'سجل الأكشنات'!$H$2:$H$539,"تفصيلي")</f>
        <v>0</v>
      </c>
      <c r="H8" s="5" t="n">
        <f aca="false">F8-G8</f>
        <v>0</v>
      </c>
      <c r="I8" s="5" t="str">
        <f aca="false">IF($B8&gt;"2026-08-29","لا توجد بيانات بعد",IF(AND(D8=0,F8=0),"بدون نشاط","نشِط"))</f>
        <v>بدون نشاط</v>
      </c>
    </row>
    <row r="9" customFormat="false" ht="15" hidden="false" customHeight="false" outlineLevel="0" collapsed="false">
      <c r="A9" s="5" t="s">
        <v>49</v>
      </c>
      <c r="B9" s="5" t="s">
        <v>50</v>
      </c>
      <c r="C9" s="4" t="s">
        <v>28</v>
      </c>
      <c r="D9" s="5" t="n">
        <f aca="false">COUNTIFS('تفاصيل الفرص'!$B$2:$B$282,$B9,'تفاصيل الفرص'!$D$2:$D$282,$C9)</f>
        <v>6</v>
      </c>
      <c r="E9" s="5" t="n">
        <f aca="false">COUNTIFS('تفاصيل الفرص'!$B$2:$B$282,$B9,'تفاصيل الفرص'!$D$2:$D$282,$C9,'تفاصيل الفرص'!$X$2:$X$282,0)</f>
        <v>0</v>
      </c>
      <c r="F9" s="5" t="n">
        <f aca="false">COUNTIFS('سجل الأكشنات'!$B$2:$B$539,$B9,'سجل الأكشنات'!$D$2:$D$539,$C9)</f>
        <v>5</v>
      </c>
      <c r="G9" s="5" t="n">
        <f aca="false">COUNTIFS('سجل الأكشنات'!$B$2:$B$539,$B9,'سجل الأكشنات'!$D$2:$D$539,$C9,'سجل الأكشنات'!$H$2:$H$539,"تفصيلي")</f>
        <v>4</v>
      </c>
      <c r="H9" s="5" t="n">
        <f aca="false">F9-G9</f>
        <v>1</v>
      </c>
      <c r="I9" s="5" t="str">
        <f aca="false">IF($B9&gt;"2026-08-29","لا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49</v>
      </c>
      <c r="B10" s="5" t="s">
        <v>50</v>
      </c>
      <c r="C10" s="4" t="s">
        <v>30</v>
      </c>
      <c r="D10" s="5" t="n">
        <f aca="false">COUNTIFS('تفاصيل الفرص'!$B$2:$B$282,$B10,'تفاصيل الفرص'!$D$2:$D$282,$C10)</f>
        <v>0</v>
      </c>
      <c r="E10" s="5" t="n">
        <f aca="false">COUNTIFS('تفاصيل الفرص'!$B$2:$B$282,$B10,'تفاصيل الفرص'!$D$2:$D$282,$C10,'تفاصيل الفرص'!$X$2:$X$282,0)</f>
        <v>0</v>
      </c>
      <c r="F10" s="5" t="n">
        <f aca="false">COUNTIFS('سجل الأكشنات'!$B$2:$B$539,$B10,'سجل الأكشنات'!$D$2:$D$539,$C10)</f>
        <v>2</v>
      </c>
      <c r="G10" s="5" t="n">
        <f aca="false">COUNTIFS('سجل الأكشنات'!$B$2:$B$539,$B10,'سجل الأكشنات'!$D$2:$D$539,$C10,'سجل الأكشنات'!$H$2:$H$539,"تفصيلي")</f>
        <v>0</v>
      </c>
      <c r="H10" s="5" t="n">
        <f aca="false">F10-G10</f>
        <v>2</v>
      </c>
      <c r="I10" s="5" t="str">
        <f aca="false">IF($B10&gt;"2026-08-29","لا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49</v>
      </c>
      <c r="B11" s="5" t="s">
        <v>50</v>
      </c>
      <c r="C11" s="4" t="s">
        <v>32</v>
      </c>
      <c r="D11" s="5" t="n">
        <f aca="false">COUNTIFS('تفاصيل الفرص'!$B$2:$B$282,$B11,'تفاصيل الفرص'!$D$2:$D$282,$C11)</f>
        <v>0</v>
      </c>
      <c r="E11" s="5" t="n">
        <f aca="false">COUNTIFS('تفاصيل الفرص'!$B$2:$B$282,$B11,'تفاصيل الفرص'!$D$2:$D$282,$C11,'تفاصيل الفرص'!$X$2:$X$282,0)</f>
        <v>0</v>
      </c>
      <c r="F11" s="5" t="n">
        <f aca="false">COUNTIFS('سجل الأكشنات'!$B$2:$B$539,$B11,'سجل الأكشنات'!$D$2:$D$539,$C11)</f>
        <v>0</v>
      </c>
      <c r="G11" s="5" t="n">
        <f aca="false">COUNTIFS('سجل الأكشنات'!$B$2:$B$539,$B11,'سجل الأكشنات'!$D$2:$D$539,$C11,'سجل الأكشنات'!$H$2:$H$539,"تفصيلي")</f>
        <v>0</v>
      </c>
      <c r="H11" s="5" t="n">
        <f aca="false">F11-G11</f>
        <v>0</v>
      </c>
      <c r="I11" s="5" t="str">
        <f aca="false">IF($B11&gt;"2026-08-29","لا توجد بيانات بعد",IF(AND(D11=0,F11=0),"بدون نشاط","نشِط"))</f>
        <v>بدون نشاط</v>
      </c>
    </row>
    <row r="12" customFormat="false" ht="15" hidden="false" customHeight="false" outlineLevel="0" collapsed="false">
      <c r="A12" s="12" t="s">
        <v>51</v>
      </c>
      <c r="B12" s="12" t="s">
        <v>52</v>
      </c>
      <c r="C12" s="13" t="s">
        <v>18</v>
      </c>
      <c r="D12" s="12" t="n">
        <f aca="false">COUNTIFS('تفاصيل الفرص'!$B$2:$B$282,$B12,'تفاصيل الفرص'!$D$2:$D$282,$C12)</f>
        <v>0</v>
      </c>
      <c r="E12" s="12" t="n">
        <f aca="false">COUNTIFS('تفاصيل الفرص'!$B$2:$B$282,$B12,'تفاصيل الفرص'!$D$2:$D$282,$C12,'تفاصيل الفرص'!$X$2:$X$282,0)</f>
        <v>0</v>
      </c>
      <c r="F12" s="12" t="n">
        <f aca="false">COUNTIFS('سجل الأكشنات'!$B$2:$B$539,$B12,'سجل الأكشنات'!$D$2:$D$539,$C12)</f>
        <v>4</v>
      </c>
      <c r="G12" s="12" t="n">
        <f aca="false">COUNTIFS('سجل الأكشنات'!$B$2:$B$539,$B12,'سجل الأكشنات'!$D$2:$D$539,$C12,'سجل الأكشنات'!$H$2:$H$539,"تفصيلي")</f>
        <v>3</v>
      </c>
      <c r="H12" s="12" t="n">
        <f aca="false">F12-G12</f>
        <v>1</v>
      </c>
      <c r="I12" s="12" t="str">
        <f aca="false">IF($B12&gt;"2026-08-29","لا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51</v>
      </c>
      <c r="B13" s="12" t="s">
        <v>52</v>
      </c>
      <c r="C13" s="13" t="s">
        <v>20</v>
      </c>
      <c r="D13" s="12" t="n">
        <f aca="false">COUNTIFS('تفاصيل الفرص'!$B$2:$B$282,$B13,'تفاصيل الفرص'!$D$2:$D$282,$C13)</f>
        <v>0</v>
      </c>
      <c r="E13" s="12" t="n">
        <f aca="false">COUNTIFS('تفاصيل الفرص'!$B$2:$B$282,$B13,'تفاصيل الفرص'!$D$2:$D$282,$C13,'تفاصيل الفرص'!$X$2:$X$282,0)</f>
        <v>0</v>
      </c>
      <c r="F13" s="12" t="n">
        <f aca="false">COUNTIFS('سجل الأكشنات'!$B$2:$B$539,$B13,'سجل الأكشنات'!$D$2:$D$539,$C13)</f>
        <v>1</v>
      </c>
      <c r="G13" s="12" t="n">
        <f aca="false">COUNTIFS('سجل الأكشنات'!$B$2:$B$539,$B13,'سجل الأكشنات'!$D$2:$D$539,$C13,'سجل الأكشنات'!$H$2:$H$539,"تفصيلي")</f>
        <v>1</v>
      </c>
      <c r="H13" s="12" t="n">
        <f aca="false">F13-G13</f>
        <v>0</v>
      </c>
      <c r="I13" s="12" t="str">
        <f aca="false">IF($B13&gt;"2026-08-29","لا توجد بيانات بعد",IF(AND(D13=0,F13=0),"بدون نشاط","نشِط"))</f>
        <v>نشِط</v>
      </c>
    </row>
    <row r="14" customFormat="false" ht="15" hidden="false" customHeight="false" outlineLevel="0" collapsed="false">
      <c r="A14" s="12" t="s">
        <v>51</v>
      </c>
      <c r="B14" s="12" t="s">
        <v>52</v>
      </c>
      <c r="C14" s="13" t="s">
        <v>22</v>
      </c>
      <c r="D14" s="12" t="n">
        <f aca="false">COUNTIFS('تفاصيل الفرص'!$B$2:$B$282,$B14,'تفاصيل الفرص'!$D$2:$D$282,$C14)</f>
        <v>3</v>
      </c>
      <c r="E14" s="12" t="n">
        <f aca="false">COUNTIFS('تفاصيل الفرص'!$B$2:$B$282,$B14,'تفاصيل الفرص'!$D$2:$D$282,$C14,'تفاصيل الفرص'!$X$2:$X$282,0)</f>
        <v>0</v>
      </c>
      <c r="F14" s="12" t="n">
        <f aca="false">COUNTIFS('سجل الأكشنات'!$B$2:$B$539,$B14,'سجل الأكشنات'!$D$2:$D$539,$C14)</f>
        <v>4</v>
      </c>
      <c r="G14" s="12" t="n">
        <f aca="false">COUNTIFS('سجل الأكشنات'!$B$2:$B$539,$B14,'سجل الأكشنات'!$D$2:$D$539,$C14,'سجل الأكشنات'!$H$2:$H$539,"تفصيلي")</f>
        <v>3</v>
      </c>
      <c r="H14" s="12" t="n">
        <f aca="false">F14-G14</f>
        <v>1</v>
      </c>
      <c r="I14" s="12" t="str">
        <f aca="false">IF($B14&gt;"2026-08-29","لا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51</v>
      </c>
      <c r="B15" s="12" t="s">
        <v>52</v>
      </c>
      <c r="C15" s="13" t="s">
        <v>24</v>
      </c>
      <c r="D15" s="12" t="n">
        <f aca="false">COUNTIFS('تفاصيل الفرص'!$B$2:$B$282,$B15,'تفاصيل الفرص'!$D$2:$D$282,$C15)</f>
        <v>0</v>
      </c>
      <c r="E15" s="12" t="n">
        <f aca="false">COUNTIFS('تفاصيل الفرص'!$B$2:$B$282,$B15,'تفاصيل الفرص'!$D$2:$D$282,$C15,'تفاصيل الفرص'!$X$2:$X$282,0)</f>
        <v>0</v>
      </c>
      <c r="F15" s="12" t="n">
        <f aca="false">COUNTIFS('سجل الأكشنات'!$B$2:$B$539,$B15,'سجل الأكشنات'!$D$2:$D$539,$C15)</f>
        <v>1</v>
      </c>
      <c r="G15" s="12" t="n">
        <f aca="false">COUNTIFS('سجل الأكشنات'!$B$2:$B$539,$B15,'سجل الأكشنات'!$D$2:$D$539,$C15,'سجل الأكشنات'!$H$2:$H$539,"تفصيلي")</f>
        <v>1</v>
      </c>
      <c r="H15" s="12" t="n">
        <f aca="false">F15-G15</f>
        <v>0</v>
      </c>
      <c r="I15" s="12" t="str">
        <f aca="false">IF($B15&gt;"2026-08-29","لا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51</v>
      </c>
      <c r="B16" s="12" t="s">
        <v>52</v>
      </c>
      <c r="C16" s="13" t="s">
        <v>26</v>
      </c>
      <c r="D16" s="12" t="n">
        <f aca="false">COUNTIFS('تفاصيل الفرص'!$B$2:$B$282,$B16,'تفاصيل الفرص'!$D$2:$D$282,$C16)</f>
        <v>1</v>
      </c>
      <c r="E16" s="12" t="n">
        <f aca="false">COUNTIFS('تفاصيل الفرص'!$B$2:$B$282,$B16,'تفاصيل الفرص'!$D$2:$D$282,$C16,'تفاصيل الفرص'!$X$2:$X$282,0)</f>
        <v>1</v>
      </c>
      <c r="F16" s="12" t="n">
        <f aca="false">COUNTIFS('سجل الأكشنات'!$B$2:$B$539,$B16,'سجل الأكشنات'!$D$2:$D$539,$C16)</f>
        <v>1</v>
      </c>
      <c r="G16" s="12" t="n">
        <f aca="false">COUNTIFS('سجل الأكشنات'!$B$2:$B$539,$B16,'سجل الأكشنات'!$D$2:$D$539,$C16,'سجل الأكشنات'!$H$2:$H$539,"تفصيلي")</f>
        <v>1</v>
      </c>
      <c r="H16" s="12" t="n">
        <f aca="false">F16-G16</f>
        <v>0</v>
      </c>
      <c r="I16" s="12" t="str">
        <f aca="false">IF($B16&gt;"2026-08-29","لا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51</v>
      </c>
      <c r="B17" s="12" t="s">
        <v>52</v>
      </c>
      <c r="C17" s="13" t="s">
        <v>28</v>
      </c>
      <c r="D17" s="12" t="n">
        <f aca="false">COUNTIFS('تفاصيل الفرص'!$B$2:$B$282,$B17,'تفاصيل الفرص'!$D$2:$D$282,$C17)</f>
        <v>8</v>
      </c>
      <c r="E17" s="12" t="n">
        <f aca="false">COUNTIFS('تفاصيل الفرص'!$B$2:$B$282,$B17,'تفاصيل الفرص'!$D$2:$D$282,$C17,'تفاصيل الفرص'!$X$2:$X$282,0)</f>
        <v>0</v>
      </c>
      <c r="F17" s="12" t="n">
        <f aca="false">COUNTIFS('سجل الأكشنات'!$B$2:$B$539,$B17,'سجل الأكشنات'!$D$2:$D$539,$C17)</f>
        <v>8</v>
      </c>
      <c r="G17" s="12" t="n">
        <f aca="false">COUNTIFS('سجل الأكشنات'!$B$2:$B$539,$B17,'سجل الأكشنات'!$D$2:$D$539,$C17,'سجل الأكشنات'!$H$2:$H$539,"تفصيلي")</f>
        <v>7</v>
      </c>
      <c r="H17" s="12" t="n">
        <f aca="false">F17-G17</f>
        <v>1</v>
      </c>
      <c r="I17" s="12" t="str">
        <f aca="false">IF($B17&gt;"2026-08-29","لا توجد بيانات بعد",IF(AND(D17=0,F17=0),"بدون نشاط","نشِط"))</f>
        <v>نشِط</v>
      </c>
    </row>
    <row r="18" customFormat="false" ht="15" hidden="false" customHeight="false" outlineLevel="0" collapsed="false">
      <c r="A18" s="12" t="s">
        <v>51</v>
      </c>
      <c r="B18" s="12" t="s">
        <v>52</v>
      </c>
      <c r="C18" s="13" t="s">
        <v>30</v>
      </c>
      <c r="D18" s="12" t="n">
        <f aca="false">COUNTIFS('تفاصيل الفرص'!$B$2:$B$282,$B18,'تفاصيل الفرص'!$D$2:$D$282,$C18)</f>
        <v>1</v>
      </c>
      <c r="E18" s="12" t="n">
        <f aca="false">COUNTIFS('تفاصيل الفرص'!$B$2:$B$282,$B18,'تفاصيل الفرص'!$D$2:$D$282,$C18,'تفاصيل الفرص'!$X$2:$X$282,0)</f>
        <v>0</v>
      </c>
      <c r="F18" s="12" t="n">
        <f aca="false">COUNTIFS('سجل الأكشنات'!$B$2:$B$539,$B18,'سجل الأكشنات'!$D$2:$D$539,$C18)</f>
        <v>7</v>
      </c>
      <c r="G18" s="12" t="n">
        <f aca="false">COUNTIFS('سجل الأكشنات'!$B$2:$B$539,$B18,'سجل الأكشنات'!$D$2:$D$539,$C18,'سجل الأكشنات'!$H$2:$H$539,"تفصيلي")</f>
        <v>3</v>
      </c>
      <c r="H18" s="12" t="n">
        <f aca="false">F18-G18</f>
        <v>4</v>
      </c>
      <c r="I18" s="12" t="str">
        <f aca="false">IF($B18&gt;"2026-08-29","لا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51</v>
      </c>
      <c r="B19" s="12" t="s">
        <v>52</v>
      </c>
      <c r="C19" s="13" t="s">
        <v>32</v>
      </c>
      <c r="D19" s="12" t="n">
        <f aca="false">COUNTIFS('تفاصيل الفرص'!$B$2:$B$282,$B19,'تفاصيل الفرص'!$D$2:$D$282,$C19)</f>
        <v>1</v>
      </c>
      <c r="E19" s="12" t="n">
        <f aca="false">COUNTIFS('تفاصيل الفرص'!$B$2:$B$282,$B19,'تفاصيل الفرص'!$D$2:$D$282,$C19,'تفاصيل الفرص'!$X$2:$X$282,0)</f>
        <v>0</v>
      </c>
      <c r="F19" s="12" t="n">
        <f aca="false">COUNTIFS('سجل الأكشنات'!$B$2:$B$539,$B19,'سجل الأكشنات'!$D$2:$D$539,$C19)</f>
        <v>1</v>
      </c>
      <c r="G19" s="12" t="n">
        <f aca="false">COUNTIFS('سجل الأكشنات'!$B$2:$B$539,$B19,'سجل الأكشنات'!$D$2:$D$539,$C19,'سجل الأكشنات'!$H$2:$H$539,"تفصيلي")</f>
        <v>1</v>
      </c>
      <c r="H19" s="12" t="n">
        <f aca="false">F19-G19</f>
        <v>0</v>
      </c>
      <c r="I19" s="12" t="str">
        <f aca="false">IF($B19&gt;"2026-08-29","لا توجد بيانات بعد",IF(AND(D19=0,F19=0),"بدون نشاط","نشِط"))</f>
        <v>نشِط</v>
      </c>
    </row>
    <row r="20" customFormat="false" ht="15" hidden="false" customHeight="false" outlineLevel="0" collapsed="false">
      <c r="A20" s="5" t="s">
        <v>53</v>
      </c>
      <c r="B20" s="5" t="s">
        <v>54</v>
      </c>
      <c r="C20" s="4" t="s">
        <v>18</v>
      </c>
      <c r="D20" s="5" t="n">
        <f aca="false">COUNTIFS('تفاصيل الفرص'!$B$2:$B$282,$B20,'تفاصيل الفرص'!$D$2:$D$282,$C20)</f>
        <v>2</v>
      </c>
      <c r="E20" s="5" t="n">
        <f aca="false">COUNTIFS('تفاصيل الفرص'!$B$2:$B$282,$B20,'تفاصيل الفرص'!$D$2:$D$282,$C20,'تفاصيل الفرص'!$X$2:$X$282,0)</f>
        <v>0</v>
      </c>
      <c r="F20" s="5" t="n">
        <f aca="false">COUNTIFS('سجل الأكشنات'!$B$2:$B$539,$B20,'سجل الأكشنات'!$D$2:$D$539,$C20)</f>
        <v>3</v>
      </c>
      <c r="G20" s="5" t="n">
        <f aca="false">COUNTIFS('سجل الأكشنات'!$B$2:$B$539,$B20,'سجل الأكشنات'!$D$2:$D$539,$C20,'سجل الأكشنات'!$H$2:$H$539,"تفصيلي")</f>
        <v>3</v>
      </c>
      <c r="H20" s="5" t="n">
        <f aca="false">F20-G20</f>
        <v>0</v>
      </c>
      <c r="I20" s="5" t="str">
        <f aca="false">IF($B20&gt;"2026-08-29","لا توجد بيانات بعد",IF(AND(D20=0,F20=0),"بدون نشاط","نشِط"))</f>
        <v>نشِط</v>
      </c>
    </row>
    <row r="21" customFormat="false" ht="15" hidden="false" customHeight="false" outlineLevel="0" collapsed="false">
      <c r="A21" s="5" t="s">
        <v>53</v>
      </c>
      <c r="B21" s="5" t="s">
        <v>54</v>
      </c>
      <c r="C21" s="4" t="s">
        <v>20</v>
      </c>
      <c r="D21" s="5" t="n">
        <f aca="false">COUNTIFS('تفاصيل الفرص'!$B$2:$B$282,$B21,'تفاصيل الفرص'!$D$2:$D$282,$C21)</f>
        <v>0</v>
      </c>
      <c r="E21" s="5" t="n">
        <f aca="false">COUNTIFS('تفاصيل الفرص'!$B$2:$B$282,$B21,'تفاصيل الفرص'!$D$2:$D$282,$C21,'تفاصيل الفرص'!$X$2:$X$282,0)</f>
        <v>0</v>
      </c>
      <c r="F21" s="5" t="n">
        <f aca="false">COUNTIFS('سجل الأكشنات'!$B$2:$B$539,$B21,'سجل الأكشنات'!$D$2:$D$539,$C21)</f>
        <v>0</v>
      </c>
      <c r="G21" s="5" t="n">
        <f aca="false">COUNTIFS('سجل الأكشنات'!$B$2:$B$539,$B21,'سجل الأكشنات'!$D$2:$D$539,$C21,'سجل الأكشنات'!$H$2:$H$539,"تفصيلي")</f>
        <v>0</v>
      </c>
      <c r="H21" s="5" t="n">
        <f aca="false">F21-G21</f>
        <v>0</v>
      </c>
      <c r="I21" s="5" t="str">
        <f aca="false">IF($B21&gt;"2026-08-29","لا توجد بيانات بعد",IF(AND(D21=0,F21=0),"بدون نشاط","نشِط"))</f>
        <v>بدون نشاط</v>
      </c>
    </row>
    <row r="22" customFormat="false" ht="15" hidden="false" customHeight="false" outlineLevel="0" collapsed="false">
      <c r="A22" s="5" t="s">
        <v>53</v>
      </c>
      <c r="B22" s="5" t="s">
        <v>54</v>
      </c>
      <c r="C22" s="4" t="s">
        <v>22</v>
      </c>
      <c r="D22" s="5" t="n">
        <f aca="false">COUNTIFS('تفاصيل الفرص'!$B$2:$B$282,$B22,'تفاصيل الفرص'!$D$2:$D$282,$C22)</f>
        <v>1</v>
      </c>
      <c r="E22" s="5" t="n">
        <f aca="false">COUNTIFS('تفاصيل الفرص'!$B$2:$B$282,$B22,'تفاصيل الفرص'!$D$2:$D$282,$C22,'تفاصيل الفرص'!$X$2:$X$282,0)</f>
        <v>0</v>
      </c>
      <c r="F22" s="5" t="n">
        <f aca="false">COUNTIFS('سجل الأكشنات'!$B$2:$B$539,$B22,'سجل الأكشنات'!$D$2:$D$539,$C22)</f>
        <v>2</v>
      </c>
      <c r="G22" s="5" t="n">
        <f aca="false">COUNTIFS('سجل الأكشنات'!$B$2:$B$539,$B22,'سجل الأكشنات'!$D$2:$D$539,$C22,'سجل الأكشنات'!$H$2:$H$539,"تفصيلي")</f>
        <v>0</v>
      </c>
      <c r="H22" s="5" t="n">
        <f aca="false">F22-G22</f>
        <v>2</v>
      </c>
      <c r="I22" s="5" t="str">
        <f aca="false">IF($B22&gt;"2026-08-29","لا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53</v>
      </c>
      <c r="B23" s="5" t="s">
        <v>54</v>
      </c>
      <c r="C23" s="4" t="s">
        <v>24</v>
      </c>
      <c r="D23" s="5" t="n">
        <f aca="false">COUNTIFS('تفاصيل الفرص'!$B$2:$B$282,$B23,'تفاصيل الفرص'!$D$2:$D$282,$C23)</f>
        <v>4</v>
      </c>
      <c r="E23" s="5" t="n">
        <f aca="false">COUNTIFS('تفاصيل الفرص'!$B$2:$B$282,$B23,'تفاصيل الفرص'!$D$2:$D$282,$C23,'تفاصيل الفرص'!$X$2:$X$282,0)</f>
        <v>0</v>
      </c>
      <c r="F23" s="5" t="n">
        <f aca="false">COUNTIFS('سجل الأكشنات'!$B$2:$B$539,$B23,'سجل الأكشنات'!$D$2:$D$539,$C23)</f>
        <v>6</v>
      </c>
      <c r="G23" s="5" t="n">
        <f aca="false">COUNTIFS('سجل الأكشنات'!$B$2:$B$539,$B23,'سجل الأكشنات'!$D$2:$D$539,$C23,'سجل الأكشنات'!$H$2:$H$539,"تفصيلي")</f>
        <v>5</v>
      </c>
      <c r="H23" s="5" t="n">
        <f aca="false">F23-G23</f>
        <v>1</v>
      </c>
      <c r="I23" s="5" t="str">
        <f aca="false">IF($B23&gt;"2026-08-29","لا توجد بيانات بعد",IF(AND(D23=0,F23=0),"بدون نشاط","نشِط"))</f>
        <v>نشِط</v>
      </c>
    </row>
    <row r="24" customFormat="false" ht="15" hidden="false" customHeight="false" outlineLevel="0" collapsed="false">
      <c r="A24" s="5" t="s">
        <v>53</v>
      </c>
      <c r="B24" s="5" t="s">
        <v>54</v>
      </c>
      <c r="C24" s="4" t="s">
        <v>26</v>
      </c>
      <c r="D24" s="5" t="n">
        <f aca="false">COUNTIFS('تفاصيل الفرص'!$B$2:$B$282,$B24,'تفاصيل الفرص'!$D$2:$D$282,$C24)</f>
        <v>0</v>
      </c>
      <c r="E24" s="5" t="n">
        <f aca="false">COUNTIFS('تفاصيل الفرص'!$B$2:$B$282,$B24,'تفاصيل الفرص'!$D$2:$D$282,$C24,'تفاصيل الفرص'!$X$2:$X$282,0)</f>
        <v>0</v>
      </c>
      <c r="F24" s="5" t="n">
        <f aca="false">COUNTIFS('سجل الأكشنات'!$B$2:$B$539,$B24,'سجل الأكشنات'!$D$2:$D$539,$C24)</f>
        <v>1</v>
      </c>
      <c r="G24" s="5" t="n">
        <f aca="false">COUNTIFS('سجل الأكشنات'!$B$2:$B$539,$B24,'سجل الأكشنات'!$D$2:$D$539,$C24,'سجل الأكشنات'!$H$2:$H$539,"تفصيلي")</f>
        <v>0</v>
      </c>
      <c r="H24" s="5" t="n">
        <f aca="false">F24-G24</f>
        <v>1</v>
      </c>
      <c r="I24" s="5" t="str">
        <f aca="false">IF($B24&gt;"2026-08-29","لا توجد بيانات بعد",IF(AND(D24=0,F24=0),"بدون نشاط","نشِط"))</f>
        <v>نشِط</v>
      </c>
    </row>
    <row r="25" customFormat="false" ht="15" hidden="false" customHeight="false" outlineLevel="0" collapsed="false">
      <c r="A25" s="5" t="s">
        <v>53</v>
      </c>
      <c r="B25" s="5" t="s">
        <v>54</v>
      </c>
      <c r="C25" s="4" t="s">
        <v>28</v>
      </c>
      <c r="D25" s="5" t="n">
        <f aca="false">COUNTIFS('تفاصيل الفرص'!$B$2:$B$282,$B25,'تفاصيل الفرص'!$D$2:$D$282,$C25)</f>
        <v>0</v>
      </c>
      <c r="E25" s="5" t="n">
        <f aca="false">COUNTIFS('تفاصيل الفرص'!$B$2:$B$282,$B25,'تفاصيل الفرص'!$D$2:$D$282,$C25,'تفاصيل الفرص'!$X$2:$X$282,0)</f>
        <v>0</v>
      </c>
      <c r="F25" s="5" t="n">
        <f aca="false">COUNTIFS('سجل الأكشنات'!$B$2:$B$539,$B25,'سجل الأكشنات'!$D$2:$D$539,$C25)</f>
        <v>0</v>
      </c>
      <c r="G25" s="5" t="n">
        <f aca="false">COUNTIFS('سجل الأكشنات'!$B$2:$B$539,$B25,'سجل الأكشنات'!$D$2:$D$539,$C25,'سجل الأكشنات'!$H$2:$H$539,"تفصيلي")</f>
        <v>0</v>
      </c>
      <c r="H25" s="5" t="n">
        <f aca="false">F25-G25</f>
        <v>0</v>
      </c>
      <c r="I25" s="5" t="str">
        <f aca="false">IF($B25&gt;"2026-08-29","لا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53</v>
      </c>
      <c r="B26" s="5" t="s">
        <v>54</v>
      </c>
      <c r="C26" s="4" t="s">
        <v>30</v>
      </c>
      <c r="D26" s="5" t="n">
        <f aca="false">COUNTIFS('تفاصيل الفرص'!$B$2:$B$282,$B26,'تفاصيل الفرص'!$D$2:$D$282,$C26)</f>
        <v>0</v>
      </c>
      <c r="E26" s="5" t="n">
        <f aca="false">COUNTIFS('تفاصيل الفرص'!$B$2:$B$282,$B26,'تفاصيل الفرص'!$D$2:$D$282,$C26,'تفاصيل الفرص'!$X$2:$X$282,0)</f>
        <v>0</v>
      </c>
      <c r="F26" s="5" t="n">
        <f aca="false">COUNTIFS('سجل الأكشنات'!$B$2:$B$539,$B26,'سجل الأكشنات'!$D$2:$D$539,$C26)</f>
        <v>1</v>
      </c>
      <c r="G26" s="5" t="n">
        <f aca="false">COUNTIFS('سجل الأكشنات'!$B$2:$B$539,$B26,'سجل الأكشنات'!$D$2:$D$539,$C26,'سجل الأكشنات'!$H$2:$H$539,"تفصيلي")</f>
        <v>0</v>
      </c>
      <c r="H26" s="5" t="n">
        <f aca="false">F26-G26</f>
        <v>1</v>
      </c>
      <c r="I26" s="5" t="str">
        <f aca="false">IF($B26&gt;"2026-08-29","لا توجد بيانات بعد",IF(AND(D26=0,F26=0),"بدون نشاط","نشِط"))</f>
        <v>نشِط</v>
      </c>
    </row>
    <row r="27" customFormat="false" ht="15" hidden="false" customHeight="false" outlineLevel="0" collapsed="false">
      <c r="A27" s="5" t="s">
        <v>53</v>
      </c>
      <c r="B27" s="5" t="s">
        <v>54</v>
      </c>
      <c r="C27" s="4" t="s">
        <v>32</v>
      </c>
      <c r="D27" s="5" t="n">
        <f aca="false">COUNTIFS('تفاصيل الفرص'!$B$2:$B$282,$B27,'تفاصيل الفرص'!$D$2:$D$282,$C27)</f>
        <v>0</v>
      </c>
      <c r="E27" s="5" t="n">
        <f aca="false">COUNTIFS('تفاصيل الفرص'!$B$2:$B$282,$B27,'تفاصيل الفرص'!$D$2:$D$282,$C27,'تفاصيل الفرص'!$X$2:$X$282,0)</f>
        <v>0</v>
      </c>
      <c r="F27" s="5" t="n">
        <f aca="false">COUNTIFS('سجل الأكشنات'!$B$2:$B$539,$B27,'سجل الأكشنات'!$D$2:$D$539,$C27)</f>
        <v>0</v>
      </c>
      <c r="G27" s="5" t="n">
        <f aca="false">COUNTIFS('سجل الأكشنات'!$B$2:$B$539,$B27,'سجل الأكشنات'!$D$2:$D$539,$C27,'سجل الأكشنات'!$H$2:$H$539,"تفصيلي")</f>
        <v>0</v>
      </c>
      <c r="H27" s="5" t="n">
        <f aca="false">F27-G27</f>
        <v>0</v>
      </c>
      <c r="I27" s="5" t="str">
        <f aca="false">IF($B27&gt;"2026-08-29","لا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12" t="s">
        <v>55</v>
      </c>
      <c r="B28" s="12" t="s">
        <v>56</v>
      </c>
      <c r="C28" s="13" t="s">
        <v>18</v>
      </c>
      <c r="D28" s="12" t="n">
        <f aca="false">COUNTIFS('تفاصيل الفرص'!$B$2:$B$282,$B28,'تفاصيل الفرص'!$D$2:$D$282,$C28)</f>
        <v>0</v>
      </c>
      <c r="E28" s="12" t="n">
        <f aca="false">COUNTIFS('تفاصيل الفرص'!$B$2:$B$282,$B28,'تفاصيل الفرص'!$D$2:$D$282,$C28,'تفاصيل الفرص'!$X$2:$X$282,0)</f>
        <v>0</v>
      </c>
      <c r="F28" s="12" t="n">
        <f aca="false">COUNTIFS('سجل الأكشنات'!$B$2:$B$539,$B28,'سجل الأكشنات'!$D$2:$D$539,$C28)</f>
        <v>0</v>
      </c>
      <c r="G28" s="12" t="n">
        <f aca="false">COUNTIFS('سجل الأكشنات'!$B$2:$B$539,$B28,'سجل الأكشنات'!$D$2:$D$539,$C28,'سجل الأكشنات'!$H$2:$H$539,"تفصيلي")</f>
        <v>0</v>
      </c>
      <c r="H28" s="12" t="n">
        <f aca="false">F28-G28</f>
        <v>0</v>
      </c>
      <c r="I28" s="12" t="str">
        <f aca="false">IF($B28&gt;"2026-08-29","لا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12" t="s">
        <v>55</v>
      </c>
      <c r="B29" s="12" t="s">
        <v>56</v>
      </c>
      <c r="C29" s="13" t="s">
        <v>20</v>
      </c>
      <c r="D29" s="12" t="n">
        <f aca="false">COUNTIFS('تفاصيل الفرص'!$B$2:$B$282,$B29,'تفاصيل الفرص'!$D$2:$D$282,$C29)</f>
        <v>0</v>
      </c>
      <c r="E29" s="12" t="n">
        <f aca="false">COUNTIFS('تفاصيل الفرص'!$B$2:$B$282,$B29,'تفاصيل الفرص'!$D$2:$D$282,$C29,'تفاصيل الفرص'!$X$2:$X$282,0)</f>
        <v>0</v>
      </c>
      <c r="F29" s="12" t="n">
        <f aca="false">COUNTIFS('سجل الأكشنات'!$B$2:$B$539,$B29,'سجل الأكشنات'!$D$2:$D$539,$C29)</f>
        <v>0</v>
      </c>
      <c r="G29" s="12" t="n">
        <f aca="false">COUNTIFS('سجل الأكشنات'!$B$2:$B$539,$B29,'سجل الأكشنات'!$D$2:$D$539,$C29,'سجل الأكشنات'!$H$2:$H$539,"تفصيلي")</f>
        <v>0</v>
      </c>
      <c r="H29" s="12" t="n">
        <f aca="false">F29-G29</f>
        <v>0</v>
      </c>
      <c r="I29" s="12" t="str">
        <f aca="false">IF($B29&gt;"2026-08-29","لا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12" t="s">
        <v>55</v>
      </c>
      <c r="B30" s="12" t="s">
        <v>56</v>
      </c>
      <c r="C30" s="13" t="s">
        <v>22</v>
      </c>
      <c r="D30" s="12" t="n">
        <f aca="false">COUNTIFS('تفاصيل الفرص'!$B$2:$B$282,$B30,'تفاصيل الفرص'!$D$2:$D$282,$C30)</f>
        <v>4</v>
      </c>
      <c r="E30" s="12" t="n">
        <f aca="false">COUNTIFS('تفاصيل الفرص'!$B$2:$B$282,$B30,'تفاصيل الفرص'!$D$2:$D$282,$C30,'تفاصيل الفرص'!$X$2:$X$282,0)</f>
        <v>0</v>
      </c>
      <c r="F30" s="12" t="n">
        <f aca="false">COUNTIFS('سجل الأكشنات'!$B$2:$B$539,$B30,'سجل الأكشنات'!$D$2:$D$539,$C30)</f>
        <v>3</v>
      </c>
      <c r="G30" s="12" t="n">
        <f aca="false">COUNTIFS('سجل الأكشنات'!$B$2:$B$539,$B30,'سجل الأكشنات'!$D$2:$D$539,$C30,'سجل الأكشنات'!$H$2:$H$539,"تفصيلي")</f>
        <v>3</v>
      </c>
      <c r="H30" s="12" t="n">
        <f aca="false">F30-G30</f>
        <v>0</v>
      </c>
      <c r="I30" s="12" t="str">
        <f aca="false">IF($B30&gt;"2026-08-29","لا توجد بيانات بعد",IF(AND(D30=0,F30=0),"بدون نشاط","نشِط"))</f>
        <v>نشِط</v>
      </c>
    </row>
    <row r="31" customFormat="false" ht="15" hidden="false" customHeight="false" outlineLevel="0" collapsed="false">
      <c r="A31" s="12" t="s">
        <v>55</v>
      </c>
      <c r="B31" s="12" t="s">
        <v>56</v>
      </c>
      <c r="C31" s="13" t="s">
        <v>24</v>
      </c>
      <c r="D31" s="12" t="n">
        <f aca="false">COUNTIFS('تفاصيل الفرص'!$B$2:$B$282,$B31,'تفاصيل الفرص'!$D$2:$D$282,$C31)</f>
        <v>0</v>
      </c>
      <c r="E31" s="12" t="n">
        <f aca="false">COUNTIFS('تفاصيل الفرص'!$B$2:$B$282,$B31,'تفاصيل الفرص'!$D$2:$D$282,$C31,'تفاصيل الفرص'!$X$2:$X$282,0)</f>
        <v>0</v>
      </c>
      <c r="F31" s="12" t="n">
        <f aca="false">COUNTIFS('سجل الأكشنات'!$B$2:$B$539,$B31,'سجل الأكشنات'!$D$2:$D$539,$C31)</f>
        <v>1</v>
      </c>
      <c r="G31" s="12" t="n">
        <f aca="false">COUNTIFS('سجل الأكشنات'!$B$2:$B$539,$B31,'سجل الأكشنات'!$D$2:$D$539,$C31,'سجل الأكشنات'!$H$2:$H$539,"تفصيلي")</f>
        <v>1</v>
      </c>
      <c r="H31" s="12" t="n">
        <f aca="false">F31-G31</f>
        <v>0</v>
      </c>
      <c r="I31" s="12" t="str">
        <f aca="false">IF($B31&gt;"2026-08-29","لا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55</v>
      </c>
      <c r="B32" s="12" t="s">
        <v>56</v>
      </c>
      <c r="C32" s="13" t="s">
        <v>26</v>
      </c>
      <c r="D32" s="12" t="n">
        <f aca="false">COUNTIFS('تفاصيل الفرص'!$B$2:$B$282,$B32,'تفاصيل الفرص'!$D$2:$D$282,$C32)</f>
        <v>0</v>
      </c>
      <c r="E32" s="12" t="n">
        <f aca="false">COUNTIFS('تفاصيل الفرص'!$B$2:$B$282,$B32,'تفاصيل الفرص'!$D$2:$D$282,$C32,'تفاصيل الفرص'!$X$2:$X$282,0)</f>
        <v>0</v>
      </c>
      <c r="F32" s="12" t="n">
        <f aca="false">COUNTIFS('سجل الأكشنات'!$B$2:$B$539,$B32,'سجل الأكشنات'!$D$2:$D$539,$C32)</f>
        <v>0</v>
      </c>
      <c r="G32" s="12" t="n">
        <f aca="false">COUNTIFS('سجل الأكشنات'!$B$2:$B$539,$B32,'سجل الأكشنات'!$D$2:$D$539,$C32,'سجل الأكشنات'!$H$2:$H$539,"تفصيلي")</f>
        <v>0</v>
      </c>
      <c r="H32" s="12" t="n">
        <f aca="false">F32-G32</f>
        <v>0</v>
      </c>
      <c r="I32" s="12" t="str">
        <f aca="false">IF($B32&gt;"2026-08-29","لا توجد بيانات بعد",IF(AND(D32=0,F32=0),"بدون نشاط","نشِط"))</f>
        <v>بدون نشاط</v>
      </c>
    </row>
    <row r="33" customFormat="false" ht="15" hidden="false" customHeight="false" outlineLevel="0" collapsed="false">
      <c r="A33" s="12" t="s">
        <v>55</v>
      </c>
      <c r="B33" s="12" t="s">
        <v>56</v>
      </c>
      <c r="C33" s="13" t="s">
        <v>28</v>
      </c>
      <c r="D33" s="12" t="n">
        <f aca="false">COUNTIFS('تفاصيل الفرص'!$B$2:$B$282,$B33,'تفاصيل الفرص'!$D$2:$D$282,$C33)</f>
        <v>14</v>
      </c>
      <c r="E33" s="12" t="n">
        <f aca="false">COUNTIFS('تفاصيل الفرص'!$B$2:$B$282,$B33,'تفاصيل الفرص'!$D$2:$D$282,$C33,'تفاصيل الفرص'!$X$2:$X$282,0)</f>
        <v>0</v>
      </c>
      <c r="F33" s="12" t="n">
        <f aca="false">COUNTIFS('سجل الأكشنات'!$B$2:$B$539,$B33,'سجل الأكشنات'!$D$2:$D$539,$C33)</f>
        <v>13</v>
      </c>
      <c r="G33" s="12" t="n">
        <f aca="false">COUNTIFS('سجل الأكشنات'!$B$2:$B$539,$B33,'سجل الأكشنات'!$D$2:$D$539,$C33,'سجل الأكشنات'!$H$2:$H$539,"تفصيلي")</f>
        <v>10</v>
      </c>
      <c r="H33" s="12" t="n">
        <f aca="false">F33-G33</f>
        <v>3</v>
      </c>
      <c r="I33" s="12" t="str">
        <f aca="false">IF($B33&gt;"2026-08-29","لا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55</v>
      </c>
      <c r="B34" s="12" t="s">
        <v>56</v>
      </c>
      <c r="C34" s="13" t="s">
        <v>30</v>
      </c>
      <c r="D34" s="12" t="n">
        <f aca="false">COUNTIFS('تفاصيل الفرص'!$B$2:$B$282,$B34,'تفاصيل الفرص'!$D$2:$D$282,$C34)</f>
        <v>5</v>
      </c>
      <c r="E34" s="12" t="n">
        <f aca="false">COUNTIFS('تفاصيل الفرص'!$B$2:$B$282,$B34,'تفاصيل الفرص'!$D$2:$D$282,$C34,'تفاصيل الفرص'!$X$2:$X$282,0)</f>
        <v>0</v>
      </c>
      <c r="F34" s="12" t="n">
        <f aca="false">COUNTIFS('سجل الأكشنات'!$B$2:$B$539,$B34,'سجل الأكشنات'!$D$2:$D$539,$C34)</f>
        <v>9</v>
      </c>
      <c r="G34" s="12" t="n">
        <f aca="false">COUNTIFS('سجل الأكشنات'!$B$2:$B$539,$B34,'سجل الأكشنات'!$D$2:$D$539,$C34,'سجل الأكشنات'!$H$2:$H$539,"تفصيلي")</f>
        <v>8</v>
      </c>
      <c r="H34" s="12" t="n">
        <f aca="false">F34-G34</f>
        <v>1</v>
      </c>
      <c r="I34" s="12" t="str">
        <f aca="false">IF($B34&gt;"2026-08-29","لا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55</v>
      </c>
      <c r="B35" s="12" t="s">
        <v>56</v>
      </c>
      <c r="C35" s="13" t="s">
        <v>32</v>
      </c>
      <c r="D35" s="12" t="n">
        <f aca="false">COUNTIFS('تفاصيل الفرص'!$B$2:$B$282,$B35,'تفاصيل الفرص'!$D$2:$D$282,$C35)</f>
        <v>0</v>
      </c>
      <c r="E35" s="12" t="n">
        <f aca="false">COUNTIFS('تفاصيل الفرص'!$B$2:$B$282,$B35,'تفاصيل الفرص'!$D$2:$D$282,$C35,'تفاصيل الفرص'!$X$2:$X$282,0)</f>
        <v>0</v>
      </c>
      <c r="F35" s="12" t="n">
        <f aca="false">COUNTIFS('سجل الأكشنات'!$B$2:$B$539,$B35,'سجل الأكشنات'!$D$2:$D$539,$C35)</f>
        <v>0</v>
      </c>
      <c r="G35" s="12" t="n">
        <f aca="false">COUNTIFS('سجل الأكشنات'!$B$2:$B$539,$B35,'سجل الأكشنات'!$D$2:$D$539,$C35,'سجل الأكشنات'!$H$2:$H$539,"تفصيلي")</f>
        <v>0</v>
      </c>
      <c r="H35" s="12" t="n">
        <f aca="false">F35-G35</f>
        <v>0</v>
      </c>
      <c r="I35" s="12" t="str">
        <f aca="false">IF($B35&gt;"2026-08-29","لا توجد بيانات بعد",IF(AND(D35=0,F35=0),"بدون نشاط","نشِط"))</f>
        <v>بدون نشاط</v>
      </c>
    </row>
    <row r="36" customFormat="false" ht="15" hidden="false" customHeight="false" outlineLevel="0" collapsed="false">
      <c r="A36" s="5" t="s">
        <v>57</v>
      </c>
      <c r="B36" s="5" t="s">
        <v>58</v>
      </c>
      <c r="C36" s="4" t="s">
        <v>18</v>
      </c>
      <c r="D36" s="5" t="n">
        <f aca="false">COUNTIFS('تفاصيل الفرص'!$B$2:$B$282,$B36,'تفاصيل الفرص'!$D$2:$D$282,$C36)</f>
        <v>1</v>
      </c>
      <c r="E36" s="5" t="n">
        <f aca="false">COUNTIFS('تفاصيل الفرص'!$B$2:$B$282,$B36,'تفاصيل الفرص'!$D$2:$D$282,$C36,'تفاصيل الفرص'!$X$2:$X$282,0)</f>
        <v>0</v>
      </c>
      <c r="F36" s="5" t="n">
        <f aca="false">COUNTIFS('سجل الأكشنات'!$B$2:$B$539,$B36,'سجل الأكشنات'!$D$2:$D$539,$C36)</f>
        <v>3</v>
      </c>
      <c r="G36" s="5" t="n">
        <f aca="false">COUNTIFS('سجل الأكشنات'!$B$2:$B$539,$B36,'سجل الأكشنات'!$D$2:$D$539,$C36,'سجل الأكشنات'!$H$2:$H$539,"تفصيلي")</f>
        <v>3</v>
      </c>
      <c r="H36" s="5" t="n">
        <f aca="false">F36-G36</f>
        <v>0</v>
      </c>
      <c r="I36" s="5" t="str">
        <f aca="false">IF($B36&gt;"2026-08-29","لا توجد بيانات بعد",IF(AND(D36=0,F36=0),"بدون نشاط","نشِط"))</f>
        <v>نشِط</v>
      </c>
    </row>
    <row r="37" customFormat="false" ht="15" hidden="false" customHeight="false" outlineLevel="0" collapsed="false">
      <c r="A37" s="5" t="s">
        <v>57</v>
      </c>
      <c r="B37" s="5" t="s">
        <v>58</v>
      </c>
      <c r="C37" s="4" t="s">
        <v>20</v>
      </c>
      <c r="D37" s="5" t="n">
        <f aca="false">COUNTIFS('تفاصيل الفرص'!$B$2:$B$282,$B37,'تفاصيل الفرص'!$D$2:$D$282,$C37)</f>
        <v>0</v>
      </c>
      <c r="E37" s="5" t="n">
        <f aca="false">COUNTIFS('تفاصيل الفرص'!$B$2:$B$282,$B37,'تفاصيل الفرص'!$D$2:$D$282,$C37,'تفاصيل الفرص'!$X$2:$X$282,0)</f>
        <v>0</v>
      </c>
      <c r="F37" s="5" t="n">
        <f aca="false">COUNTIFS('سجل الأكشنات'!$B$2:$B$539,$B37,'سجل الأكشنات'!$D$2:$D$539,$C37)</f>
        <v>0</v>
      </c>
      <c r="G37" s="5" t="n">
        <f aca="false">COUNTIFS('سجل الأكشنات'!$B$2:$B$539,$B37,'سجل الأكشنات'!$D$2:$D$539,$C37,'سجل الأكشنات'!$H$2:$H$539,"تفصيلي")</f>
        <v>0</v>
      </c>
      <c r="H37" s="5" t="n">
        <f aca="false">F37-G37</f>
        <v>0</v>
      </c>
      <c r="I37" s="5" t="str">
        <f aca="false">IF($B37&gt;"2026-08-29","لا توجد بيانات بعد",IF(AND(D37=0,F37=0),"بدون نشاط","نشِط"))</f>
        <v>بدون نشاط</v>
      </c>
    </row>
    <row r="38" customFormat="false" ht="15" hidden="false" customHeight="false" outlineLevel="0" collapsed="false">
      <c r="A38" s="5" t="s">
        <v>57</v>
      </c>
      <c r="B38" s="5" t="s">
        <v>58</v>
      </c>
      <c r="C38" s="4" t="s">
        <v>22</v>
      </c>
      <c r="D38" s="5" t="n">
        <f aca="false">COUNTIFS('تفاصيل الفرص'!$B$2:$B$282,$B38,'تفاصيل الفرص'!$D$2:$D$282,$C38)</f>
        <v>0</v>
      </c>
      <c r="E38" s="5" t="n">
        <f aca="false">COUNTIFS('تفاصيل الفرص'!$B$2:$B$282,$B38,'تفاصيل الفرص'!$D$2:$D$282,$C38,'تفاصيل الفرص'!$X$2:$X$282,0)</f>
        <v>0</v>
      </c>
      <c r="F38" s="5" t="n">
        <f aca="false">COUNTIFS('سجل الأكشنات'!$B$2:$B$539,$B38,'سجل الأكشنات'!$D$2:$D$539,$C38)</f>
        <v>0</v>
      </c>
      <c r="G38" s="5" t="n">
        <f aca="false">COUNTIFS('سجل الأكشنات'!$B$2:$B$539,$B38,'سجل الأكشنات'!$D$2:$D$539,$C38,'سجل الأكشنات'!$H$2:$H$539,"تفصيلي")</f>
        <v>0</v>
      </c>
      <c r="H38" s="5" t="n">
        <f aca="false">F38-G38</f>
        <v>0</v>
      </c>
      <c r="I38" s="5" t="str">
        <f aca="false">IF($B38&gt;"2026-08-29","لا توجد بيانات بعد",IF(AND(D38=0,F38=0),"بدون نشاط","نشِط"))</f>
        <v>بدون نشاط</v>
      </c>
    </row>
    <row r="39" customFormat="false" ht="15" hidden="false" customHeight="false" outlineLevel="0" collapsed="false">
      <c r="A39" s="5" t="s">
        <v>57</v>
      </c>
      <c r="B39" s="5" t="s">
        <v>58</v>
      </c>
      <c r="C39" s="4" t="s">
        <v>24</v>
      </c>
      <c r="D39" s="5" t="n">
        <f aca="false">COUNTIFS('تفاصيل الفرص'!$B$2:$B$282,$B39,'تفاصيل الفرص'!$D$2:$D$282,$C39)</f>
        <v>1</v>
      </c>
      <c r="E39" s="5" t="n">
        <f aca="false">COUNTIFS('تفاصيل الفرص'!$B$2:$B$282,$B39,'تفاصيل الفرص'!$D$2:$D$282,$C39,'تفاصيل الفرص'!$X$2:$X$282,0)</f>
        <v>0</v>
      </c>
      <c r="F39" s="5" t="n">
        <f aca="false">COUNTIFS('سجل الأكشنات'!$B$2:$B$539,$B39,'سجل الأكشنات'!$D$2:$D$539,$C39)</f>
        <v>4</v>
      </c>
      <c r="G39" s="5" t="n">
        <f aca="false">COUNTIFS('سجل الأكشنات'!$B$2:$B$539,$B39,'سجل الأكشنات'!$D$2:$D$539,$C39,'سجل الأكشنات'!$H$2:$H$539,"تفصيلي")</f>
        <v>4</v>
      </c>
      <c r="H39" s="5" t="n">
        <f aca="false">F39-G39</f>
        <v>0</v>
      </c>
      <c r="I39" s="5" t="str">
        <f aca="false">IF($B39&gt;"2026-08-29","لا توجد بيانات بعد",IF(AND(D39=0,F39=0),"بدون نشاط","نشِط"))</f>
        <v>نشِط</v>
      </c>
    </row>
    <row r="40" customFormat="false" ht="15" hidden="false" customHeight="false" outlineLevel="0" collapsed="false">
      <c r="A40" s="5" t="s">
        <v>57</v>
      </c>
      <c r="B40" s="5" t="s">
        <v>58</v>
      </c>
      <c r="C40" s="4" t="s">
        <v>26</v>
      </c>
      <c r="D40" s="5" t="n">
        <f aca="false">COUNTIFS('تفاصيل الفرص'!$B$2:$B$282,$B40,'تفاصيل الفرص'!$D$2:$D$282,$C40)</f>
        <v>0</v>
      </c>
      <c r="E40" s="5" t="n">
        <f aca="false">COUNTIFS('تفاصيل الفرص'!$B$2:$B$282,$B40,'تفاصيل الفرص'!$D$2:$D$282,$C40,'تفاصيل الفرص'!$X$2:$X$282,0)</f>
        <v>0</v>
      </c>
      <c r="F40" s="5" t="n">
        <f aca="false">COUNTIFS('سجل الأكشنات'!$B$2:$B$539,$B40,'سجل الأكشنات'!$D$2:$D$539,$C40)</f>
        <v>4</v>
      </c>
      <c r="G40" s="5" t="n">
        <f aca="false">COUNTIFS('سجل الأكشنات'!$B$2:$B$539,$B40,'سجل الأكشنات'!$D$2:$D$539,$C40,'سجل الأكشنات'!$H$2:$H$539,"تفصيلي")</f>
        <v>3</v>
      </c>
      <c r="H40" s="5" t="n">
        <f aca="false">F40-G40</f>
        <v>1</v>
      </c>
      <c r="I40" s="5" t="str">
        <f aca="false">IF($B40&gt;"2026-08-29","لا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57</v>
      </c>
      <c r="B41" s="5" t="s">
        <v>58</v>
      </c>
      <c r="C41" s="4" t="s">
        <v>28</v>
      </c>
      <c r="D41" s="5" t="n">
        <f aca="false">COUNTIFS('تفاصيل الفرص'!$B$2:$B$282,$B41,'تفاصيل الفرص'!$D$2:$D$282,$C41)</f>
        <v>5</v>
      </c>
      <c r="E41" s="5" t="n">
        <f aca="false">COUNTIFS('تفاصيل الفرص'!$B$2:$B$282,$B41,'تفاصيل الفرص'!$D$2:$D$282,$C41,'تفاصيل الفرص'!$X$2:$X$282,0)</f>
        <v>0</v>
      </c>
      <c r="F41" s="5" t="n">
        <f aca="false">COUNTIFS('سجل الأكشنات'!$B$2:$B$539,$B41,'سجل الأكشنات'!$D$2:$D$539,$C41)</f>
        <v>5</v>
      </c>
      <c r="G41" s="5" t="n">
        <f aca="false">COUNTIFS('سجل الأكشنات'!$B$2:$B$539,$B41,'سجل الأكشنات'!$D$2:$D$539,$C41,'سجل الأكشنات'!$H$2:$H$539,"تفصيلي")</f>
        <v>5</v>
      </c>
      <c r="H41" s="5" t="n">
        <f aca="false">F41-G41</f>
        <v>0</v>
      </c>
      <c r="I41" s="5" t="str">
        <f aca="false">IF($B41&gt;"2026-08-29","لا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57</v>
      </c>
      <c r="B42" s="5" t="s">
        <v>58</v>
      </c>
      <c r="C42" s="4" t="s">
        <v>30</v>
      </c>
      <c r="D42" s="5" t="n">
        <f aca="false">COUNTIFS('تفاصيل الفرص'!$B$2:$B$282,$B42,'تفاصيل الفرص'!$D$2:$D$282,$C42)</f>
        <v>0</v>
      </c>
      <c r="E42" s="5" t="n">
        <f aca="false">COUNTIFS('تفاصيل الفرص'!$B$2:$B$282,$B42,'تفاصيل الفرص'!$D$2:$D$282,$C42,'تفاصيل الفرص'!$X$2:$X$282,0)</f>
        <v>0</v>
      </c>
      <c r="F42" s="5" t="n">
        <f aca="false">COUNTIFS('سجل الأكشنات'!$B$2:$B$539,$B42,'سجل الأكشنات'!$D$2:$D$539,$C42)</f>
        <v>2</v>
      </c>
      <c r="G42" s="5" t="n">
        <f aca="false">COUNTIFS('سجل الأكشنات'!$B$2:$B$539,$B42,'سجل الأكشنات'!$D$2:$D$539,$C42,'سجل الأكشنات'!$H$2:$H$539,"تفصيلي")</f>
        <v>0</v>
      </c>
      <c r="H42" s="5" t="n">
        <f aca="false">F42-G42</f>
        <v>2</v>
      </c>
      <c r="I42" s="5" t="str">
        <f aca="false">IF($B42&gt;"2026-08-29","لا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57</v>
      </c>
      <c r="B43" s="5" t="s">
        <v>58</v>
      </c>
      <c r="C43" s="4" t="s">
        <v>32</v>
      </c>
      <c r="D43" s="5" t="n">
        <f aca="false">COUNTIFS('تفاصيل الفرص'!$B$2:$B$282,$B43,'تفاصيل الفرص'!$D$2:$D$282,$C43)</f>
        <v>0</v>
      </c>
      <c r="E43" s="5" t="n">
        <f aca="false">COUNTIFS('تفاصيل الفرص'!$B$2:$B$282,$B43,'تفاصيل الفرص'!$D$2:$D$282,$C43,'تفاصيل الفرص'!$X$2:$X$282,0)</f>
        <v>0</v>
      </c>
      <c r="F43" s="5" t="n">
        <f aca="false">COUNTIFS('سجل الأكشنات'!$B$2:$B$539,$B43,'سجل الأكشنات'!$D$2:$D$539,$C43)</f>
        <v>0</v>
      </c>
      <c r="G43" s="5" t="n">
        <f aca="false">COUNTIFS('سجل الأكشنات'!$B$2:$B$539,$B43,'سجل الأكشنات'!$D$2:$D$539,$C43,'سجل الأكشنات'!$H$2:$H$539,"تفصيلي")</f>
        <v>0</v>
      </c>
      <c r="H43" s="5" t="n">
        <f aca="false">F43-G43</f>
        <v>0</v>
      </c>
      <c r="I43" s="5" t="str">
        <f aca="false">IF($B43&gt;"2026-08-29","لا توجد بيانات بعد",IF(AND(D43=0,F43=0),"بدون نشاط","نشِط"))</f>
        <v>بدون نشاط</v>
      </c>
    </row>
    <row r="44" customFormat="false" ht="15" hidden="false" customHeight="false" outlineLevel="0" collapsed="false">
      <c r="A44" s="12" t="s">
        <v>59</v>
      </c>
      <c r="B44" s="12" t="s">
        <v>60</v>
      </c>
      <c r="C44" s="13" t="s">
        <v>18</v>
      </c>
      <c r="D44" s="12" t="n">
        <f aca="false">COUNTIFS('تفاصيل الفرص'!$B$2:$B$282,$B44,'تفاصيل الفرص'!$D$2:$D$282,$C44)</f>
        <v>3</v>
      </c>
      <c r="E44" s="12" t="n">
        <f aca="false">COUNTIFS('تفاصيل الفرص'!$B$2:$B$282,$B44,'تفاصيل الفرص'!$D$2:$D$282,$C44,'تفاصيل الفرص'!$X$2:$X$282,0)</f>
        <v>0</v>
      </c>
      <c r="F44" s="12" t="n">
        <f aca="false">COUNTIFS('سجل الأكشنات'!$B$2:$B$539,$B44,'سجل الأكشنات'!$D$2:$D$539,$C44)</f>
        <v>3</v>
      </c>
      <c r="G44" s="12" t="n">
        <f aca="false">COUNTIFS('سجل الأكشنات'!$B$2:$B$539,$B44,'سجل الأكشنات'!$D$2:$D$539,$C44,'سجل الأكشنات'!$H$2:$H$539,"تفصيلي")</f>
        <v>3</v>
      </c>
      <c r="H44" s="12" t="n">
        <f aca="false">F44-G44</f>
        <v>0</v>
      </c>
      <c r="I44" s="12" t="str">
        <f aca="false">IF($B44&gt;"2026-08-29","لا توجد بيانات بعد",IF(AND(D44=0,F44=0),"بدون نشاط","نشِط"))</f>
        <v>نشِط</v>
      </c>
    </row>
    <row r="45" customFormat="false" ht="15" hidden="false" customHeight="false" outlineLevel="0" collapsed="false">
      <c r="A45" s="12" t="s">
        <v>59</v>
      </c>
      <c r="B45" s="12" t="s">
        <v>60</v>
      </c>
      <c r="C45" s="13" t="s">
        <v>20</v>
      </c>
      <c r="D45" s="12" t="n">
        <f aca="false">COUNTIFS('تفاصيل الفرص'!$B$2:$B$282,$B45,'تفاصيل الفرص'!$D$2:$D$282,$C45)</f>
        <v>0</v>
      </c>
      <c r="E45" s="12" t="n">
        <f aca="false">COUNTIFS('تفاصيل الفرص'!$B$2:$B$282,$B45,'تفاصيل الفرص'!$D$2:$D$282,$C45,'تفاصيل الفرص'!$X$2:$X$282,0)</f>
        <v>0</v>
      </c>
      <c r="F45" s="12" t="n">
        <f aca="false">COUNTIFS('سجل الأكشنات'!$B$2:$B$539,$B45,'سجل الأكشنات'!$D$2:$D$539,$C45)</f>
        <v>0</v>
      </c>
      <c r="G45" s="12" t="n">
        <f aca="false">COUNTIFS('سجل الأكشنات'!$B$2:$B$539,$B45,'سجل الأكشنات'!$D$2:$D$539,$C45,'سجل الأكشنات'!$H$2:$H$539,"تفصيلي")</f>
        <v>0</v>
      </c>
      <c r="H45" s="12" t="n">
        <f aca="false">F45-G45</f>
        <v>0</v>
      </c>
      <c r="I45" s="12" t="str">
        <f aca="false">IF($B45&gt;"2026-08-29","لا توجد بيانات بعد",IF(AND(D45=0,F45=0),"بدون نشاط","نشِط"))</f>
        <v>بدون نشاط</v>
      </c>
    </row>
    <row r="46" customFormat="false" ht="15" hidden="false" customHeight="false" outlineLevel="0" collapsed="false">
      <c r="A46" s="12" t="s">
        <v>59</v>
      </c>
      <c r="B46" s="12" t="s">
        <v>60</v>
      </c>
      <c r="C46" s="13" t="s">
        <v>22</v>
      </c>
      <c r="D46" s="12" t="n">
        <f aca="false">COUNTIFS('تفاصيل الفرص'!$B$2:$B$282,$B46,'تفاصيل الفرص'!$D$2:$D$282,$C46)</f>
        <v>1</v>
      </c>
      <c r="E46" s="12" t="n">
        <f aca="false">COUNTIFS('تفاصيل الفرص'!$B$2:$B$282,$B46,'تفاصيل الفرص'!$D$2:$D$282,$C46,'تفاصيل الفرص'!$X$2:$X$282,0)</f>
        <v>0</v>
      </c>
      <c r="F46" s="12" t="n">
        <f aca="false">COUNTIFS('سجل الأكشنات'!$B$2:$B$539,$B46,'سجل الأكشنات'!$D$2:$D$539,$C46)</f>
        <v>1</v>
      </c>
      <c r="G46" s="12" t="n">
        <f aca="false">COUNTIFS('سجل الأكشنات'!$B$2:$B$539,$B46,'سجل الأكشنات'!$D$2:$D$539,$C46,'سجل الأكشنات'!$H$2:$H$539,"تفصيلي")</f>
        <v>1</v>
      </c>
      <c r="H46" s="12" t="n">
        <f aca="false">F46-G46</f>
        <v>0</v>
      </c>
      <c r="I46" s="12" t="str">
        <f aca="false">IF($B46&gt;"2026-08-29","لا توجد بيانات بعد",IF(AND(D46=0,F46=0),"بدون نشاط","نشِط"))</f>
        <v>نشِط</v>
      </c>
    </row>
    <row r="47" customFormat="false" ht="15" hidden="false" customHeight="false" outlineLevel="0" collapsed="false">
      <c r="A47" s="12" t="s">
        <v>59</v>
      </c>
      <c r="B47" s="12" t="s">
        <v>60</v>
      </c>
      <c r="C47" s="13" t="s">
        <v>24</v>
      </c>
      <c r="D47" s="12" t="n">
        <f aca="false">COUNTIFS('تفاصيل الفرص'!$B$2:$B$282,$B47,'تفاصيل الفرص'!$D$2:$D$282,$C47)</f>
        <v>0</v>
      </c>
      <c r="E47" s="12" t="n">
        <f aca="false">COUNTIFS('تفاصيل الفرص'!$B$2:$B$282,$B47,'تفاصيل الفرص'!$D$2:$D$282,$C47,'تفاصيل الفرص'!$X$2:$X$282,0)</f>
        <v>0</v>
      </c>
      <c r="F47" s="12" t="n">
        <f aca="false">COUNTIFS('سجل الأكشنات'!$B$2:$B$539,$B47,'سجل الأكشنات'!$D$2:$D$539,$C47)</f>
        <v>3</v>
      </c>
      <c r="G47" s="12" t="n">
        <f aca="false">COUNTIFS('سجل الأكشنات'!$B$2:$B$539,$B47,'سجل الأكشنات'!$D$2:$D$539,$C47,'سجل الأكشنات'!$H$2:$H$539,"تفصيلي")</f>
        <v>3</v>
      </c>
      <c r="H47" s="12" t="n">
        <f aca="false">F47-G47</f>
        <v>0</v>
      </c>
      <c r="I47" s="12" t="str">
        <f aca="false">IF($B47&gt;"2026-08-29","لا توجد بيانات بعد",IF(AND(D47=0,F47=0),"بدون نشاط","نشِط"))</f>
        <v>نشِط</v>
      </c>
    </row>
    <row r="48" customFormat="false" ht="15" hidden="false" customHeight="false" outlineLevel="0" collapsed="false">
      <c r="A48" s="12" t="s">
        <v>59</v>
      </c>
      <c r="B48" s="12" t="s">
        <v>60</v>
      </c>
      <c r="C48" s="13" t="s">
        <v>26</v>
      </c>
      <c r="D48" s="12" t="n">
        <f aca="false">COUNTIFS('تفاصيل الفرص'!$B$2:$B$282,$B48,'تفاصيل الفرص'!$D$2:$D$282,$C48)</f>
        <v>0</v>
      </c>
      <c r="E48" s="12" t="n">
        <f aca="false">COUNTIFS('تفاصيل الفرص'!$B$2:$B$282,$B48,'تفاصيل الفرص'!$D$2:$D$282,$C48,'تفاصيل الفرص'!$X$2:$X$282,0)</f>
        <v>0</v>
      </c>
      <c r="F48" s="12" t="n">
        <f aca="false">COUNTIFS('سجل الأكشنات'!$B$2:$B$539,$B48,'سجل الأكشنات'!$D$2:$D$539,$C48)</f>
        <v>7</v>
      </c>
      <c r="G48" s="12" t="n">
        <f aca="false">COUNTIFS('سجل الأكشنات'!$B$2:$B$539,$B48,'سجل الأكشنات'!$D$2:$D$539,$C48,'سجل الأكشنات'!$H$2:$H$539,"تفصيلي")</f>
        <v>7</v>
      </c>
      <c r="H48" s="12" t="n">
        <f aca="false">F48-G48</f>
        <v>0</v>
      </c>
      <c r="I48" s="12" t="str">
        <f aca="false">IF($B48&gt;"2026-08-29","لا توجد بيانات بعد",IF(AND(D48=0,F48=0),"بدون نشاط","نشِط"))</f>
        <v>نشِط</v>
      </c>
    </row>
    <row r="49" customFormat="false" ht="15" hidden="false" customHeight="false" outlineLevel="0" collapsed="false">
      <c r="A49" s="12" t="s">
        <v>59</v>
      </c>
      <c r="B49" s="12" t="s">
        <v>60</v>
      </c>
      <c r="C49" s="13" t="s">
        <v>28</v>
      </c>
      <c r="D49" s="12" t="n">
        <f aca="false">COUNTIFS('تفاصيل الفرص'!$B$2:$B$282,$B49,'تفاصيل الفرص'!$D$2:$D$282,$C49)</f>
        <v>7</v>
      </c>
      <c r="E49" s="12" t="n">
        <f aca="false">COUNTIFS('تفاصيل الفرص'!$B$2:$B$282,$B49,'تفاصيل الفرص'!$D$2:$D$282,$C49,'تفاصيل الفرص'!$X$2:$X$282,0)</f>
        <v>0</v>
      </c>
      <c r="F49" s="12" t="n">
        <f aca="false">COUNTIFS('سجل الأكشنات'!$B$2:$B$539,$B49,'سجل الأكشنات'!$D$2:$D$539,$C49)</f>
        <v>7</v>
      </c>
      <c r="G49" s="12" t="n">
        <f aca="false">COUNTIFS('سجل الأكشنات'!$B$2:$B$539,$B49,'سجل الأكشنات'!$D$2:$D$539,$C49,'سجل الأكشنات'!$H$2:$H$539,"تفصيلي")</f>
        <v>5</v>
      </c>
      <c r="H49" s="12" t="n">
        <f aca="false">F49-G49</f>
        <v>2</v>
      </c>
      <c r="I49" s="12" t="str">
        <f aca="false">IF($B49&gt;"2026-08-29","لا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59</v>
      </c>
      <c r="B50" s="12" t="s">
        <v>60</v>
      </c>
      <c r="C50" s="13" t="s">
        <v>30</v>
      </c>
      <c r="D50" s="12" t="n">
        <f aca="false">COUNTIFS('تفاصيل الفرص'!$B$2:$B$282,$B50,'تفاصيل الفرص'!$D$2:$D$282,$C50)</f>
        <v>2</v>
      </c>
      <c r="E50" s="12" t="n">
        <f aca="false">COUNTIFS('تفاصيل الفرص'!$B$2:$B$282,$B50,'تفاصيل الفرص'!$D$2:$D$282,$C50,'تفاصيل الفرص'!$X$2:$X$282,0)</f>
        <v>0</v>
      </c>
      <c r="F50" s="12" t="n">
        <f aca="false">COUNTIFS('سجل الأكشنات'!$B$2:$B$539,$B50,'سجل الأكشنات'!$D$2:$D$539,$C50)</f>
        <v>4</v>
      </c>
      <c r="G50" s="12" t="n">
        <f aca="false">COUNTIFS('سجل الأكشنات'!$B$2:$B$539,$B50,'سجل الأكشنات'!$D$2:$D$539,$C50,'سجل الأكشنات'!$H$2:$H$539,"تفصيلي")</f>
        <v>2</v>
      </c>
      <c r="H50" s="12" t="n">
        <f aca="false">F50-G50</f>
        <v>2</v>
      </c>
      <c r="I50" s="12" t="str">
        <f aca="false">IF($B50&gt;"2026-08-29","لا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59</v>
      </c>
      <c r="B51" s="12" t="s">
        <v>60</v>
      </c>
      <c r="C51" s="13" t="s">
        <v>32</v>
      </c>
      <c r="D51" s="12" t="n">
        <f aca="false">COUNTIFS('تفاصيل الفرص'!$B$2:$B$282,$B51,'تفاصيل الفرص'!$D$2:$D$282,$C51)</f>
        <v>0</v>
      </c>
      <c r="E51" s="12" t="n">
        <f aca="false">COUNTIFS('تفاصيل الفرص'!$B$2:$B$282,$B51,'تفاصيل الفرص'!$D$2:$D$282,$C51,'تفاصيل الفرص'!$X$2:$X$282,0)</f>
        <v>0</v>
      </c>
      <c r="F51" s="12" t="n">
        <f aca="false">COUNTIFS('سجل الأكشنات'!$B$2:$B$539,$B51,'سجل الأكشنات'!$D$2:$D$539,$C51)</f>
        <v>0</v>
      </c>
      <c r="G51" s="12" t="n">
        <f aca="false">COUNTIFS('سجل الأكشنات'!$B$2:$B$539,$B51,'سجل الأكشنات'!$D$2:$D$539,$C51,'سجل الأكشنات'!$H$2:$H$539,"تفصيلي")</f>
        <v>0</v>
      </c>
      <c r="H51" s="12" t="n">
        <f aca="false">F51-G51</f>
        <v>0</v>
      </c>
      <c r="I51" s="12" t="str">
        <f aca="false">IF($B51&gt;"2026-08-29","لا توجد بيانات بعد",IF(AND(D51=0,F51=0),"بدون نشاط","نشِط"))</f>
        <v>بدون نشاط</v>
      </c>
    </row>
    <row r="52" customFormat="false" ht="15" hidden="false" customHeight="false" outlineLevel="0" collapsed="false">
      <c r="A52" s="5" t="s">
        <v>61</v>
      </c>
      <c r="B52" s="5" t="s">
        <v>62</v>
      </c>
      <c r="C52" s="4" t="s">
        <v>18</v>
      </c>
      <c r="D52" s="5" t="n">
        <f aca="false">COUNTIFS('تفاصيل الفرص'!$B$2:$B$282,$B52,'تفاصيل الفرص'!$D$2:$D$282,$C52)</f>
        <v>0</v>
      </c>
      <c r="E52" s="5" t="n">
        <f aca="false">COUNTIFS('تفاصيل الفرص'!$B$2:$B$282,$B52,'تفاصيل الفرص'!$D$2:$D$282,$C52,'تفاصيل الفرص'!$X$2:$X$282,0)</f>
        <v>0</v>
      </c>
      <c r="F52" s="5" t="n">
        <f aca="false">COUNTIFS('سجل الأكشنات'!$B$2:$B$539,$B52,'سجل الأكشنات'!$D$2:$D$539,$C52)</f>
        <v>0</v>
      </c>
      <c r="G52" s="5" t="n">
        <f aca="false">COUNTIFS('سجل الأكشنات'!$B$2:$B$539,$B52,'سجل الأكشنات'!$D$2:$D$539,$C52,'سجل الأكشنات'!$H$2:$H$539,"تفصيلي")</f>
        <v>0</v>
      </c>
      <c r="H52" s="5" t="n">
        <f aca="false">F52-G52</f>
        <v>0</v>
      </c>
      <c r="I52" s="5" t="str">
        <f aca="false">IF($B52&gt;"2026-08-29","لا توجد بيانات بعد",IF(AND(D52=0,F52=0),"بدون نشاط","نشِط"))</f>
        <v>بدون نشاط</v>
      </c>
    </row>
    <row r="53" customFormat="false" ht="15" hidden="false" customHeight="false" outlineLevel="0" collapsed="false">
      <c r="A53" s="5" t="s">
        <v>61</v>
      </c>
      <c r="B53" s="5" t="s">
        <v>62</v>
      </c>
      <c r="C53" s="4" t="s">
        <v>20</v>
      </c>
      <c r="D53" s="5" t="n">
        <f aca="false">COUNTIFS('تفاصيل الفرص'!$B$2:$B$282,$B53,'تفاصيل الفرص'!$D$2:$D$282,$C53)</f>
        <v>0</v>
      </c>
      <c r="E53" s="5" t="n">
        <f aca="false">COUNTIFS('تفاصيل الفرص'!$B$2:$B$282,$B53,'تفاصيل الفرص'!$D$2:$D$282,$C53,'تفاصيل الفرص'!$X$2:$X$282,0)</f>
        <v>0</v>
      </c>
      <c r="F53" s="5" t="n">
        <f aca="false">COUNTIFS('سجل الأكشنات'!$B$2:$B$539,$B53,'سجل الأكشنات'!$D$2:$D$539,$C53)</f>
        <v>0</v>
      </c>
      <c r="G53" s="5" t="n">
        <f aca="false">COUNTIFS('سجل الأكشنات'!$B$2:$B$539,$B53,'سجل الأكشنات'!$D$2:$D$539,$C53,'سجل الأكشنات'!$H$2:$H$539,"تفصيلي")</f>
        <v>0</v>
      </c>
      <c r="H53" s="5" t="n">
        <f aca="false">F53-G53</f>
        <v>0</v>
      </c>
      <c r="I53" s="5" t="str">
        <f aca="false">IF($B53&gt;"2026-08-29","لا توجد بيانات بعد",IF(AND(D53=0,F53=0),"بدون نشاط","نشِط"))</f>
        <v>بدون نشاط</v>
      </c>
    </row>
    <row r="54" customFormat="false" ht="15" hidden="false" customHeight="false" outlineLevel="0" collapsed="false">
      <c r="A54" s="5" t="s">
        <v>61</v>
      </c>
      <c r="B54" s="5" t="s">
        <v>62</v>
      </c>
      <c r="C54" s="4" t="s">
        <v>22</v>
      </c>
      <c r="D54" s="5" t="n">
        <f aca="false">COUNTIFS('تفاصيل الفرص'!$B$2:$B$282,$B54,'تفاصيل الفرص'!$D$2:$D$282,$C54)</f>
        <v>4</v>
      </c>
      <c r="E54" s="5" t="n">
        <f aca="false">COUNTIFS('تفاصيل الفرص'!$B$2:$B$282,$B54,'تفاصيل الفرص'!$D$2:$D$282,$C54,'تفاصيل الفرص'!$X$2:$X$282,0)</f>
        <v>0</v>
      </c>
      <c r="F54" s="5" t="n">
        <f aca="false">COUNTIFS('سجل الأكشنات'!$B$2:$B$539,$B54,'سجل الأكشنات'!$D$2:$D$539,$C54)</f>
        <v>4</v>
      </c>
      <c r="G54" s="5" t="n">
        <f aca="false">COUNTIFS('سجل الأكشنات'!$B$2:$B$539,$B54,'سجل الأكشنات'!$D$2:$D$539,$C54,'سجل الأكشنات'!$H$2:$H$539,"تفصيلي")</f>
        <v>3</v>
      </c>
      <c r="H54" s="5" t="n">
        <f aca="false">F54-G54</f>
        <v>1</v>
      </c>
      <c r="I54" s="5" t="str">
        <f aca="false">IF($B54&gt;"2026-08-29","لا توجد بيانات بعد",IF(AND(D54=0,F54=0),"بدون نشاط","نشِط"))</f>
        <v>نشِط</v>
      </c>
    </row>
    <row r="55" customFormat="false" ht="15" hidden="false" customHeight="false" outlineLevel="0" collapsed="false">
      <c r="A55" s="5" t="s">
        <v>61</v>
      </c>
      <c r="B55" s="5" t="s">
        <v>62</v>
      </c>
      <c r="C55" s="4" t="s">
        <v>24</v>
      </c>
      <c r="D55" s="5" t="n">
        <f aca="false">COUNTIFS('تفاصيل الفرص'!$B$2:$B$282,$B55,'تفاصيل الفرص'!$D$2:$D$282,$C55)</f>
        <v>0</v>
      </c>
      <c r="E55" s="5" t="n">
        <f aca="false">COUNTIFS('تفاصيل الفرص'!$B$2:$B$282,$B55,'تفاصيل الفرص'!$D$2:$D$282,$C55,'تفاصيل الفرص'!$X$2:$X$282,0)</f>
        <v>0</v>
      </c>
      <c r="F55" s="5" t="n">
        <f aca="false">COUNTIFS('سجل الأكشنات'!$B$2:$B$539,$B55,'سجل الأكشنات'!$D$2:$D$539,$C55)</f>
        <v>0</v>
      </c>
      <c r="G55" s="5" t="n">
        <f aca="false">COUNTIFS('سجل الأكشنات'!$B$2:$B$539,$B55,'سجل الأكشنات'!$D$2:$D$539,$C55,'سجل الأكشنات'!$H$2:$H$539,"تفصيلي")</f>
        <v>0</v>
      </c>
      <c r="H55" s="5" t="n">
        <f aca="false">F55-G55</f>
        <v>0</v>
      </c>
      <c r="I55" s="5" t="str">
        <f aca="false">IF($B55&gt;"2026-08-29","لا توجد بيانات بعد",IF(AND(D55=0,F55=0),"بدون نشاط","نشِط"))</f>
        <v>بدون نشاط</v>
      </c>
    </row>
    <row r="56" customFormat="false" ht="15" hidden="false" customHeight="false" outlineLevel="0" collapsed="false">
      <c r="A56" s="5" t="s">
        <v>61</v>
      </c>
      <c r="B56" s="5" t="s">
        <v>62</v>
      </c>
      <c r="C56" s="4" t="s">
        <v>26</v>
      </c>
      <c r="D56" s="5" t="n">
        <f aca="false">COUNTIFS('تفاصيل الفرص'!$B$2:$B$282,$B56,'تفاصيل الفرص'!$D$2:$D$282,$C56)</f>
        <v>0</v>
      </c>
      <c r="E56" s="5" t="n">
        <f aca="false">COUNTIFS('تفاصيل الفرص'!$B$2:$B$282,$B56,'تفاصيل الفرص'!$D$2:$D$282,$C56,'تفاصيل الفرص'!$X$2:$X$282,0)</f>
        <v>0</v>
      </c>
      <c r="F56" s="5" t="n">
        <f aca="false">COUNTIFS('سجل الأكشنات'!$B$2:$B$539,$B56,'سجل الأكشنات'!$D$2:$D$539,$C56)</f>
        <v>0</v>
      </c>
      <c r="G56" s="5" t="n">
        <f aca="false">COUNTIFS('سجل الأكشنات'!$B$2:$B$539,$B56,'سجل الأكشنات'!$D$2:$D$539,$C56,'سجل الأكشنات'!$H$2:$H$539,"تفصيلي")</f>
        <v>0</v>
      </c>
      <c r="H56" s="5" t="n">
        <f aca="false">F56-G56</f>
        <v>0</v>
      </c>
      <c r="I56" s="5" t="str">
        <f aca="false">IF($B56&gt;"2026-08-29","لا توجد بيانات بعد",IF(AND(D56=0,F56=0),"بدون نشاط","نشِط"))</f>
        <v>بدون نشاط</v>
      </c>
    </row>
    <row r="57" customFormat="false" ht="15" hidden="false" customHeight="false" outlineLevel="0" collapsed="false">
      <c r="A57" s="5" t="s">
        <v>61</v>
      </c>
      <c r="B57" s="5" t="s">
        <v>62</v>
      </c>
      <c r="C57" s="4" t="s">
        <v>28</v>
      </c>
      <c r="D57" s="5" t="n">
        <f aca="false">COUNTIFS('تفاصيل الفرص'!$B$2:$B$282,$B57,'تفاصيل الفرص'!$D$2:$D$282,$C57)</f>
        <v>0</v>
      </c>
      <c r="E57" s="5" t="n">
        <f aca="false">COUNTIFS('تفاصيل الفرص'!$B$2:$B$282,$B57,'تفاصيل الفرص'!$D$2:$D$282,$C57,'تفاصيل الفرص'!$X$2:$X$282,0)</f>
        <v>0</v>
      </c>
      <c r="F57" s="5" t="n">
        <f aca="false">COUNTIFS('سجل الأكشنات'!$B$2:$B$539,$B57,'سجل الأكشنات'!$D$2:$D$539,$C57)</f>
        <v>0</v>
      </c>
      <c r="G57" s="5" t="n">
        <f aca="false">COUNTIFS('سجل الأكشنات'!$B$2:$B$539,$B57,'سجل الأكشنات'!$D$2:$D$539,$C57,'سجل الأكشنات'!$H$2:$H$539,"تفصيلي")</f>
        <v>0</v>
      </c>
      <c r="H57" s="5" t="n">
        <f aca="false">F57-G57</f>
        <v>0</v>
      </c>
      <c r="I57" s="5" t="str">
        <f aca="false">IF($B57&gt;"2026-08-29","لا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61</v>
      </c>
      <c r="B58" s="5" t="s">
        <v>62</v>
      </c>
      <c r="C58" s="4" t="s">
        <v>30</v>
      </c>
      <c r="D58" s="5" t="n">
        <f aca="false">COUNTIFS('تفاصيل الفرص'!$B$2:$B$282,$B58,'تفاصيل الفرص'!$D$2:$D$282,$C58)</f>
        <v>0</v>
      </c>
      <c r="E58" s="5" t="n">
        <f aca="false">COUNTIFS('تفاصيل الفرص'!$B$2:$B$282,$B58,'تفاصيل الفرص'!$D$2:$D$282,$C58,'تفاصيل الفرص'!$X$2:$X$282,0)</f>
        <v>0</v>
      </c>
      <c r="F58" s="5" t="n">
        <f aca="false">COUNTIFS('سجل الأكشنات'!$B$2:$B$539,$B58,'سجل الأكشنات'!$D$2:$D$539,$C58)</f>
        <v>0</v>
      </c>
      <c r="G58" s="5" t="n">
        <f aca="false">COUNTIFS('سجل الأكشنات'!$B$2:$B$539,$B58,'سجل الأكشنات'!$D$2:$D$539,$C58,'سجل الأكشنات'!$H$2:$H$539,"تفصيلي")</f>
        <v>0</v>
      </c>
      <c r="H58" s="5" t="n">
        <f aca="false">F58-G58</f>
        <v>0</v>
      </c>
      <c r="I58" s="5" t="str">
        <f aca="false">IF($B58&gt;"2026-08-29","لا توجد بيانات بعد",IF(AND(D58=0,F58=0),"بدون نشاط","نشِط"))</f>
        <v>بدون نشاط</v>
      </c>
    </row>
    <row r="59" customFormat="false" ht="15" hidden="false" customHeight="false" outlineLevel="0" collapsed="false">
      <c r="A59" s="5" t="s">
        <v>61</v>
      </c>
      <c r="B59" s="5" t="s">
        <v>62</v>
      </c>
      <c r="C59" s="4" t="s">
        <v>32</v>
      </c>
      <c r="D59" s="5" t="n">
        <f aca="false">COUNTIFS('تفاصيل الفرص'!$B$2:$B$282,$B59,'تفاصيل الفرص'!$D$2:$D$282,$C59)</f>
        <v>0</v>
      </c>
      <c r="E59" s="5" t="n">
        <f aca="false">COUNTIFS('تفاصيل الفرص'!$B$2:$B$282,$B59,'تفاصيل الفرص'!$D$2:$D$282,$C59,'تفاصيل الفرص'!$X$2:$X$282,0)</f>
        <v>0</v>
      </c>
      <c r="F59" s="5" t="n">
        <f aca="false">COUNTIFS('سجل الأكشنات'!$B$2:$B$539,$B59,'سجل الأكشنات'!$D$2:$D$539,$C59)</f>
        <v>0</v>
      </c>
      <c r="G59" s="5" t="n">
        <f aca="false">COUNTIFS('سجل الأكشنات'!$B$2:$B$539,$B59,'سجل الأكشنات'!$D$2:$D$539,$C59,'سجل الأكشنات'!$H$2:$H$539,"تفصيلي")</f>
        <v>0</v>
      </c>
      <c r="H59" s="5" t="n">
        <f aca="false">F59-G59</f>
        <v>0</v>
      </c>
      <c r="I59" s="5" t="str">
        <f aca="false">IF($B59&gt;"2026-08-29","لا توجد بيانات بعد",IF(AND(D59=0,F59=0),"بدون نشاط","نشِط"))</f>
        <v>بدون نشاط</v>
      </c>
    </row>
    <row r="60" customFormat="false" ht="15" hidden="false" customHeight="false" outlineLevel="0" collapsed="false">
      <c r="A60" s="12" t="s">
        <v>49</v>
      </c>
      <c r="B60" s="12" t="s">
        <v>63</v>
      </c>
      <c r="C60" s="13" t="s">
        <v>18</v>
      </c>
      <c r="D60" s="12" t="n">
        <f aca="false">COUNTIFS('تفاصيل الفرص'!$B$2:$B$282,$B60,'تفاصيل الفرص'!$D$2:$D$282,$C60)</f>
        <v>0</v>
      </c>
      <c r="E60" s="12" t="n">
        <f aca="false">COUNTIFS('تفاصيل الفرص'!$B$2:$B$282,$B60,'تفاصيل الفرص'!$D$2:$D$282,$C60,'تفاصيل الفرص'!$X$2:$X$282,0)</f>
        <v>0</v>
      </c>
      <c r="F60" s="12" t="n">
        <f aca="false">COUNTIFS('سجل الأكشنات'!$B$2:$B$539,$B60,'سجل الأكشنات'!$D$2:$D$539,$C60)</f>
        <v>0</v>
      </c>
      <c r="G60" s="12" t="n">
        <f aca="false">COUNTIFS('سجل الأكشنات'!$B$2:$B$539,$B60,'سجل الأكشنات'!$D$2:$D$539,$C60,'سجل الأكشنات'!$H$2:$H$539,"تفصيلي")</f>
        <v>0</v>
      </c>
      <c r="H60" s="12" t="n">
        <f aca="false">F60-G60</f>
        <v>0</v>
      </c>
      <c r="I60" s="12" t="str">
        <f aca="false">IF($B60&gt;"2026-08-29","لا توجد بيانات بعد",IF(AND(D60=0,F60=0),"بدون نشاط","نشِط"))</f>
        <v>بدون نشاط</v>
      </c>
    </row>
    <row r="61" customFormat="false" ht="15" hidden="false" customHeight="false" outlineLevel="0" collapsed="false">
      <c r="A61" s="12" t="s">
        <v>49</v>
      </c>
      <c r="B61" s="12" t="s">
        <v>63</v>
      </c>
      <c r="C61" s="13" t="s">
        <v>20</v>
      </c>
      <c r="D61" s="12" t="n">
        <f aca="false">COUNTIFS('تفاصيل الفرص'!$B$2:$B$282,$B61,'تفاصيل الفرص'!$D$2:$D$282,$C61)</f>
        <v>0</v>
      </c>
      <c r="E61" s="12" t="n">
        <f aca="false">COUNTIFS('تفاصيل الفرص'!$B$2:$B$282,$B61,'تفاصيل الفرص'!$D$2:$D$282,$C61,'تفاصيل الفرص'!$X$2:$X$282,0)</f>
        <v>0</v>
      </c>
      <c r="F61" s="12" t="n">
        <f aca="false">COUNTIFS('سجل الأكشنات'!$B$2:$B$539,$B61,'سجل الأكشنات'!$D$2:$D$539,$C61)</f>
        <v>0</v>
      </c>
      <c r="G61" s="12" t="n">
        <f aca="false">COUNTIFS('سجل الأكشنات'!$B$2:$B$539,$B61,'سجل الأكشنات'!$D$2:$D$539,$C61,'سجل الأكشنات'!$H$2:$H$539,"تفصيلي")</f>
        <v>0</v>
      </c>
      <c r="H61" s="12" t="n">
        <f aca="false">F61-G61</f>
        <v>0</v>
      </c>
      <c r="I61" s="12" t="str">
        <f aca="false">IF($B61&gt;"2026-08-29","لا توجد بيانات بعد",IF(AND(D61=0,F61=0),"بدون نشاط","نشِط"))</f>
        <v>بدون نشاط</v>
      </c>
    </row>
    <row r="62" customFormat="false" ht="15" hidden="false" customHeight="false" outlineLevel="0" collapsed="false">
      <c r="A62" s="12" t="s">
        <v>49</v>
      </c>
      <c r="B62" s="12" t="s">
        <v>63</v>
      </c>
      <c r="C62" s="13" t="s">
        <v>22</v>
      </c>
      <c r="D62" s="12" t="n">
        <f aca="false">COUNTIFS('تفاصيل الفرص'!$B$2:$B$282,$B62,'تفاصيل الفرص'!$D$2:$D$282,$C62)</f>
        <v>2</v>
      </c>
      <c r="E62" s="12" t="n">
        <f aca="false">COUNTIFS('تفاصيل الفرص'!$B$2:$B$282,$B62,'تفاصيل الفرص'!$D$2:$D$282,$C62,'تفاصيل الفرص'!$X$2:$X$282,0)</f>
        <v>0</v>
      </c>
      <c r="F62" s="12" t="n">
        <f aca="false">COUNTIFS('سجل الأكشنات'!$B$2:$B$539,$B62,'سجل الأكشنات'!$D$2:$D$539,$C62)</f>
        <v>2</v>
      </c>
      <c r="G62" s="12" t="n">
        <f aca="false">COUNTIFS('سجل الأكشنات'!$B$2:$B$539,$B62,'سجل الأكشنات'!$D$2:$D$539,$C62,'سجل الأكشنات'!$H$2:$H$539,"تفصيلي")</f>
        <v>0</v>
      </c>
      <c r="H62" s="12" t="n">
        <f aca="false">F62-G62</f>
        <v>2</v>
      </c>
      <c r="I62" s="12" t="str">
        <f aca="false">IF($B62&gt;"2026-08-29","لا توجد بيانات بعد",IF(AND(D62=0,F62=0),"بدون نشاط","نشِط"))</f>
        <v>نشِط</v>
      </c>
    </row>
    <row r="63" customFormat="false" ht="15" hidden="false" customHeight="false" outlineLevel="0" collapsed="false">
      <c r="A63" s="12" t="s">
        <v>49</v>
      </c>
      <c r="B63" s="12" t="s">
        <v>63</v>
      </c>
      <c r="C63" s="13" t="s">
        <v>24</v>
      </c>
      <c r="D63" s="12" t="n">
        <f aca="false">COUNTIFS('تفاصيل الفرص'!$B$2:$B$282,$B63,'تفاصيل الفرص'!$D$2:$D$282,$C63)</f>
        <v>0</v>
      </c>
      <c r="E63" s="12" t="n">
        <f aca="false">COUNTIFS('تفاصيل الفرص'!$B$2:$B$282,$B63,'تفاصيل الفرص'!$D$2:$D$282,$C63,'تفاصيل الفرص'!$X$2:$X$282,0)</f>
        <v>0</v>
      </c>
      <c r="F63" s="12" t="n">
        <f aca="false">COUNTIFS('سجل الأكشنات'!$B$2:$B$539,$B63,'سجل الأكشنات'!$D$2:$D$539,$C63)</f>
        <v>3</v>
      </c>
      <c r="G63" s="12" t="n">
        <f aca="false">COUNTIFS('سجل الأكشنات'!$B$2:$B$539,$B63,'سجل الأكشنات'!$D$2:$D$539,$C63,'سجل الأكشنات'!$H$2:$H$539,"تفصيلي")</f>
        <v>3</v>
      </c>
      <c r="H63" s="12" t="n">
        <f aca="false">F63-G63</f>
        <v>0</v>
      </c>
      <c r="I63" s="12" t="str">
        <f aca="false">IF($B63&gt;"2026-08-29","لا توجد بيانات بعد",IF(AND(D63=0,F63=0),"بدون نشاط","نشِط"))</f>
        <v>نشِط</v>
      </c>
    </row>
    <row r="64" customFormat="false" ht="15" hidden="false" customHeight="false" outlineLevel="0" collapsed="false">
      <c r="A64" s="12" t="s">
        <v>49</v>
      </c>
      <c r="B64" s="12" t="s">
        <v>63</v>
      </c>
      <c r="C64" s="13" t="s">
        <v>26</v>
      </c>
      <c r="D64" s="12" t="n">
        <f aca="false">COUNTIFS('تفاصيل الفرص'!$B$2:$B$282,$B64,'تفاصيل الفرص'!$D$2:$D$282,$C64)</f>
        <v>0</v>
      </c>
      <c r="E64" s="12" t="n">
        <f aca="false">COUNTIFS('تفاصيل الفرص'!$B$2:$B$282,$B64,'تفاصيل الفرص'!$D$2:$D$282,$C64,'تفاصيل الفرص'!$X$2:$X$282,0)</f>
        <v>0</v>
      </c>
      <c r="F64" s="12" t="n">
        <f aca="false">COUNTIFS('سجل الأكشنات'!$B$2:$B$539,$B64,'سجل الأكشنات'!$D$2:$D$539,$C64)</f>
        <v>0</v>
      </c>
      <c r="G64" s="12" t="n">
        <f aca="false">COUNTIFS('سجل الأكشنات'!$B$2:$B$539,$B64,'سجل الأكشنات'!$D$2:$D$539,$C64,'سجل الأكشنات'!$H$2:$H$539,"تفصيلي")</f>
        <v>0</v>
      </c>
      <c r="H64" s="12" t="n">
        <f aca="false">F64-G64</f>
        <v>0</v>
      </c>
      <c r="I64" s="12" t="str">
        <f aca="false">IF($B64&gt;"2026-08-29","لا توجد بيانات بعد",IF(AND(D64=0,F64=0),"بدون نشاط","نشِط"))</f>
        <v>بدون نشاط</v>
      </c>
    </row>
    <row r="65" customFormat="false" ht="15" hidden="false" customHeight="false" outlineLevel="0" collapsed="false">
      <c r="A65" s="12" t="s">
        <v>49</v>
      </c>
      <c r="B65" s="12" t="s">
        <v>63</v>
      </c>
      <c r="C65" s="13" t="s">
        <v>28</v>
      </c>
      <c r="D65" s="12" t="n">
        <f aca="false">COUNTIFS('تفاصيل الفرص'!$B$2:$B$282,$B65,'تفاصيل الفرص'!$D$2:$D$282,$C65)</f>
        <v>6</v>
      </c>
      <c r="E65" s="12" t="n">
        <f aca="false">COUNTIFS('تفاصيل الفرص'!$B$2:$B$282,$B65,'تفاصيل الفرص'!$D$2:$D$282,$C65,'تفاصيل الفرص'!$X$2:$X$282,0)</f>
        <v>0</v>
      </c>
      <c r="F65" s="12" t="n">
        <f aca="false">COUNTIFS('سجل الأكشنات'!$B$2:$B$539,$B65,'سجل الأكشنات'!$D$2:$D$539,$C65)</f>
        <v>6</v>
      </c>
      <c r="G65" s="12" t="n">
        <f aca="false">COUNTIFS('سجل الأكشنات'!$B$2:$B$539,$B65,'سجل الأكشنات'!$D$2:$D$539,$C65,'سجل الأكشنات'!$H$2:$H$539,"تفصيلي")</f>
        <v>5</v>
      </c>
      <c r="H65" s="12" t="n">
        <f aca="false">F65-G65</f>
        <v>1</v>
      </c>
      <c r="I65" s="12" t="str">
        <f aca="false">IF($B65&gt;"2026-08-29","لا توجد بيانات بعد",IF(AND(D65=0,F65=0),"بدون نشاط","نشِط"))</f>
        <v>نشِط</v>
      </c>
    </row>
    <row r="66" customFormat="false" ht="15" hidden="false" customHeight="false" outlineLevel="0" collapsed="false">
      <c r="A66" s="12" t="s">
        <v>49</v>
      </c>
      <c r="B66" s="12" t="s">
        <v>63</v>
      </c>
      <c r="C66" s="13" t="s">
        <v>30</v>
      </c>
      <c r="D66" s="12" t="n">
        <f aca="false">COUNTIFS('تفاصيل الفرص'!$B$2:$B$282,$B66,'تفاصيل الفرص'!$D$2:$D$282,$C66)</f>
        <v>3</v>
      </c>
      <c r="E66" s="12" t="n">
        <f aca="false">COUNTIFS('تفاصيل الفرص'!$B$2:$B$282,$B66,'تفاصيل الفرص'!$D$2:$D$282,$C66,'تفاصيل الفرص'!$X$2:$X$282,0)</f>
        <v>0</v>
      </c>
      <c r="F66" s="12" t="n">
        <f aca="false">COUNTIFS('سجل الأكشنات'!$B$2:$B$539,$B66,'سجل الأكشنات'!$D$2:$D$539,$C66)</f>
        <v>3</v>
      </c>
      <c r="G66" s="12" t="n">
        <f aca="false">COUNTIFS('سجل الأكشنات'!$B$2:$B$539,$B66,'سجل الأكشنات'!$D$2:$D$539,$C66,'سجل الأكشنات'!$H$2:$H$539,"تفصيلي")</f>
        <v>2</v>
      </c>
      <c r="H66" s="12" t="n">
        <f aca="false">F66-G66</f>
        <v>1</v>
      </c>
      <c r="I66" s="12" t="str">
        <f aca="false">IF($B66&gt;"2026-08-29","لا توجد بيانات بعد",IF(AND(D66=0,F66=0),"بدون نشاط","نشِط"))</f>
        <v>نشِط</v>
      </c>
    </row>
    <row r="67" customFormat="false" ht="15" hidden="false" customHeight="false" outlineLevel="0" collapsed="false">
      <c r="A67" s="12" t="s">
        <v>49</v>
      </c>
      <c r="B67" s="12" t="s">
        <v>63</v>
      </c>
      <c r="C67" s="13" t="s">
        <v>32</v>
      </c>
      <c r="D67" s="12" t="n">
        <f aca="false">COUNTIFS('تفاصيل الفرص'!$B$2:$B$282,$B67,'تفاصيل الفرص'!$D$2:$D$282,$C67)</f>
        <v>0</v>
      </c>
      <c r="E67" s="12" t="n">
        <f aca="false">COUNTIFS('تفاصيل الفرص'!$B$2:$B$282,$B67,'تفاصيل الفرص'!$D$2:$D$282,$C67,'تفاصيل الفرص'!$X$2:$X$282,0)</f>
        <v>0</v>
      </c>
      <c r="F67" s="12" t="n">
        <f aca="false">COUNTIFS('سجل الأكشنات'!$B$2:$B$539,$B67,'سجل الأكشنات'!$D$2:$D$539,$C67)</f>
        <v>0</v>
      </c>
      <c r="G67" s="12" t="n">
        <f aca="false">COUNTIFS('سجل الأكشنات'!$B$2:$B$539,$B67,'سجل الأكشنات'!$D$2:$D$539,$C67,'سجل الأكشنات'!$H$2:$H$539,"تفصيلي")</f>
        <v>0</v>
      </c>
      <c r="H67" s="12" t="n">
        <f aca="false">F67-G67</f>
        <v>0</v>
      </c>
      <c r="I67" s="12" t="str">
        <f aca="false">IF($B67&gt;"2026-08-29","لا توجد بيانات بعد",IF(AND(D67=0,F67=0),"بدون نشاط","نشِط"))</f>
        <v>بدون نشاط</v>
      </c>
    </row>
    <row r="68" customFormat="false" ht="15" hidden="false" customHeight="false" outlineLevel="0" collapsed="false">
      <c r="A68" s="5" t="s">
        <v>51</v>
      </c>
      <c r="B68" s="5" t="s">
        <v>64</v>
      </c>
      <c r="C68" s="4" t="s">
        <v>18</v>
      </c>
      <c r="D68" s="5" t="n">
        <f aca="false">COUNTIFS('تفاصيل الفرص'!$B$2:$B$282,$B68,'تفاصيل الفرص'!$D$2:$D$282,$C68)</f>
        <v>0</v>
      </c>
      <c r="E68" s="5" t="n">
        <f aca="false">COUNTIFS('تفاصيل الفرص'!$B$2:$B$282,$B68,'تفاصيل الفرص'!$D$2:$D$282,$C68,'تفاصيل الفرص'!$X$2:$X$282,0)</f>
        <v>0</v>
      </c>
      <c r="F68" s="5" t="n">
        <f aca="false">COUNTIFS('سجل الأكشنات'!$B$2:$B$539,$B68,'سجل الأكشنات'!$D$2:$D$539,$C68)</f>
        <v>0</v>
      </c>
      <c r="G68" s="5" t="n">
        <f aca="false">COUNTIFS('سجل الأكشنات'!$B$2:$B$539,$B68,'سجل الأكشنات'!$D$2:$D$539,$C68,'سجل الأكشنات'!$H$2:$H$539,"تفصيلي")</f>
        <v>0</v>
      </c>
      <c r="H68" s="5" t="n">
        <f aca="false">F68-G68</f>
        <v>0</v>
      </c>
      <c r="I68" s="5" t="str">
        <f aca="false">IF($B68&gt;"2026-08-29","لا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5" t="s">
        <v>51</v>
      </c>
      <c r="B69" s="5" t="s">
        <v>64</v>
      </c>
      <c r="C69" s="4" t="s">
        <v>20</v>
      </c>
      <c r="D69" s="5" t="n">
        <f aca="false">COUNTIFS('تفاصيل الفرص'!$B$2:$B$282,$B69,'تفاصيل الفرص'!$D$2:$D$282,$C69)</f>
        <v>0</v>
      </c>
      <c r="E69" s="5" t="n">
        <f aca="false">COUNTIFS('تفاصيل الفرص'!$B$2:$B$282,$B69,'تفاصيل الفرص'!$D$2:$D$282,$C69,'تفاصيل الفرص'!$X$2:$X$282,0)</f>
        <v>0</v>
      </c>
      <c r="F69" s="5" t="n">
        <f aca="false">COUNTIFS('سجل الأكشنات'!$B$2:$B$539,$B69,'سجل الأكشنات'!$D$2:$D$539,$C69)</f>
        <v>0</v>
      </c>
      <c r="G69" s="5" t="n">
        <f aca="false">COUNTIFS('سجل الأكشنات'!$B$2:$B$539,$B69,'سجل الأكشنات'!$D$2:$D$539,$C69,'سجل الأكشنات'!$H$2:$H$539,"تفصيلي")</f>
        <v>0</v>
      </c>
      <c r="H69" s="5" t="n">
        <f aca="false">F69-G69</f>
        <v>0</v>
      </c>
      <c r="I69" s="5" t="str">
        <f aca="false">IF($B69&gt;"2026-08-29","لا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5" t="s">
        <v>51</v>
      </c>
      <c r="B70" s="5" t="s">
        <v>64</v>
      </c>
      <c r="C70" s="4" t="s">
        <v>22</v>
      </c>
      <c r="D70" s="5" t="n">
        <f aca="false">COUNTIFS('تفاصيل الفرص'!$B$2:$B$282,$B70,'تفاصيل الفرص'!$D$2:$D$282,$C70)</f>
        <v>0</v>
      </c>
      <c r="E70" s="5" t="n">
        <f aca="false">COUNTIFS('تفاصيل الفرص'!$B$2:$B$282,$B70,'تفاصيل الفرص'!$D$2:$D$282,$C70,'تفاصيل الفرص'!$X$2:$X$282,0)</f>
        <v>0</v>
      </c>
      <c r="F70" s="5" t="n">
        <f aca="false">COUNTIFS('سجل الأكشنات'!$B$2:$B$539,$B70,'سجل الأكشنات'!$D$2:$D$539,$C70)</f>
        <v>0</v>
      </c>
      <c r="G70" s="5" t="n">
        <f aca="false">COUNTIFS('سجل الأكشنات'!$B$2:$B$539,$B70,'سجل الأكشنات'!$D$2:$D$539,$C70,'سجل الأكشنات'!$H$2:$H$539,"تفصيلي")</f>
        <v>0</v>
      </c>
      <c r="H70" s="5" t="n">
        <f aca="false">F70-G70</f>
        <v>0</v>
      </c>
      <c r="I70" s="5" t="str">
        <f aca="false">IF($B70&gt;"2026-08-29","لا توجد بيانات بعد",IF(AND(D70=0,F70=0),"بدون نشاط","نشِط"))</f>
        <v>بدون نشاط</v>
      </c>
    </row>
    <row r="71" customFormat="false" ht="15" hidden="false" customHeight="false" outlineLevel="0" collapsed="false">
      <c r="A71" s="5" t="s">
        <v>51</v>
      </c>
      <c r="B71" s="5" t="s">
        <v>64</v>
      </c>
      <c r="C71" s="4" t="s">
        <v>24</v>
      </c>
      <c r="D71" s="5" t="n">
        <f aca="false">COUNTIFS('تفاصيل الفرص'!$B$2:$B$282,$B71,'تفاصيل الفرص'!$D$2:$D$282,$C71)</f>
        <v>0</v>
      </c>
      <c r="E71" s="5" t="n">
        <f aca="false">COUNTIFS('تفاصيل الفرص'!$B$2:$B$282,$B71,'تفاصيل الفرص'!$D$2:$D$282,$C71,'تفاصيل الفرص'!$X$2:$X$282,0)</f>
        <v>0</v>
      </c>
      <c r="F71" s="5" t="n">
        <f aca="false">COUNTIFS('سجل الأكشنات'!$B$2:$B$539,$B71,'سجل الأكشنات'!$D$2:$D$539,$C71)</f>
        <v>0</v>
      </c>
      <c r="G71" s="5" t="n">
        <f aca="false">COUNTIFS('سجل الأكشنات'!$B$2:$B$539,$B71,'سجل الأكشنات'!$D$2:$D$539,$C71,'سجل الأكشنات'!$H$2:$H$539,"تفصيلي")</f>
        <v>0</v>
      </c>
      <c r="H71" s="5" t="n">
        <f aca="false">F71-G71</f>
        <v>0</v>
      </c>
      <c r="I71" s="5" t="str">
        <f aca="false">IF($B71&gt;"2026-08-29","لا توجد بيانات بعد",IF(AND(D71=0,F71=0),"بدون نشاط","نشِط"))</f>
        <v>بدون نشاط</v>
      </c>
    </row>
    <row r="72" customFormat="false" ht="15" hidden="false" customHeight="false" outlineLevel="0" collapsed="false">
      <c r="A72" s="5" t="s">
        <v>51</v>
      </c>
      <c r="B72" s="5" t="s">
        <v>64</v>
      </c>
      <c r="C72" s="4" t="s">
        <v>26</v>
      </c>
      <c r="D72" s="5" t="n">
        <f aca="false">COUNTIFS('تفاصيل الفرص'!$B$2:$B$282,$B72,'تفاصيل الفرص'!$D$2:$D$282,$C72)</f>
        <v>0</v>
      </c>
      <c r="E72" s="5" t="n">
        <f aca="false">COUNTIFS('تفاصيل الفرص'!$B$2:$B$282,$B72,'تفاصيل الفرص'!$D$2:$D$282,$C72,'تفاصيل الفرص'!$X$2:$X$282,0)</f>
        <v>0</v>
      </c>
      <c r="F72" s="5" t="n">
        <f aca="false">COUNTIFS('سجل الأكشنات'!$B$2:$B$539,$B72,'سجل الأكشنات'!$D$2:$D$539,$C72)</f>
        <v>2</v>
      </c>
      <c r="G72" s="5" t="n">
        <f aca="false">COUNTIFS('سجل الأكشنات'!$B$2:$B$539,$B72,'سجل الأكشنات'!$D$2:$D$539,$C72,'سجل الأكشنات'!$H$2:$H$539,"تفصيلي")</f>
        <v>2</v>
      </c>
      <c r="H72" s="5" t="n">
        <f aca="false">F72-G72</f>
        <v>0</v>
      </c>
      <c r="I72" s="5" t="str">
        <f aca="false">IF($B72&gt;"2026-08-29","لا توجد بيانات بعد",IF(AND(D72=0,F72=0),"بدون نشاط","نشِط"))</f>
        <v>نشِط</v>
      </c>
    </row>
    <row r="73" customFormat="false" ht="15" hidden="false" customHeight="false" outlineLevel="0" collapsed="false">
      <c r="A73" s="5" t="s">
        <v>51</v>
      </c>
      <c r="B73" s="5" t="s">
        <v>64</v>
      </c>
      <c r="C73" s="4" t="s">
        <v>28</v>
      </c>
      <c r="D73" s="5" t="n">
        <f aca="false">COUNTIFS('تفاصيل الفرص'!$B$2:$B$282,$B73,'تفاصيل الفرص'!$D$2:$D$282,$C73)</f>
        <v>7</v>
      </c>
      <c r="E73" s="5" t="n">
        <f aca="false">COUNTIFS('تفاصيل الفرص'!$B$2:$B$282,$B73,'تفاصيل الفرص'!$D$2:$D$282,$C73,'تفاصيل الفرص'!$X$2:$X$282,0)</f>
        <v>0</v>
      </c>
      <c r="F73" s="5" t="n">
        <f aca="false">COUNTIFS('سجل الأكشنات'!$B$2:$B$539,$B73,'سجل الأكشنات'!$D$2:$D$539,$C73)</f>
        <v>7</v>
      </c>
      <c r="G73" s="5" t="n">
        <f aca="false">COUNTIFS('سجل الأكشنات'!$B$2:$B$539,$B73,'سجل الأكشنات'!$D$2:$D$539,$C73,'سجل الأكشنات'!$H$2:$H$539,"تفصيلي")</f>
        <v>7</v>
      </c>
      <c r="H73" s="5" t="n">
        <f aca="false">F73-G73</f>
        <v>0</v>
      </c>
      <c r="I73" s="5" t="str">
        <f aca="false">IF($B73&gt;"2026-08-29","لا توجد بيانات بعد",IF(AND(D73=0,F73=0),"بدون نشاط","نشِط"))</f>
        <v>نشِط</v>
      </c>
    </row>
    <row r="74" customFormat="false" ht="15" hidden="false" customHeight="false" outlineLevel="0" collapsed="false">
      <c r="A74" s="5" t="s">
        <v>51</v>
      </c>
      <c r="B74" s="5" t="s">
        <v>64</v>
      </c>
      <c r="C74" s="4" t="s">
        <v>30</v>
      </c>
      <c r="D74" s="5" t="n">
        <f aca="false">COUNTIFS('تفاصيل الفرص'!$B$2:$B$282,$B74,'تفاصيل الفرص'!$D$2:$D$282,$C74)</f>
        <v>3</v>
      </c>
      <c r="E74" s="5" t="n">
        <f aca="false">COUNTIFS('تفاصيل الفرص'!$B$2:$B$282,$B74,'تفاصيل الفرص'!$D$2:$D$282,$C74,'تفاصيل الفرص'!$X$2:$X$282,0)</f>
        <v>0</v>
      </c>
      <c r="F74" s="5" t="n">
        <f aca="false">COUNTIFS('سجل الأكشنات'!$B$2:$B$539,$B74,'سجل الأكشنات'!$D$2:$D$539,$C74)</f>
        <v>8</v>
      </c>
      <c r="G74" s="5" t="n">
        <f aca="false">COUNTIFS('سجل الأكشنات'!$B$2:$B$539,$B74,'سجل الأكشنات'!$D$2:$D$539,$C74,'سجل الأكشنات'!$H$2:$H$539,"تفصيلي")</f>
        <v>6</v>
      </c>
      <c r="H74" s="5" t="n">
        <f aca="false">F74-G74</f>
        <v>2</v>
      </c>
      <c r="I74" s="5" t="str">
        <f aca="false">IF($B74&gt;"2026-08-29","لا توجد بيانات بعد",IF(AND(D74=0,F74=0),"بدون نشاط","نشِط"))</f>
        <v>نشِط</v>
      </c>
    </row>
    <row r="75" customFormat="false" ht="15" hidden="false" customHeight="false" outlineLevel="0" collapsed="false">
      <c r="A75" s="5" t="s">
        <v>51</v>
      </c>
      <c r="B75" s="5" t="s">
        <v>64</v>
      </c>
      <c r="C75" s="4" t="s">
        <v>32</v>
      </c>
      <c r="D75" s="5" t="n">
        <f aca="false">COUNTIFS('تفاصيل الفرص'!$B$2:$B$282,$B75,'تفاصيل الفرص'!$D$2:$D$282,$C75)</f>
        <v>0</v>
      </c>
      <c r="E75" s="5" t="n">
        <f aca="false">COUNTIFS('تفاصيل الفرص'!$B$2:$B$282,$B75,'تفاصيل الفرص'!$D$2:$D$282,$C75,'تفاصيل الفرص'!$X$2:$X$282,0)</f>
        <v>0</v>
      </c>
      <c r="F75" s="5" t="n">
        <f aca="false">COUNTIFS('سجل الأكشنات'!$B$2:$B$539,$B75,'سجل الأكشنات'!$D$2:$D$539,$C75)</f>
        <v>2</v>
      </c>
      <c r="G75" s="5" t="n">
        <f aca="false">COUNTIFS('سجل الأكشنات'!$B$2:$B$539,$B75,'سجل الأكشنات'!$D$2:$D$539,$C75,'سجل الأكشنات'!$H$2:$H$539,"تفصيلي")</f>
        <v>2</v>
      </c>
      <c r="H75" s="5" t="n">
        <f aca="false">F75-G75</f>
        <v>0</v>
      </c>
      <c r="I75" s="5" t="str">
        <f aca="false">IF($B75&gt;"2026-08-29","لا توجد بيانات بعد",IF(AND(D75=0,F75=0),"بدون نشاط","نشِط"))</f>
        <v>نشِط</v>
      </c>
    </row>
    <row r="76" customFormat="false" ht="15" hidden="false" customHeight="false" outlineLevel="0" collapsed="false">
      <c r="A76" s="12" t="s">
        <v>53</v>
      </c>
      <c r="B76" s="12" t="s">
        <v>65</v>
      </c>
      <c r="C76" s="13" t="s">
        <v>18</v>
      </c>
      <c r="D76" s="12" t="n">
        <f aca="false">COUNTIFS('تفاصيل الفرص'!$B$2:$B$282,$B76,'تفاصيل الفرص'!$D$2:$D$282,$C76)</f>
        <v>1</v>
      </c>
      <c r="E76" s="12" t="n">
        <f aca="false">COUNTIFS('تفاصيل الفرص'!$B$2:$B$282,$B76,'تفاصيل الفرص'!$D$2:$D$282,$C76,'تفاصيل الفرص'!$X$2:$X$282,0)</f>
        <v>0</v>
      </c>
      <c r="F76" s="12" t="n">
        <f aca="false">COUNTIFS('سجل الأكشنات'!$B$2:$B$539,$B76,'سجل الأكشنات'!$D$2:$D$539,$C76)</f>
        <v>3</v>
      </c>
      <c r="G76" s="12" t="n">
        <f aca="false">COUNTIFS('سجل الأكشنات'!$B$2:$B$539,$B76,'سجل الأكشنات'!$D$2:$D$539,$C76,'سجل الأكشنات'!$H$2:$H$539,"تفصيلي")</f>
        <v>2</v>
      </c>
      <c r="H76" s="12" t="n">
        <f aca="false">F76-G76</f>
        <v>1</v>
      </c>
      <c r="I76" s="12" t="str">
        <f aca="false">IF($B76&gt;"2026-08-29","لا توجد بيانات بعد",IF(AND(D76=0,F76=0),"بدون نشاط","نشِط"))</f>
        <v>نشِط</v>
      </c>
    </row>
    <row r="77" customFormat="false" ht="15" hidden="false" customHeight="false" outlineLevel="0" collapsed="false">
      <c r="A77" s="12" t="s">
        <v>53</v>
      </c>
      <c r="B77" s="12" t="s">
        <v>65</v>
      </c>
      <c r="C77" s="13" t="s">
        <v>20</v>
      </c>
      <c r="D77" s="12" t="n">
        <f aca="false">COUNTIFS('تفاصيل الفرص'!$B$2:$B$282,$B77,'تفاصيل الفرص'!$D$2:$D$282,$C77)</f>
        <v>0</v>
      </c>
      <c r="E77" s="12" t="n">
        <f aca="false">COUNTIFS('تفاصيل الفرص'!$B$2:$B$282,$B77,'تفاصيل الفرص'!$D$2:$D$282,$C77,'تفاصيل الفرص'!$X$2:$X$282,0)</f>
        <v>0</v>
      </c>
      <c r="F77" s="12" t="n">
        <f aca="false">COUNTIFS('سجل الأكشنات'!$B$2:$B$539,$B77,'سجل الأكشنات'!$D$2:$D$539,$C77)</f>
        <v>0</v>
      </c>
      <c r="G77" s="12" t="n">
        <f aca="false">COUNTIFS('سجل الأكشنات'!$B$2:$B$539,$B77,'سجل الأكشنات'!$D$2:$D$539,$C77,'سجل الأكشنات'!$H$2:$H$539,"تفصيلي")</f>
        <v>0</v>
      </c>
      <c r="H77" s="12" t="n">
        <f aca="false">F77-G77</f>
        <v>0</v>
      </c>
      <c r="I77" s="12" t="str">
        <f aca="false">IF($B77&gt;"2026-08-29","لا توجد بيانات بعد",IF(AND(D77=0,F77=0),"بدون نشاط","نشِط"))</f>
        <v>بدون نشاط</v>
      </c>
    </row>
    <row r="78" customFormat="false" ht="15" hidden="false" customHeight="false" outlineLevel="0" collapsed="false">
      <c r="A78" s="12" t="s">
        <v>53</v>
      </c>
      <c r="B78" s="12" t="s">
        <v>65</v>
      </c>
      <c r="C78" s="13" t="s">
        <v>22</v>
      </c>
      <c r="D78" s="12" t="n">
        <f aca="false">COUNTIFS('تفاصيل الفرص'!$B$2:$B$282,$B78,'تفاصيل الفرص'!$D$2:$D$282,$C78)</f>
        <v>3</v>
      </c>
      <c r="E78" s="12" t="n">
        <f aca="false">COUNTIFS('تفاصيل الفرص'!$B$2:$B$282,$B78,'تفاصيل الفرص'!$D$2:$D$282,$C78,'تفاصيل الفرص'!$X$2:$X$282,0)</f>
        <v>0</v>
      </c>
      <c r="F78" s="12" t="n">
        <f aca="false">COUNTIFS('سجل الأكشنات'!$B$2:$B$539,$B78,'سجل الأكشنات'!$D$2:$D$539,$C78)</f>
        <v>4</v>
      </c>
      <c r="G78" s="12" t="n">
        <f aca="false">COUNTIFS('سجل الأكشنات'!$B$2:$B$539,$B78,'سجل الأكشنات'!$D$2:$D$539,$C78,'سجل الأكشنات'!$H$2:$H$539,"تفصيلي")</f>
        <v>2</v>
      </c>
      <c r="H78" s="12" t="n">
        <f aca="false">F78-G78</f>
        <v>2</v>
      </c>
      <c r="I78" s="12" t="str">
        <f aca="false">IF($B78&gt;"2026-08-29","لا توجد بيانات بعد",IF(AND(D78=0,F78=0),"بدون نشاط","نشِط"))</f>
        <v>نشِط</v>
      </c>
    </row>
    <row r="79" customFormat="false" ht="15" hidden="false" customHeight="false" outlineLevel="0" collapsed="false">
      <c r="A79" s="12" t="s">
        <v>53</v>
      </c>
      <c r="B79" s="12" t="s">
        <v>65</v>
      </c>
      <c r="C79" s="13" t="s">
        <v>24</v>
      </c>
      <c r="D79" s="12" t="n">
        <f aca="false">COUNTIFS('تفاصيل الفرص'!$B$2:$B$282,$B79,'تفاصيل الفرص'!$D$2:$D$282,$C79)</f>
        <v>0</v>
      </c>
      <c r="E79" s="12" t="n">
        <f aca="false">COUNTIFS('تفاصيل الفرص'!$B$2:$B$282,$B79,'تفاصيل الفرص'!$D$2:$D$282,$C79,'تفاصيل الفرص'!$X$2:$X$282,0)</f>
        <v>0</v>
      </c>
      <c r="F79" s="12" t="n">
        <f aca="false">COUNTIFS('سجل الأكشنات'!$B$2:$B$539,$B79,'سجل الأكشنات'!$D$2:$D$539,$C79)</f>
        <v>1</v>
      </c>
      <c r="G79" s="12" t="n">
        <f aca="false">COUNTIFS('سجل الأكشنات'!$B$2:$B$539,$B79,'سجل الأكشنات'!$D$2:$D$539,$C79,'سجل الأكشنات'!$H$2:$H$539,"تفصيلي")</f>
        <v>1</v>
      </c>
      <c r="H79" s="12" t="n">
        <f aca="false">F79-G79</f>
        <v>0</v>
      </c>
      <c r="I79" s="12" t="str">
        <f aca="false">IF($B79&gt;"2026-08-29","لا توجد بيانات بعد",IF(AND(D79=0,F79=0),"بدون نشاط","نشِط"))</f>
        <v>نشِط</v>
      </c>
    </row>
    <row r="80" customFormat="false" ht="15" hidden="false" customHeight="false" outlineLevel="0" collapsed="false">
      <c r="A80" s="12" t="s">
        <v>53</v>
      </c>
      <c r="B80" s="12" t="s">
        <v>65</v>
      </c>
      <c r="C80" s="13" t="s">
        <v>26</v>
      </c>
      <c r="D80" s="12" t="n">
        <f aca="false">COUNTIFS('تفاصيل الفرص'!$B$2:$B$282,$B80,'تفاصيل الفرص'!$D$2:$D$282,$C80)</f>
        <v>4</v>
      </c>
      <c r="E80" s="12" t="n">
        <f aca="false">COUNTIFS('تفاصيل الفرص'!$B$2:$B$282,$B80,'تفاصيل الفرص'!$D$2:$D$282,$C80,'تفاصيل الفرص'!$X$2:$X$282,0)</f>
        <v>0</v>
      </c>
      <c r="F80" s="12" t="n">
        <f aca="false">COUNTIFS('سجل الأكشنات'!$B$2:$B$539,$B80,'سجل الأكشنات'!$D$2:$D$539,$C80)</f>
        <v>8</v>
      </c>
      <c r="G80" s="12" t="n">
        <f aca="false">COUNTIFS('سجل الأكشنات'!$B$2:$B$539,$B80,'سجل الأكشنات'!$D$2:$D$539,$C80,'سجل الأكشنات'!$H$2:$H$539,"تفصيلي")</f>
        <v>4</v>
      </c>
      <c r="H80" s="12" t="n">
        <f aca="false">F80-G80</f>
        <v>4</v>
      </c>
      <c r="I80" s="12" t="str">
        <f aca="false">IF($B80&gt;"2026-08-29","لا توجد بيانات بعد",IF(AND(D80=0,F80=0),"بدون نشاط","نشِط"))</f>
        <v>نشِط</v>
      </c>
    </row>
    <row r="81" customFormat="false" ht="15" hidden="false" customHeight="false" outlineLevel="0" collapsed="false">
      <c r="A81" s="12" t="s">
        <v>53</v>
      </c>
      <c r="B81" s="12" t="s">
        <v>65</v>
      </c>
      <c r="C81" s="13" t="s">
        <v>28</v>
      </c>
      <c r="D81" s="12" t="n">
        <f aca="false">COUNTIFS('تفاصيل الفرص'!$B$2:$B$282,$B81,'تفاصيل الفرص'!$D$2:$D$282,$C81)</f>
        <v>5</v>
      </c>
      <c r="E81" s="12" t="n">
        <f aca="false">COUNTIFS('تفاصيل الفرص'!$B$2:$B$282,$B81,'تفاصيل الفرص'!$D$2:$D$282,$C81,'تفاصيل الفرص'!$X$2:$X$282,0)</f>
        <v>0</v>
      </c>
      <c r="F81" s="12" t="n">
        <f aca="false">COUNTIFS('سجل الأكشنات'!$B$2:$B$539,$B81,'سجل الأكشنات'!$D$2:$D$539,$C81)</f>
        <v>5</v>
      </c>
      <c r="G81" s="12" t="n">
        <f aca="false">COUNTIFS('سجل الأكشنات'!$B$2:$B$539,$B81,'سجل الأكشنات'!$D$2:$D$539,$C81,'سجل الأكشنات'!$H$2:$H$539,"تفصيلي")</f>
        <v>3</v>
      </c>
      <c r="H81" s="12" t="n">
        <f aca="false">F81-G81</f>
        <v>2</v>
      </c>
      <c r="I81" s="12" t="str">
        <f aca="false">IF($B81&gt;"2026-08-29","لا توجد بيانات بعد",IF(AND(D81=0,F81=0),"بدون نشاط","نشِط"))</f>
        <v>نشِط</v>
      </c>
    </row>
    <row r="82" customFormat="false" ht="15" hidden="false" customHeight="false" outlineLevel="0" collapsed="false">
      <c r="A82" s="12" t="s">
        <v>53</v>
      </c>
      <c r="B82" s="12" t="s">
        <v>65</v>
      </c>
      <c r="C82" s="13" t="s">
        <v>30</v>
      </c>
      <c r="D82" s="12" t="n">
        <f aca="false">COUNTIFS('تفاصيل الفرص'!$B$2:$B$282,$B82,'تفاصيل الفرص'!$D$2:$D$282,$C82)</f>
        <v>3</v>
      </c>
      <c r="E82" s="12" t="n">
        <f aca="false">COUNTIFS('تفاصيل الفرص'!$B$2:$B$282,$B82,'تفاصيل الفرص'!$D$2:$D$282,$C82,'تفاصيل الفرص'!$X$2:$X$282,0)</f>
        <v>0</v>
      </c>
      <c r="F82" s="12" t="n">
        <f aca="false">COUNTIFS('سجل الأكشنات'!$B$2:$B$539,$B82,'سجل الأكشنات'!$D$2:$D$539,$C82)</f>
        <v>4</v>
      </c>
      <c r="G82" s="12" t="n">
        <f aca="false">COUNTIFS('سجل الأكشنات'!$B$2:$B$539,$B82,'سجل الأكشنات'!$D$2:$D$539,$C82,'سجل الأكشنات'!$H$2:$H$539,"تفصيلي")</f>
        <v>4</v>
      </c>
      <c r="H82" s="12" t="n">
        <f aca="false">F82-G82</f>
        <v>0</v>
      </c>
      <c r="I82" s="12" t="str">
        <f aca="false">IF($B82&gt;"2026-08-29","لا توجد بيانات بعد",IF(AND(D82=0,F82=0),"بدون نشاط","نشِط"))</f>
        <v>نشِط</v>
      </c>
    </row>
    <row r="83" customFormat="false" ht="15" hidden="false" customHeight="false" outlineLevel="0" collapsed="false">
      <c r="A83" s="12" t="s">
        <v>53</v>
      </c>
      <c r="B83" s="12" t="s">
        <v>65</v>
      </c>
      <c r="C83" s="13" t="s">
        <v>32</v>
      </c>
      <c r="D83" s="12" t="n">
        <f aca="false">COUNTIFS('تفاصيل الفرص'!$B$2:$B$282,$B83,'تفاصيل الفرص'!$D$2:$D$282,$C83)</f>
        <v>0</v>
      </c>
      <c r="E83" s="12" t="n">
        <f aca="false">COUNTIFS('تفاصيل الفرص'!$B$2:$B$282,$B83,'تفاصيل الفرص'!$D$2:$D$282,$C83,'تفاصيل الفرص'!$X$2:$X$282,0)</f>
        <v>0</v>
      </c>
      <c r="F83" s="12" t="n">
        <f aca="false">COUNTIFS('سجل الأكشنات'!$B$2:$B$539,$B83,'سجل الأكشنات'!$D$2:$D$539,$C83)</f>
        <v>0</v>
      </c>
      <c r="G83" s="12" t="n">
        <f aca="false">COUNTIFS('سجل الأكشنات'!$B$2:$B$539,$B83,'سجل الأكشنات'!$D$2:$D$539,$C83,'سجل الأكشنات'!$H$2:$H$539,"تفصيلي")</f>
        <v>0</v>
      </c>
      <c r="H83" s="12" t="n">
        <f aca="false">F83-G83</f>
        <v>0</v>
      </c>
      <c r="I83" s="12" t="str">
        <f aca="false">IF($B83&gt;"2026-08-29","لا توجد بيانات بعد",IF(AND(D83=0,F83=0),"بدون نشاط","نشِط"))</f>
        <v>بدون نشاط</v>
      </c>
    </row>
    <row r="84" customFormat="false" ht="15" hidden="false" customHeight="false" outlineLevel="0" collapsed="false">
      <c r="A84" s="5" t="s">
        <v>55</v>
      </c>
      <c r="B84" s="5" t="s">
        <v>66</v>
      </c>
      <c r="C84" s="4" t="s">
        <v>18</v>
      </c>
      <c r="D84" s="5" t="n">
        <f aca="false">COUNTIFS('تفاصيل الفرص'!$B$2:$B$282,$B84,'تفاصيل الفرص'!$D$2:$D$282,$C84)</f>
        <v>0</v>
      </c>
      <c r="E84" s="5" t="n">
        <f aca="false">COUNTIFS('تفاصيل الفرص'!$B$2:$B$282,$B84,'تفاصيل الفرص'!$D$2:$D$282,$C84,'تفاصيل الفرص'!$X$2:$X$282,0)</f>
        <v>0</v>
      </c>
      <c r="F84" s="5" t="n">
        <f aca="false">COUNTIFS('سجل الأكشنات'!$B$2:$B$539,$B84,'سجل الأكشنات'!$D$2:$D$539,$C84)</f>
        <v>0</v>
      </c>
      <c r="G84" s="5" t="n">
        <f aca="false">COUNTIFS('سجل الأكشنات'!$B$2:$B$539,$B84,'سجل الأكشنات'!$D$2:$D$539,$C84,'سجل الأكشنات'!$H$2:$H$539,"تفصيلي")</f>
        <v>0</v>
      </c>
      <c r="H84" s="5" t="n">
        <f aca="false">F84-G84</f>
        <v>0</v>
      </c>
      <c r="I84" s="5" t="str">
        <f aca="false">IF($B84&gt;"2026-08-29","لا توجد بيانات بعد",IF(AND(D84=0,F84=0),"بدون نشاط","نشِط"))</f>
        <v>بدون نشاط</v>
      </c>
    </row>
    <row r="85" customFormat="false" ht="15" hidden="false" customHeight="false" outlineLevel="0" collapsed="false">
      <c r="A85" s="5" t="s">
        <v>55</v>
      </c>
      <c r="B85" s="5" t="s">
        <v>66</v>
      </c>
      <c r="C85" s="4" t="s">
        <v>20</v>
      </c>
      <c r="D85" s="5" t="n">
        <f aca="false">COUNTIFS('تفاصيل الفرص'!$B$2:$B$282,$B85,'تفاصيل الفرص'!$D$2:$D$282,$C85)</f>
        <v>0</v>
      </c>
      <c r="E85" s="5" t="n">
        <f aca="false">COUNTIFS('تفاصيل الفرص'!$B$2:$B$282,$B85,'تفاصيل الفرص'!$D$2:$D$282,$C85,'تفاصيل الفرص'!$X$2:$X$282,0)</f>
        <v>0</v>
      </c>
      <c r="F85" s="5" t="n">
        <f aca="false">COUNTIFS('سجل الأكشنات'!$B$2:$B$539,$B85,'سجل الأكشنات'!$D$2:$D$539,$C85)</f>
        <v>0</v>
      </c>
      <c r="G85" s="5" t="n">
        <f aca="false">COUNTIFS('سجل الأكشنات'!$B$2:$B$539,$B85,'سجل الأكشنات'!$D$2:$D$539,$C85,'سجل الأكشنات'!$H$2:$H$539,"تفصيلي")</f>
        <v>0</v>
      </c>
      <c r="H85" s="5" t="n">
        <f aca="false">F85-G85</f>
        <v>0</v>
      </c>
      <c r="I85" s="5" t="str">
        <f aca="false">IF($B85&gt;"2026-08-29","لا توجد بيانات بعد",IF(AND(D85=0,F85=0),"بدون نشاط","نشِط"))</f>
        <v>بدون نشاط</v>
      </c>
    </row>
    <row r="86" customFormat="false" ht="15" hidden="false" customHeight="false" outlineLevel="0" collapsed="false">
      <c r="A86" s="5" t="s">
        <v>55</v>
      </c>
      <c r="B86" s="5" t="s">
        <v>66</v>
      </c>
      <c r="C86" s="4" t="s">
        <v>22</v>
      </c>
      <c r="D86" s="5" t="n">
        <f aca="false">COUNTIFS('تفاصيل الفرص'!$B$2:$B$282,$B86,'تفاصيل الفرص'!$D$2:$D$282,$C86)</f>
        <v>2</v>
      </c>
      <c r="E86" s="5" t="n">
        <f aca="false">COUNTIFS('تفاصيل الفرص'!$B$2:$B$282,$B86,'تفاصيل الفرص'!$D$2:$D$282,$C86,'تفاصيل الفرص'!$X$2:$X$282,0)</f>
        <v>0</v>
      </c>
      <c r="F86" s="5" t="n">
        <f aca="false">COUNTIFS('سجل الأكشنات'!$B$2:$B$539,$B86,'سجل الأكشنات'!$D$2:$D$539,$C86)</f>
        <v>4</v>
      </c>
      <c r="G86" s="5" t="n">
        <f aca="false">COUNTIFS('سجل الأكشنات'!$B$2:$B$539,$B86,'سجل الأكشنات'!$D$2:$D$539,$C86,'سجل الأكشنات'!$H$2:$H$539,"تفصيلي")</f>
        <v>3</v>
      </c>
      <c r="H86" s="5" t="n">
        <f aca="false">F86-G86</f>
        <v>1</v>
      </c>
      <c r="I86" s="5" t="str">
        <f aca="false">IF($B86&gt;"2026-08-29","لا توجد بيانات بعد",IF(AND(D86=0,F86=0),"بدون نشاط","نشِط"))</f>
        <v>نشِط</v>
      </c>
    </row>
    <row r="87" customFormat="false" ht="15" hidden="false" customHeight="false" outlineLevel="0" collapsed="false">
      <c r="A87" s="5" t="s">
        <v>55</v>
      </c>
      <c r="B87" s="5" t="s">
        <v>66</v>
      </c>
      <c r="C87" s="4" t="s">
        <v>24</v>
      </c>
      <c r="D87" s="5" t="n">
        <f aca="false">COUNTIFS('تفاصيل الفرص'!$B$2:$B$282,$B87,'تفاصيل الفرص'!$D$2:$D$282,$C87)</f>
        <v>0</v>
      </c>
      <c r="E87" s="5" t="n">
        <f aca="false">COUNTIFS('تفاصيل الفرص'!$B$2:$B$282,$B87,'تفاصيل الفرص'!$D$2:$D$282,$C87,'تفاصيل الفرص'!$X$2:$X$282,0)</f>
        <v>0</v>
      </c>
      <c r="F87" s="5" t="n">
        <f aca="false">COUNTIFS('سجل الأكشنات'!$B$2:$B$539,$B87,'سجل الأكشنات'!$D$2:$D$539,$C87)</f>
        <v>1</v>
      </c>
      <c r="G87" s="5" t="n">
        <f aca="false">COUNTIFS('سجل الأكشنات'!$B$2:$B$539,$B87,'سجل الأكشنات'!$D$2:$D$539,$C87,'سجل الأكشنات'!$H$2:$H$539,"تفصيلي")</f>
        <v>1</v>
      </c>
      <c r="H87" s="5" t="n">
        <f aca="false">F87-G87</f>
        <v>0</v>
      </c>
      <c r="I87" s="5" t="str">
        <f aca="false">IF($B87&gt;"2026-08-29","لا توجد بيانات بعد",IF(AND(D87=0,F87=0),"بدون نشاط","نشِط"))</f>
        <v>نشِط</v>
      </c>
    </row>
    <row r="88" customFormat="false" ht="15" hidden="false" customHeight="false" outlineLevel="0" collapsed="false">
      <c r="A88" s="5" t="s">
        <v>55</v>
      </c>
      <c r="B88" s="5" t="s">
        <v>66</v>
      </c>
      <c r="C88" s="4" t="s">
        <v>26</v>
      </c>
      <c r="D88" s="5" t="n">
        <f aca="false">COUNTIFS('تفاصيل الفرص'!$B$2:$B$282,$B88,'تفاصيل الفرص'!$D$2:$D$282,$C88)</f>
        <v>0</v>
      </c>
      <c r="E88" s="5" t="n">
        <f aca="false">COUNTIFS('تفاصيل الفرص'!$B$2:$B$282,$B88,'تفاصيل الفرص'!$D$2:$D$282,$C88,'تفاصيل الفرص'!$X$2:$X$282,0)</f>
        <v>0</v>
      </c>
      <c r="F88" s="5" t="n">
        <f aca="false">COUNTIFS('سجل الأكشنات'!$B$2:$B$539,$B88,'سجل الأكشنات'!$D$2:$D$539,$C88)</f>
        <v>2</v>
      </c>
      <c r="G88" s="5" t="n">
        <f aca="false">COUNTIFS('سجل الأكشنات'!$B$2:$B$539,$B88,'سجل الأكشنات'!$D$2:$D$539,$C88,'سجل الأكشنات'!$H$2:$H$539,"تفصيلي")</f>
        <v>0</v>
      </c>
      <c r="H88" s="5" t="n">
        <f aca="false">F88-G88</f>
        <v>2</v>
      </c>
      <c r="I88" s="5" t="str">
        <f aca="false">IF($B88&gt;"2026-08-29","لا توجد بيانات بعد",IF(AND(D88=0,F88=0),"بدون نشاط","نشِط"))</f>
        <v>نشِط</v>
      </c>
    </row>
    <row r="89" customFormat="false" ht="15" hidden="false" customHeight="false" outlineLevel="0" collapsed="false">
      <c r="A89" s="5" t="s">
        <v>55</v>
      </c>
      <c r="B89" s="5" t="s">
        <v>66</v>
      </c>
      <c r="C89" s="4" t="s">
        <v>28</v>
      </c>
      <c r="D89" s="5" t="n">
        <f aca="false">COUNTIFS('تفاصيل الفرص'!$B$2:$B$282,$B89,'تفاصيل الفرص'!$D$2:$D$282,$C89)</f>
        <v>6</v>
      </c>
      <c r="E89" s="5" t="n">
        <f aca="false">COUNTIFS('تفاصيل الفرص'!$B$2:$B$282,$B89,'تفاصيل الفرص'!$D$2:$D$282,$C89,'تفاصيل الفرص'!$X$2:$X$282,0)</f>
        <v>0</v>
      </c>
      <c r="F89" s="5" t="n">
        <f aca="false">COUNTIFS('سجل الأكشنات'!$B$2:$B$539,$B89,'سجل الأكشنات'!$D$2:$D$539,$C89)</f>
        <v>6</v>
      </c>
      <c r="G89" s="5" t="n">
        <f aca="false">COUNTIFS('سجل الأكشنات'!$B$2:$B$539,$B89,'سجل الأكشنات'!$D$2:$D$539,$C89,'سجل الأكشنات'!$H$2:$H$539,"تفصيلي")</f>
        <v>4</v>
      </c>
      <c r="H89" s="5" t="n">
        <f aca="false">F89-G89</f>
        <v>2</v>
      </c>
      <c r="I89" s="5" t="str">
        <f aca="false">IF($B89&gt;"2026-08-29","لا توجد بيانات بعد",IF(AND(D89=0,F89=0),"بدون نشاط","نشِط"))</f>
        <v>نشِط</v>
      </c>
    </row>
    <row r="90" customFormat="false" ht="15" hidden="false" customHeight="false" outlineLevel="0" collapsed="false">
      <c r="A90" s="5" t="s">
        <v>55</v>
      </c>
      <c r="B90" s="5" t="s">
        <v>66</v>
      </c>
      <c r="C90" s="4" t="s">
        <v>30</v>
      </c>
      <c r="D90" s="5" t="n">
        <f aca="false">COUNTIFS('تفاصيل الفرص'!$B$2:$B$282,$B90,'تفاصيل الفرص'!$D$2:$D$282,$C90)</f>
        <v>1</v>
      </c>
      <c r="E90" s="5" t="n">
        <f aca="false">COUNTIFS('تفاصيل الفرص'!$B$2:$B$282,$B90,'تفاصيل الفرص'!$D$2:$D$282,$C90,'تفاصيل الفرص'!$X$2:$X$282,0)</f>
        <v>0</v>
      </c>
      <c r="F90" s="5" t="n">
        <f aca="false">COUNTIFS('سجل الأكشنات'!$B$2:$B$539,$B90,'سجل الأكشنات'!$D$2:$D$539,$C90)</f>
        <v>3</v>
      </c>
      <c r="G90" s="5" t="n">
        <f aca="false">COUNTIFS('سجل الأكشنات'!$B$2:$B$539,$B90,'سجل الأكشنات'!$D$2:$D$539,$C90,'سجل الأكشنات'!$H$2:$H$539,"تفصيلي")</f>
        <v>3</v>
      </c>
      <c r="H90" s="5" t="n">
        <f aca="false">F90-G90</f>
        <v>0</v>
      </c>
      <c r="I90" s="5" t="str">
        <f aca="false">IF($B90&gt;"2026-08-29","لا توجد بيانات بعد",IF(AND(D90=0,F90=0),"بدون نشاط","نشِط"))</f>
        <v>نشِط</v>
      </c>
    </row>
    <row r="91" customFormat="false" ht="15" hidden="false" customHeight="false" outlineLevel="0" collapsed="false">
      <c r="A91" s="5" t="s">
        <v>55</v>
      </c>
      <c r="B91" s="5" t="s">
        <v>66</v>
      </c>
      <c r="C91" s="4" t="s">
        <v>32</v>
      </c>
      <c r="D91" s="5" t="n">
        <f aca="false">COUNTIFS('تفاصيل الفرص'!$B$2:$B$282,$B91,'تفاصيل الفرص'!$D$2:$D$282,$C91)</f>
        <v>1</v>
      </c>
      <c r="E91" s="5" t="n">
        <f aca="false">COUNTIFS('تفاصيل الفرص'!$B$2:$B$282,$B91,'تفاصيل الفرص'!$D$2:$D$282,$C91,'تفاصيل الفرص'!$X$2:$X$282,0)</f>
        <v>0</v>
      </c>
      <c r="F91" s="5" t="n">
        <f aca="false">COUNTIFS('سجل الأكشنات'!$B$2:$B$539,$B91,'سجل الأكشنات'!$D$2:$D$539,$C91)</f>
        <v>1</v>
      </c>
      <c r="G91" s="5" t="n">
        <f aca="false">COUNTIFS('سجل الأكشنات'!$B$2:$B$539,$B91,'سجل الأكشنات'!$D$2:$D$539,$C91,'سجل الأكشنات'!$H$2:$H$539,"تفصيلي")</f>
        <v>1</v>
      </c>
      <c r="H91" s="5" t="n">
        <f aca="false">F91-G91</f>
        <v>0</v>
      </c>
      <c r="I91" s="5" t="str">
        <f aca="false">IF($B91&gt;"2026-08-29","لا توجد بيانات بعد",IF(AND(D91=0,F91=0),"بدون نشاط","نشِط"))</f>
        <v>نشِط</v>
      </c>
    </row>
    <row r="92" customFormat="false" ht="15" hidden="false" customHeight="false" outlineLevel="0" collapsed="false">
      <c r="A92" s="12" t="s">
        <v>57</v>
      </c>
      <c r="B92" s="12" t="s">
        <v>67</v>
      </c>
      <c r="C92" s="13" t="s">
        <v>18</v>
      </c>
      <c r="D92" s="12" t="n">
        <f aca="false">COUNTIFS('تفاصيل الفرص'!$B$2:$B$282,$B92,'تفاصيل الفرص'!$D$2:$D$282,$C92)</f>
        <v>0</v>
      </c>
      <c r="E92" s="12" t="n">
        <f aca="false">COUNTIFS('تفاصيل الفرص'!$B$2:$B$282,$B92,'تفاصيل الفرص'!$D$2:$D$282,$C92,'تفاصيل الفرص'!$X$2:$X$282,0)</f>
        <v>0</v>
      </c>
      <c r="F92" s="12" t="n">
        <f aca="false">COUNTIFS('سجل الأكشنات'!$B$2:$B$539,$B92,'سجل الأكشنات'!$D$2:$D$539,$C92)</f>
        <v>0</v>
      </c>
      <c r="G92" s="12" t="n">
        <f aca="false">COUNTIFS('سجل الأكشنات'!$B$2:$B$539,$B92,'سجل الأكشنات'!$D$2:$D$539,$C92,'سجل الأكشنات'!$H$2:$H$539,"تفصيلي")</f>
        <v>0</v>
      </c>
      <c r="H92" s="12" t="n">
        <f aca="false">F92-G92</f>
        <v>0</v>
      </c>
      <c r="I92" s="12" t="str">
        <f aca="false">IF($B92&gt;"2026-08-29","لا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67</v>
      </c>
      <c r="C93" s="13" t="s">
        <v>20</v>
      </c>
      <c r="D93" s="12" t="n">
        <f aca="false">COUNTIFS('تفاصيل الفرص'!$B$2:$B$282,$B93,'تفاصيل الفرص'!$D$2:$D$282,$C93)</f>
        <v>0</v>
      </c>
      <c r="E93" s="12" t="n">
        <f aca="false">COUNTIFS('تفاصيل الفرص'!$B$2:$B$282,$B93,'تفاصيل الفرص'!$D$2:$D$282,$C93,'تفاصيل الفرص'!$X$2:$X$282,0)</f>
        <v>0</v>
      </c>
      <c r="F93" s="12" t="n">
        <f aca="false">COUNTIFS('سجل الأكشنات'!$B$2:$B$539,$B93,'سجل الأكشنات'!$D$2:$D$539,$C93)</f>
        <v>0</v>
      </c>
      <c r="G93" s="12" t="n">
        <f aca="false">COUNTIFS('سجل الأكشنات'!$B$2:$B$539,$B93,'سجل الأكشنات'!$D$2:$D$539,$C93,'سجل الأكشنات'!$H$2:$H$539,"تفصيلي")</f>
        <v>0</v>
      </c>
      <c r="H93" s="12" t="n">
        <f aca="false">F93-G93</f>
        <v>0</v>
      </c>
      <c r="I93" s="12" t="str">
        <f aca="false">IF($B93&gt;"2026-08-29","لا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12" t="s">
        <v>57</v>
      </c>
      <c r="B94" s="12" t="s">
        <v>67</v>
      </c>
      <c r="C94" s="13" t="s">
        <v>22</v>
      </c>
      <c r="D94" s="12" t="n">
        <f aca="false">COUNTIFS('تفاصيل الفرص'!$B$2:$B$282,$B94,'تفاصيل الفرص'!$D$2:$D$282,$C94)</f>
        <v>0</v>
      </c>
      <c r="E94" s="12" t="n">
        <f aca="false">COUNTIFS('تفاصيل الفرص'!$B$2:$B$282,$B94,'تفاصيل الفرص'!$D$2:$D$282,$C94,'تفاصيل الفرص'!$X$2:$X$282,0)</f>
        <v>0</v>
      </c>
      <c r="F94" s="12" t="n">
        <f aca="false">COUNTIFS('سجل الأكشنات'!$B$2:$B$539,$B94,'سجل الأكشنات'!$D$2:$D$539,$C94)</f>
        <v>1</v>
      </c>
      <c r="G94" s="12" t="n">
        <f aca="false">COUNTIFS('سجل الأكشنات'!$B$2:$B$539,$B94,'سجل الأكشنات'!$D$2:$D$539,$C94,'سجل الأكشنات'!$H$2:$H$539,"تفصيلي")</f>
        <v>1</v>
      </c>
      <c r="H94" s="12" t="n">
        <f aca="false">F94-G94</f>
        <v>0</v>
      </c>
      <c r="I94" s="12" t="str">
        <f aca="false">IF($B94&gt;"2026-08-29","لا توجد بيانات بعد",IF(AND(D94=0,F94=0),"بدون نشاط","نشِط"))</f>
        <v>نشِط</v>
      </c>
    </row>
    <row r="95" customFormat="false" ht="15" hidden="false" customHeight="false" outlineLevel="0" collapsed="false">
      <c r="A95" s="12" t="s">
        <v>57</v>
      </c>
      <c r="B95" s="12" t="s">
        <v>67</v>
      </c>
      <c r="C95" s="13" t="s">
        <v>24</v>
      </c>
      <c r="D95" s="12" t="n">
        <f aca="false">COUNTIFS('تفاصيل الفرص'!$B$2:$B$282,$B95,'تفاصيل الفرص'!$D$2:$D$282,$C95)</f>
        <v>0</v>
      </c>
      <c r="E95" s="12" t="n">
        <f aca="false">COUNTIFS('تفاصيل الفرص'!$B$2:$B$282,$B95,'تفاصيل الفرص'!$D$2:$D$282,$C95,'تفاصيل الفرص'!$X$2:$X$282,0)</f>
        <v>0</v>
      </c>
      <c r="F95" s="12" t="n">
        <f aca="false">COUNTIFS('سجل الأكشنات'!$B$2:$B$539,$B95,'سجل الأكشنات'!$D$2:$D$539,$C95)</f>
        <v>2</v>
      </c>
      <c r="G95" s="12" t="n">
        <f aca="false">COUNTIFS('سجل الأكشنات'!$B$2:$B$539,$B95,'سجل الأكشنات'!$D$2:$D$539,$C95,'سجل الأكشنات'!$H$2:$H$539,"تفصيلي")</f>
        <v>2</v>
      </c>
      <c r="H95" s="12" t="n">
        <f aca="false">F95-G95</f>
        <v>0</v>
      </c>
      <c r="I95" s="12" t="str">
        <f aca="false">IF($B95&gt;"2026-08-29","لا توجد بيانات بعد",IF(AND(D95=0,F95=0),"بدون نشاط","نشِط"))</f>
        <v>نشِط</v>
      </c>
    </row>
    <row r="96" customFormat="false" ht="15" hidden="false" customHeight="false" outlineLevel="0" collapsed="false">
      <c r="A96" s="12" t="s">
        <v>57</v>
      </c>
      <c r="B96" s="12" t="s">
        <v>67</v>
      </c>
      <c r="C96" s="13" t="s">
        <v>26</v>
      </c>
      <c r="D96" s="12" t="n">
        <f aca="false">COUNTIFS('تفاصيل الفرص'!$B$2:$B$282,$B96,'تفاصيل الفرص'!$D$2:$D$282,$C96)</f>
        <v>1</v>
      </c>
      <c r="E96" s="12" t="n">
        <f aca="false">COUNTIFS('تفاصيل الفرص'!$B$2:$B$282,$B96,'تفاصيل الفرص'!$D$2:$D$282,$C96,'تفاصيل الفرص'!$X$2:$X$282,0)</f>
        <v>1</v>
      </c>
      <c r="F96" s="12" t="n">
        <f aca="false">COUNTIFS('سجل الأكشنات'!$B$2:$B$539,$B96,'سجل الأكشنات'!$D$2:$D$539,$C96)</f>
        <v>1</v>
      </c>
      <c r="G96" s="12" t="n">
        <f aca="false">COUNTIFS('سجل الأكشنات'!$B$2:$B$539,$B96,'سجل الأكشنات'!$D$2:$D$539,$C96,'سجل الأكشنات'!$H$2:$H$539,"تفصيلي")</f>
        <v>1</v>
      </c>
      <c r="H96" s="12" t="n">
        <f aca="false">F96-G96</f>
        <v>0</v>
      </c>
      <c r="I96" s="12" t="str">
        <f aca="false">IF($B96&gt;"2026-08-29","لا توجد بيانات بعد",IF(AND(D96=0,F96=0),"بدون نشاط","نشِط"))</f>
        <v>نشِط</v>
      </c>
    </row>
    <row r="97" customFormat="false" ht="15" hidden="false" customHeight="false" outlineLevel="0" collapsed="false">
      <c r="A97" s="12" t="s">
        <v>57</v>
      </c>
      <c r="B97" s="12" t="s">
        <v>67</v>
      </c>
      <c r="C97" s="13" t="s">
        <v>28</v>
      </c>
      <c r="D97" s="12" t="n">
        <f aca="false">COUNTIFS('تفاصيل الفرص'!$B$2:$B$282,$B97,'تفاصيل الفرص'!$D$2:$D$282,$C97)</f>
        <v>5</v>
      </c>
      <c r="E97" s="12" t="n">
        <f aca="false">COUNTIFS('تفاصيل الفرص'!$B$2:$B$282,$B97,'تفاصيل الفرص'!$D$2:$D$282,$C97,'تفاصيل الفرص'!$X$2:$X$282,0)</f>
        <v>0</v>
      </c>
      <c r="F97" s="12" t="n">
        <f aca="false">COUNTIFS('سجل الأكشنات'!$B$2:$B$539,$B97,'سجل الأكشنات'!$D$2:$D$539,$C97)</f>
        <v>5</v>
      </c>
      <c r="G97" s="12" t="n">
        <f aca="false">COUNTIFS('سجل الأكشنات'!$B$2:$B$539,$B97,'سجل الأكشنات'!$D$2:$D$539,$C97,'سجل الأكشنات'!$H$2:$H$539,"تفصيلي")</f>
        <v>5</v>
      </c>
      <c r="H97" s="12" t="n">
        <f aca="false">F97-G97</f>
        <v>0</v>
      </c>
      <c r="I97" s="12" t="str">
        <f aca="false">IF($B97&gt;"2026-08-29","لا توجد بيانات بعد",IF(AND(D97=0,F97=0),"بدون نشاط","نشِط"))</f>
        <v>نشِط</v>
      </c>
    </row>
    <row r="98" customFormat="false" ht="15" hidden="false" customHeight="false" outlineLevel="0" collapsed="false">
      <c r="A98" s="12" t="s">
        <v>57</v>
      </c>
      <c r="B98" s="12" t="s">
        <v>67</v>
      </c>
      <c r="C98" s="13" t="s">
        <v>30</v>
      </c>
      <c r="D98" s="12" t="n">
        <f aca="false">COUNTIFS('تفاصيل الفرص'!$B$2:$B$282,$B98,'تفاصيل الفرص'!$D$2:$D$282,$C98)</f>
        <v>1</v>
      </c>
      <c r="E98" s="12" t="n">
        <f aca="false">COUNTIFS('تفاصيل الفرص'!$B$2:$B$282,$B98,'تفاصيل الفرص'!$D$2:$D$282,$C98,'تفاصيل الفرص'!$X$2:$X$282,0)</f>
        <v>0</v>
      </c>
      <c r="F98" s="12" t="n">
        <f aca="false">COUNTIFS('سجل الأكشنات'!$B$2:$B$539,$B98,'سجل الأكشنات'!$D$2:$D$539,$C98)</f>
        <v>3</v>
      </c>
      <c r="G98" s="12" t="n">
        <f aca="false">COUNTIFS('سجل الأكشنات'!$B$2:$B$539,$B98,'سجل الأكشنات'!$D$2:$D$539,$C98,'سجل الأكشنات'!$H$2:$H$539,"تفصيلي")</f>
        <v>3</v>
      </c>
      <c r="H98" s="12" t="n">
        <f aca="false">F98-G98</f>
        <v>0</v>
      </c>
      <c r="I98" s="12" t="str">
        <f aca="false">IF($B98&gt;"2026-08-29","لا توجد بيانات بعد",IF(AND(D98=0,F98=0),"بدون نشاط","نشِط"))</f>
        <v>نشِط</v>
      </c>
    </row>
    <row r="99" customFormat="false" ht="15" hidden="false" customHeight="false" outlineLevel="0" collapsed="false">
      <c r="A99" s="12" t="s">
        <v>57</v>
      </c>
      <c r="B99" s="12" t="s">
        <v>67</v>
      </c>
      <c r="C99" s="13" t="s">
        <v>32</v>
      </c>
      <c r="D99" s="12" t="n">
        <f aca="false">COUNTIFS('تفاصيل الفرص'!$B$2:$B$282,$B99,'تفاصيل الفرص'!$D$2:$D$282,$C99)</f>
        <v>0</v>
      </c>
      <c r="E99" s="12" t="n">
        <f aca="false">COUNTIFS('تفاصيل الفرص'!$B$2:$B$282,$B99,'تفاصيل الفرص'!$D$2:$D$282,$C99,'تفاصيل الفرص'!$X$2:$X$282,0)</f>
        <v>0</v>
      </c>
      <c r="F99" s="12" t="n">
        <f aca="false">COUNTIFS('سجل الأكشنات'!$B$2:$B$539,$B99,'سجل الأكشنات'!$D$2:$D$539,$C99)</f>
        <v>1</v>
      </c>
      <c r="G99" s="12" t="n">
        <f aca="false">COUNTIFS('سجل الأكشنات'!$B$2:$B$539,$B99,'سجل الأكشنات'!$D$2:$D$539,$C99,'سجل الأكشنات'!$H$2:$H$539,"تفصيلي")</f>
        <v>1</v>
      </c>
      <c r="H99" s="12" t="n">
        <f aca="false">F99-G99</f>
        <v>0</v>
      </c>
      <c r="I99" s="12" t="str">
        <f aca="false">IF($B99&gt;"2026-08-29","لا توجد بيانات بعد",IF(AND(D99=0,F99=0),"بدون نشاط","نشِط"))</f>
        <v>نشِط</v>
      </c>
    </row>
    <row r="100" customFormat="false" ht="15" hidden="false" customHeight="false" outlineLevel="0" collapsed="false">
      <c r="A100" s="5" t="s">
        <v>59</v>
      </c>
      <c r="B100" s="5" t="s">
        <v>68</v>
      </c>
      <c r="C100" s="4" t="s">
        <v>18</v>
      </c>
      <c r="D100" s="5" t="n">
        <f aca="false">COUNTIFS('تفاصيل الفرص'!$B$2:$B$282,$B100,'تفاصيل الفرص'!$D$2:$D$282,$C100)</f>
        <v>1</v>
      </c>
      <c r="E100" s="5" t="n">
        <f aca="false">COUNTIFS('تفاصيل الفرص'!$B$2:$B$282,$B100,'تفاصيل الفرص'!$D$2:$D$282,$C100,'تفاصيل الفرص'!$X$2:$X$282,0)</f>
        <v>0</v>
      </c>
      <c r="F100" s="5" t="n">
        <f aca="false">COUNTIFS('سجل الأكشنات'!$B$2:$B$539,$B100,'سجل الأكشنات'!$D$2:$D$539,$C100)</f>
        <v>2</v>
      </c>
      <c r="G100" s="5" t="n">
        <f aca="false">COUNTIFS('سجل الأكشنات'!$B$2:$B$539,$B100,'سجل الأكشنات'!$D$2:$D$539,$C100,'سجل الأكشنات'!$H$2:$H$539,"تفصيلي")</f>
        <v>2</v>
      </c>
      <c r="H100" s="5" t="n">
        <f aca="false">F100-G100</f>
        <v>0</v>
      </c>
      <c r="I100" s="5" t="str">
        <f aca="false">IF($B100&gt;"2026-08-29","لا توجد بيانات بعد",IF(AND(D100=0,F100=0),"بدون نشاط","نشِط"))</f>
        <v>نشِط</v>
      </c>
    </row>
    <row r="101" customFormat="false" ht="15" hidden="false" customHeight="false" outlineLevel="0" collapsed="false">
      <c r="A101" s="5" t="s">
        <v>59</v>
      </c>
      <c r="B101" s="5" t="s">
        <v>68</v>
      </c>
      <c r="C101" s="4" t="s">
        <v>20</v>
      </c>
      <c r="D101" s="5" t="n">
        <f aca="false">COUNTIFS('تفاصيل الفرص'!$B$2:$B$282,$B101,'تفاصيل الفرص'!$D$2:$D$282,$C101)</f>
        <v>0</v>
      </c>
      <c r="E101" s="5" t="n">
        <f aca="false">COUNTIFS('تفاصيل الفرص'!$B$2:$B$282,$B101,'تفاصيل الفرص'!$D$2:$D$282,$C101,'تفاصيل الفرص'!$X$2:$X$282,0)</f>
        <v>0</v>
      </c>
      <c r="F101" s="5" t="n">
        <f aca="false">COUNTIFS('سجل الأكشنات'!$B$2:$B$539,$B101,'سجل الأكشنات'!$D$2:$D$539,$C101)</f>
        <v>0</v>
      </c>
      <c r="G101" s="5" t="n">
        <f aca="false">COUNTIFS('سجل الأكشنات'!$B$2:$B$539,$B101,'سجل الأكشنات'!$D$2:$D$539,$C101,'سجل الأكشنات'!$H$2:$H$539,"تفصيلي")</f>
        <v>0</v>
      </c>
      <c r="H101" s="5" t="n">
        <f aca="false">F101-G101</f>
        <v>0</v>
      </c>
      <c r="I101" s="5" t="str">
        <f aca="false">IF($B101&gt;"2026-08-29","لا توجد بيانات بعد",IF(AND(D101=0,F101=0),"بدون نشاط","نشِط"))</f>
        <v>بدون نشاط</v>
      </c>
    </row>
    <row r="102" customFormat="false" ht="15" hidden="false" customHeight="false" outlineLevel="0" collapsed="false">
      <c r="A102" s="5" t="s">
        <v>59</v>
      </c>
      <c r="B102" s="5" t="s">
        <v>68</v>
      </c>
      <c r="C102" s="4" t="s">
        <v>22</v>
      </c>
      <c r="D102" s="5" t="n">
        <f aca="false">COUNTIFS('تفاصيل الفرص'!$B$2:$B$282,$B102,'تفاصيل الفرص'!$D$2:$D$282,$C102)</f>
        <v>1</v>
      </c>
      <c r="E102" s="5" t="n">
        <f aca="false">COUNTIFS('تفاصيل الفرص'!$B$2:$B$282,$B102,'تفاصيل الفرص'!$D$2:$D$282,$C102,'تفاصيل الفرص'!$X$2:$X$282,0)</f>
        <v>0</v>
      </c>
      <c r="F102" s="5" t="n">
        <f aca="false">COUNTIFS('سجل الأكشنات'!$B$2:$B$539,$B102,'سجل الأكشنات'!$D$2:$D$539,$C102)</f>
        <v>1</v>
      </c>
      <c r="G102" s="5" t="n">
        <f aca="false">COUNTIFS('سجل الأكشنات'!$B$2:$B$539,$B102,'سجل الأكشنات'!$D$2:$D$539,$C102,'سجل الأكشنات'!$H$2:$H$539,"تفصيلي")</f>
        <v>0</v>
      </c>
      <c r="H102" s="5" t="n">
        <f aca="false">F102-G102</f>
        <v>1</v>
      </c>
      <c r="I102" s="5" t="str">
        <f aca="false">IF($B102&gt;"2026-08-29","لا توجد بيانات بعد",IF(AND(D102=0,F102=0),"بدون نشاط","نشِط"))</f>
        <v>نشِط</v>
      </c>
    </row>
    <row r="103" customFormat="false" ht="15" hidden="false" customHeight="false" outlineLevel="0" collapsed="false">
      <c r="A103" s="5" t="s">
        <v>59</v>
      </c>
      <c r="B103" s="5" t="s">
        <v>68</v>
      </c>
      <c r="C103" s="4" t="s">
        <v>24</v>
      </c>
      <c r="D103" s="5" t="n">
        <f aca="false">COUNTIFS('تفاصيل الفرص'!$B$2:$B$282,$B103,'تفاصيل الفرص'!$D$2:$D$282,$C103)</f>
        <v>0</v>
      </c>
      <c r="E103" s="5" t="n">
        <f aca="false">COUNTIFS('تفاصيل الفرص'!$B$2:$B$282,$B103,'تفاصيل الفرص'!$D$2:$D$282,$C103,'تفاصيل الفرص'!$X$2:$X$282,0)</f>
        <v>0</v>
      </c>
      <c r="F103" s="5" t="n">
        <f aca="false">COUNTIFS('سجل الأكشنات'!$B$2:$B$539,$B103,'سجل الأكشنات'!$D$2:$D$539,$C103)</f>
        <v>0</v>
      </c>
      <c r="G103" s="5" t="n">
        <f aca="false">COUNTIFS('سجل الأكشنات'!$B$2:$B$539,$B103,'سجل الأكشنات'!$D$2:$D$539,$C103,'سجل الأكشنات'!$H$2:$H$539,"تفصيلي")</f>
        <v>0</v>
      </c>
      <c r="H103" s="5" t="n">
        <f aca="false">F103-G103</f>
        <v>0</v>
      </c>
      <c r="I103" s="5" t="str">
        <f aca="false">IF($B103&gt;"2026-08-29","لا توجد بيانات بعد",IF(AND(D103=0,F103=0),"بدون نشاط","نشِط"))</f>
        <v>بدون نشاط</v>
      </c>
    </row>
    <row r="104" customFormat="false" ht="15" hidden="false" customHeight="false" outlineLevel="0" collapsed="false">
      <c r="A104" s="5" t="s">
        <v>59</v>
      </c>
      <c r="B104" s="5" t="s">
        <v>68</v>
      </c>
      <c r="C104" s="4" t="s">
        <v>26</v>
      </c>
      <c r="D104" s="5" t="n">
        <f aca="false">COUNTIFS('تفاصيل الفرص'!$B$2:$B$282,$B104,'تفاصيل الفرص'!$D$2:$D$282,$C104)</f>
        <v>0</v>
      </c>
      <c r="E104" s="5" t="n">
        <f aca="false">COUNTIFS('تفاصيل الفرص'!$B$2:$B$282,$B104,'تفاصيل الفرص'!$D$2:$D$282,$C104,'تفاصيل الفرص'!$X$2:$X$282,0)</f>
        <v>0</v>
      </c>
      <c r="F104" s="5" t="n">
        <f aca="false">COUNTIFS('سجل الأكشنات'!$B$2:$B$539,$B104,'سجل الأكشنات'!$D$2:$D$539,$C104)</f>
        <v>0</v>
      </c>
      <c r="G104" s="5" t="n">
        <f aca="false">COUNTIFS('سجل الأكشنات'!$B$2:$B$539,$B104,'سجل الأكشنات'!$D$2:$D$539,$C104,'سجل الأكشنات'!$H$2:$H$539,"تفصيلي")</f>
        <v>0</v>
      </c>
      <c r="H104" s="5" t="n">
        <f aca="false">F104-G104</f>
        <v>0</v>
      </c>
      <c r="I104" s="5" t="str">
        <f aca="false">IF($B104&gt;"2026-08-29","لا توجد بيانات بعد",IF(AND(D104=0,F104=0),"بدون نشاط","نشِط"))</f>
        <v>بدون نشاط</v>
      </c>
    </row>
    <row r="105" customFormat="false" ht="15" hidden="false" customHeight="false" outlineLevel="0" collapsed="false">
      <c r="A105" s="5" t="s">
        <v>59</v>
      </c>
      <c r="B105" s="5" t="s">
        <v>68</v>
      </c>
      <c r="C105" s="4" t="s">
        <v>28</v>
      </c>
      <c r="D105" s="5" t="n">
        <f aca="false">COUNTIFS('تفاصيل الفرص'!$B$2:$B$282,$B105,'تفاصيل الفرص'!$D$2:$D$282,$C105)</f>
        <v>0</v>
      </c>
      <c r="E105" s="5" t="n">
        <f aca="false">COUNTIFS('تفاصيل الفرص'!$B$2:$B$282,$B105,'تفاصيل الفرص'!$D$2:$D$282,$C105,'تفاصيل الفرص'!$X$2:$X$282,0)</f>
        <v>0</v>
      </c>
      <c r="F105" s="5" t="n">
        <f aca="false">COUNTIFS('سجل الأكشنات'!$B$2:$B$539,$B105,'سجل الأكشنات'!$D$2:$D$539,$C105)</f>
        <v>0</v>
      </c>
      <c r="G105" s="5" t="n">
        <f aca="false">COUNTIFS('سجل الأكشنات'!$B$2:$B$539,$B105,'سجل الأكشنات'!$D$2:$D$539,$C105,'سجل الأكشنات'!$H$2:$H$539,"تفصيلي")</f>
        <v>0</v>
      </c>
      <c r="H105" s="5" t="n">
        <f aca="false">F105-G105</f>
        <v>0</v>
      </c>
      <c r="I105" s="5" t="str">
        <f aca="false">IF($B105&gt;"2026-08-29","لا توجد بيانات بعد",IF(AND(D105=0,F105=0),"بدون نشاط","نشِط"))</f>
        <v>بدون نشاط</v>
      </c>
    </row>
    <row r="106" customFormat="false" ht="15" hidden="false" customHeight="false" outlineLevel="0" collapsed="false">
      <c r="A106" s="5" t="s">
        <v>59</v>
      </c>
      <c r="B106" s="5" t="s">
        <v>68</v>
      </c>
      <c r="C106" s="4" t="s">
        <v>30</v>
      </c>
      <c r="D106" s="5" t="n">
        <f aca="false">COUNTIFS('تفاصيل الفرص'!$B$2:$B$282,$B106,'تفاصيل الفرص'!$D$2:$D$282,$C106)</f>
        <v>0</v>
      </c>
      <c r="E106" s="5" t="n">
        <f aca="false">COUNTIFS('تفاصيل الفرص'!$B$2:$B$282,$B106,'تفاصيل الفرص'!$D$2:$D$282,$C106,'تفاصيل الفرص'!$X$2:$X$282,0)</f>
        <v>0</v>
      </c>
      <c r="F106" s="5" t="n">
        <f aca="false">COUNTIFS('سجل الأكشنات'!$B$2:$B$539,$B106,'سجل الأكشنات'!$D$2:$D$539,$C106)</f>
        <v>1</v>
      </c>
      <c r="G106" s="5" t="n">
        <f aca="false">COUNTIFS('سجل الأكشنات'!$B$2:$B$539,$B106,'سجل الأكشنات'!$D$2:$D$539,$C106,'سجل الأكشنات'!$H$2:$H$539,"تفصيلي")</f>
        <v>0</v>
      </c>
      <c r="H106" s="5" t="n">
        <f aca="false">F106-G106</f>
        <v>1</v>
      </c>
      <c r="I106" s="5" t="str">
        <f aca="false">IF($B106&gt;"2026-08-29","لا توجد بيانات بعد",IF(AND(D106=0,F106=0),"بدون نشاط","نشِط"))</f>
        <v>نشِط</v>
      </c>
    </row>
    <row r="107" customFormat="false" ht="15" hidden="false" customHeight="false" outlineLevel="0" collapsed="false">
      <c r="A107" s="5" t="s">
        <v>59</v>
      </c>
      <c r="B107" s="5" t="s">
        <v>68</v>
      </c>
      <c r="C107" s="4" t="s">
        <v>32</v>
      </c>
      <c r="D107" s="5" t="n">
        <f aca="false">COUNTIFS('تفاصيل الفرص'!$B$2:$B$282,$B107,'تفاصيل الفرص'!$D$2:$D$282,$C107)</f>
        <v>0</v>
      </c>
      <c r="E107" s="5" t="n">
        <f aca="false">COUNTIFS('تفاصيل الفرص'!$B$2:$B$282,$B107,'تفاصيل الفرص'!$D$2:$D$282,$C107,'تفاصيل الفرص'!$X$2:$X$282,0)</f>
        <v>0</v>
      </c>
      <c r="F107" s="5" t="n">
        <f aca="false">COUNTIFS('سجل الأكشنات'!$B$2:$B$539,$B107,'سجل الأكشنات'!$D$2:$D$539,$C107)</f>
        <v>0</v>
      </c>
      <c r="G107" s="5" t="n">
        <f aca="false">COUNTIFS('سجل الأكشنات'!$B$2:$B$539,$B107,'سجل الأكشنات'!$D$2:$D$539,$C107,'سجل الأكشنات'!$H$2:$H$539,"تفصيلي")</f>
        <v>0</v>
      </c>
      <c r="H107" s="5" t="n">
        <f aca="false">F107-G107</f>
        <v>0</v>
      </c>
      <c r="I107" s="5" t="str">
        <f aca="false">IF($B107&gt;"2026-08-29","لا توجد بيانات بعد",IF(AND(D107=0,F107=0),"بدون نشاط","نشِط"))</f>
        <v>بدون نشاط</v>
      </c>
    </row>
    <row r="108" customFormat="false" ht="15" hidden="false" customHeight="false" outlineLevel="0" collapsed="false">
      <c r="A108" s="12" t="s">
        <v>61</v>
      </c>
      <c r="B108" s="12" t="s">
        <v>69</v>
      </c>
      <c r="C108" s="13" t="s">
        <v>18</v>
      </c>
      <c r="D108" s="12" t="n">
        <f aca="false">COUNTIFS('تفاصيل الفرص'!$B$2:$B$282,$B108,'تفاصيل الفرص'!$D$2:$D$282,$C108)</f>
        <v>0</v>
      </c>
      <c r="E108" s="12" t="n">
        <f aca="false">COUNTIFS('تفاصيل الفرص'!$B$2:$B$282,$B108,'تفاصيل الفرص'!$D$2:$D$282,$C108,'تفاصيل الفرص'!$X$2:$X$282,0)</f>
        <v>0</v>
      </c>
      <c r="F108" s="12" t="n">
        <f aca="false">COUNTIFS('سجل الأكشنات'!$B$2:$B$539,$B108,'سجل الأكشنات'!$D$2:$D$539,$C108)</f>
        <v>0</v>
      </c>
      <c r="G108" s="12" t="n">
        <f aca="false">COUNTIFS('سجل الأكشنات'!$B$2:$B$539,$B108,'سجل الأكشنات'!$D$2:$D$539,$C108,'سجل الأكشنات'!$H$2:$H$539,"تفصيلي")</f>
        <v>0</v>
      </c>
      <c r="H108" s="12" t="n">
        <f aca="false">F108-G108</f>
        <v>0</v>
      </c>
      <c r="I108" s="12" t="str">
        <f aca="false">IF($B108&gt;"2026-08-29","لا توجد بيانات بعد",IF(AND(D108=0,F108=0),"بدون نشاط","نشِط"))</f>
        <v>بدون نشاط</v>
      </c>
    </row>
    <row r="109" customFormat="false" ht="15" hidden="false" customHeight="false" outlineLevel="0" collapsed="false">
      <c r="A109" s="12" t="s">
        <v>61</v>
      </c>
      <c r="B109" s="12" t="s">
        <v>69</v>
      </c>
      <c r="C109" s="13" t="s">
        <v>20</v>
      </c>
      <c r="D109" s="12" t="n">
        <f aca="false">COUNTIFS('تفاصيل الفرص'!$B$2:$B$282,$B109,'تفاصيل الفرص'!$D$2:$D$282,$C109)</f>
        <v>0</v>
      </c>
      <c r="E109" s="12" t="n">
        <f aca="false">COUNTIFS('تفاصيل الفرص'!$B$2:$B$282,$B109,'تفاصيل الفرص'!$D$2:$D$282,$C109,'تفاصيل الفرص'!$X$2:$X$282,0)</f>
        <v>0</v>
      </c>
      <c r="F109" s="12" t="n">
        <f aca="false">COUNTIFS('سجل الأكشنات'!$B$2:$B$539,$B109,'سجل الأكشنات'!$D$2:$D$539,$C109)</f>
        <v>0</v>
      </c>
      <c r="G109" s="12" t="n">
        <f aca="false">COUNTIFS('سجل الأكشنات'!$B$2:$B$539,$B109,'سجل الأكشنات'!$D$2:$D$539,$C109,'سجل الأكشنات'!$H$2:$H$539,"تفصيلي")</f>
        <v>0</v>
      </c>
      <c r="H109" s="12" t="n">
        <f aca="false">F109-G109</f>
        <v>0</v>
      </c>
      <c r="I109" s="12" t="str">
        <f aca="false">IF($B109&gt;"2026-08-29","لا توجد بيانات بعد",IF(AND(D109=0,F109=0),"بدون نشاط","نشِط"))</f>
        <v>بدون نشاط</v>
      </c>
    </row>
    <row r="110" customFormat="false" ht="15" hidden="false" customHeight="false" outlineLevel="0" collapsed="false">
      <c r="A110" s="12" t="s">
        <v>61</v>
      </c>
      <c r="B110" s="12" t="s">
        <v>69</v>
      </c>
      <c r="C110" s="13" t="s">
        <v>22</v>
      </c>
      <c r="D110" s="12" t="n">
        <f aca="false">COUNTIFS('تفاصيل الفرص'!$B$2:$B$282,$B110,'تفاصيل الفرص'!$D$2:$D$282,$C110)</f>
        <v>0</v>
      </c>
      <c r="E110" s="12" t="n">
        <f aca="false">COUNTIFS('تفاصيل الفرص'!$B$2:$B$282,$B110,'تفاصيل الفرص'!$D$2:$D$282,$C110,'تفاصيل الفرص'!$X$2:$X$282,0)</f>
        <v>0</v>
      </c>
      <c r="F110" s="12" t="n">
        <f aca="false">COUNTIFS('سجل الأكشنات'!$B$2:$B$539,$B110,'سجل الأكشنات'!$D$2:$D$539,$C110)</f>
        <v>0</v>
      </c>
      <c r="G110" s="12" t="n">
        <f aca="false">COUNTIFS('سجل الأكشنات'!$B$2:$B$539,$B110,'سجل الأكشنات'!$D$2:$D$539,$C110,'سجل الأكشنات'!$H$2:$H$539,"تفصيلي")</f>
        <v>0</v>
      </c>
      <c r="H110" s="12" t="n">
        <f aca="false">F110-G110</f>
        <v>0</v>
      </c>
      <c r="I110" s="12" t="str">
        <f aca="false">IF($B110&gt;"2026-08-29","لا توجد بيانات بعد",IF(AND(D110=0,F110=0),"بدون نشاط","نشِط"))</f>
        <v>بدون نشاط</v>
      </c>
    </row>
    <row r="111" customFormat="false" ht="15" hidden="false" customHeight="false" outlineLevel="0" collapsed="false">
      <c r="A111" s="12" t="s">
        <v>61</v>
      </c>
      <c r="B111" s="12" t="s">
        <v>69</v>
      </c>
      <c r="C111" s="13" t="s">
        <v>24</v>
      </c>
      <c r="D111" s="12" t="n">
        <f aca="false">COUNTIFS('تفاصيل الفرص'!$B$2:$B$282,$B111,'تفاصيل الفرص'!$D$2:$D$282,$C111)</f>
        <v>0</v>
      </c>
      <c r="E111" s="12" t="n">
        <f aca="false">COUNTIFS('تفاصيل الفرص'!$B$2:$B$282,$B111,'تفاصيل الفرص'!$D$2:$D$282,$C111,'تفاصيل الفرص'!$X$2:$X$282,0)</f>
        <v>0</v>
      </c>
      <c r="F111" s="12" t="n">
        <f aca="false">COUNTIFS('سجل الأكشنات'!$B$2:$B$539,$B111,'سجل الأكشنات'!$D$2:$D$539,$C111)</f>
        <v>0</v>
      </c>
      <c r="G111" s="12" t="n">
        <f aca="false">COUNTIFS('سجل الأكشنات'!$B$2:$B$539,$B111,'سجل الأكشنات'!$D$2:$D$539,$C111,'سجل الأكشنات'!$H$2:$H$539,"تفصيلي")</f>
        <v>0</v>
      </c>
      <c r="H111" s="12" t="n">
        <f aca="false">F111-G111</f>
        <v>0</v>
      </c>
      <c r="I111" s="12" t="str">
        <f aca="false">IF($B111&gt;"2026-08-29","لا توجد بيانات بعد",IF(AND(D111=0,F111=0),"بدون نشاط","نشِط"))</f>
        <v>بدون نشاط</v>
      </c>
    </row>
    <row r="112" customFormat="false" ht="15" hidden="false" customHeight="false" outlineLevel="0" collapsed="false">
      <c r="A112" s="12" t="s">
        <v>61</v>
      </c>
      <c r="B112" s="12" t="s">
        <v>69</v>
      </c>
      <c r="C112" s="13" t="s">
        <v>26</v>
      </c>
      <c r="D112" s="12" t="n">
        <f aca="false">COUNTIFS('تفاصيل الفرص'!$B$2:$B$282,$B112,'تفاصيل الفرص'!$D$2:$D$282,$C112)</f>
        <v>0</v>
      </c>
      <c r="E112" s="12" t="n">
        <f aca="false">COUNTIFS('تفاصيل الفرص'!$B$2:$B$282,$B112,'تفاصيل الفرص'!$D$2:$D$282,$C112,'تفاصيل الفرص'!$X$2:$X$282,0)</f>
        <v>0</v>
      </c>
      <c r="F112" s="12" t="n">
        <f aca="false">COUNTIFS('سجل الأكشنات'!$B$2:$B$539,$B112,'سجل الأكشنات'!$D$2:$D$539,$C112)</f>
        <v>0</v>
      </c>
      <c r="G112" s="12" t="n">
        <f aca="false">COUNTIFS('سجل الأكشنات'!$B$2:$B$539,$B112,'سجل الأكشنات'!$D$2:$D$539,$C112,'سجل الأكشنات'!$H$2:$H$539,"تفصيلي")</f>
        <v>0</v>
      </c>
      <c r="H112" s="12" t="n">
        <f aca="false">F112-G112</f>
        <v>0</v>
      </c>
      <c r="I112" s="12" t="str">
        <f aca="false">IF($B112&gt;"2026-08-29","لا توجد بيانات بعد",IF(AND(D112=0,F112=0),"بدون نشاط","نشِط"))</f>
        <v>بدون نشاط</v>
      </c>
    </row>
    <row r="113" customFormat="false" ht="15" hidden="false" customHeight="false" outlineLevel="0" collapsed="false">
      <c r="A113" s="12" t="s">
        <v>61</v>
      </c>
      <c r="B113" s="12" t="s">
        <v>69</v>
      </c>
      <c r="C113" s="13" t="s">
        <v>28</v>
      </c>
      <c r="D113" s="12" t="n">
        <f aca="false">COUNTIFS('تفاصيل الفرص'!$B$2:$B$282,$B113,'تفاصيل الفرص'!$D$2:$D$282,$C113)</f>
        <v>0</v>
      </c>
      <c r="E113" s="12" t="n">
        <f aca="false">COUNTIFS('تفاصيل الفرص'!$B$2:$B$282,$B113,'تفاصيل الفرص'!$D$2:$D$282,$C113,'تفاصيل الفرص'!$X$2:$X$282,0)</f>
        <v>0</v>
      </c>
      <c r="F113" s="12" t="n">
        <f aca="false">COUNTIFS('سجل الأكشنات'!$B$2:$B$539,$B113,'سجل الأكشنات'!$D$2:$D$539,$C113)</f>
        <v>0</v>
      </c>
      <c r="G113" s="12" t="n">
        <f aca="false">COUNTIFS('سجل الأكشنات'!$B$2:$B$539,$B113,'سجل الأكشنات'!$D$2:$D$539,$C113,'سجل الأكشنات'!$H$2:$H$539,"تفصيلي")</f>
        <v>0</v>
      </c>
      <c r="H113" s="12" t="n">
        <f aca="false">F113-G113</f>
        <v>0</v>
      </c>
      <c r="I113" s="12" t="str">
        <f aca="false">IF($B113&gt;"2026-08-29","لا توجد بيانات بعد",IF(AND(D113=0,F113=0),"بدون نشاط","نشِط"))</f>
        <v>بدون نشاط</v>
      </c>
    </row>
    <row r="114" customFormat="false" ht="15" hidden="false" customHeight="false" outlineLevel="0" collapsed="false">
      <c r="A114" s="12" t="s">
        <v>61</v>
      </c>
      <c r="B114" s="12" t="s">
        <v>69</v>
      </c>
      <c r="C114" s="13" t="s">
        <v>30</v>
      </c>
      <c r="D114" s="12" t="n">
        <f aca="false">COUNTIFS('تفاصيل الفرص'!$B$2:$B$282,$B114,'تفاصيل الفرص'!$D$2:$D$282,$C114)</f>
        <v>0</v>
      </c>
      <c r="E114" s="12" t="n">
        <f aca="false">COUNTIFS('تفاصيل الفرص'!$B$2:$B$282,$B114,'تفاصيل الفرص'!$D$2:$D$282,$C114,'تفاصيل الفرص'!$X$2:$X$282,0)</f>
        <v>0</v>
      </c>
      <c r="F114" s="12" t="n">
        <f aca="false">COUNTIFS('سجل الأكشنات'!$B$2:$B$539,$B114,'سجل الأكشنات'!$D$2:$D$539,$C114)</f>
        <v>0</v>
      </c>
      <c r="G114" s="12" t="n">
        <f aca="false">COUNTIFS('سجل الأكشنات'!$B$2:$B$539,$B114,'سجل الأكشنات'!$D$2:$D$539,$C114,'سجل الأكشنات'!$H$2:$H$539,"تفصيلي")</f>
        <v>0</v>
      </c>
      <c r="H114" s="12" t="n">
        <f aca="false">F114-G114</f>
        <v>0</v>
      </c>
      <c r="I114" s="12" t="str">
        <f aca="false">IF($B114&gt;"2026-08-29","لا توجد بيانات بعد",IF(AND(D114=0,F114=0),"بدون نشاط","نشِط"))</f>
        <v>بدون نشاط</v>
      </c>
    </row>
    <row r="115" customFormat="false" ht="15" hidden="false" customHeight="false" outlineLevel="0" collapsed="false">
      <c r="A115" s="12" t="s">
        <v>61</v>
      </c>
      <c r="B115" s="12" t="s">
        <v>69</v>
      </c>
      <c r="C115" s="13" t="s">
        <v>32</v>
      </c>
      <c r="D115" s="12" t="n">
        <f aca="false">COUNTIFS('تفاصيل الفرص'!$B$2:$B$282,$B115,'تفاصيل الفرص'!$D$2:$D$282,$C115)</f>
        <v>0</v>
      </c>
      <c r="E115" s="12" t="n">
        <f aca="false">COUNTIFS('تفاصيل الفرص'!$B$2:$B$282,$B115,'تفاصيل الفرص'!$D$2:$D$282,$C115,'تفاصيل الفرص'!$X$2:$X$282,0)</f>
        <v>0</v>
      </c>
      <c r="F115" s="12" t="n">
        <f aca="false">COUNTIFS('سجل الأكشنات'!$B$2:$B$539,$B115,'سجل الأكشنات'!$D$2:$D$539,$C115)</f>
        <v>0</v>
      </c>
      <c r="G115" s="12" t="n">
        <f aca="false">COUNTIFS('سجل الأكشنات'!$B$2:$B$539,$B115,'سجل الأكشنات'!$D$2:$D$539,$C115,'سجل الأكشنات'!$H$2:$H$539,"تفصيلي")</f>
        <v>0</v>
      </c>
      <c r="H115" s="12" t="n">
        <f aca="false">F115-G115</f>
        <v>0</v>
      </c>
      <c r="I115" s="12" t="str">
        <f aca="false">IF($B115&gt;"2026-08-29","لا توجد بيانات بعد",IF(AND(D115=0,F115=0),"بدون نشاط","نشِط"))</f>
        <v>بدون نشاط</v>
      </c>
    </row>
    <row r="116" customFormat="false" ht="15" hidden="false" customHeight="false" outlineLevel="0" collapsed="false">
      <c r="A116" s="5" t="s">
        <v>49</v>
      </c>
      <c r="B116" s="5" t="s">
        <v>70</v>
      </c>
      <c r="C116" s="4" t="s">
        <v>18</v>
      </c>
      <c r="D116" s="5" t="n">
        <f aca="false">COUNTIFS('تفاصيل الفرص'!$B$2:$B$282,$B116,'تفاصيل الفرص'!$D$2:$D$282,$C116)</f>
        <v>0</v>
      </c>
      <c r="E116" s="5" t="n">
        <f aca="false">COUNTIFS('تفاصيل الفرص'!$B$2:$B$282,$B116,'تفاصيل الفرص'!$D$2:$D$282,$C116,'تفاصيل الفرص'!$X$2:$X$282,0)</f>
        <v>0</v>
      </c>
      <c r="F116" s="5" t="n">
        <f aca="false">COUNTIFS('سجل الأكشنات'!$B$2:$B$539,$B116,'سجل الأكشنات'!$D$2:$D$539,$C116)</f>
        <v>0</v>
      </c>
      <c r="G116" s="5" t="n">
        <f aca="false">COUNTIFS('سجل الأكشنات'!$B$2:$B$539,$B116,'سجل الأكشنات'!$D$2:$D$539,$C116,'سجل الأكشنات'!$H$2:$H$539,"تفصيلي")</f>
        <v>0</v>
      </c>
      <c r="H116" s="5" t="n">
        <f aca="false">F116-G116</f>
        <v>0</v>
      </c>
      <c r="I116" s="5" t="str">
        <f aca="false">IF($B116&gt;"2026-08-29","لا توجد بيانات بعد",IF(AND(D116=0,F116=0),"بدون نشاط","نشِط"))</f>
        <v>بدون نشاط</v>
      </c>
    </row>
    <row r="117" customFormat="false" ht="15" hidden="false" customHeight="false" outlineLevel="0" collapsed="false">
      <c r="A117" s="5" t="s">
        <v>49</v>
      </c>
      <c r="B117" s="5" t="s">
        <v>70</v>
      </c>
      <c r="C117" s="4" t="s">
        <v>20</v>
      </c>
      <c r="D117" s="5" t="n">
        <f aca="false">COUNTIFS('تفاصيل الفرص'!$B$2:$B$282,$B117,'تفاصيل الفرص'!$D$2:$D$282,$C117)</f>
        <v>0</v>
      </c>
      <c r="E117" s="5" t="n">
        <f aca="false">COUNTIFS('تفاصيل الفرص'!$B$2:$B$282,$B117,'تفاصيل الفرص'!$D$2:$D$282,$C117,'تفاصيل الفرص'!$X$2:$X$282,0)</f>
        <v>0</v>
      </c>
      <c r="F117" s="5" t="n">
        <f aca="false">COUNTIFS('سجل الأكشنات'!$B$2:$B$539,$B117,'سجل الأكشنات'!$D$2:$D$539,$C117)</f>
        <v>0</v>
      </c>
      <c r="G117" s="5" t="n">
        <f aca="false">COUNTIFS('سجل الأكشنات'!$B$2:$B$539,$B117,'سجل الأكشنات'!$D$2:$D$539,$C117,'سجل الأكشنات'!$H$2:$H$539,"تفصيلي")</f>
        <v>0</v>
      </c>
      <c r="H117" s="5" t="n">
        <f aca="false">F117-G117</f>
        <v>0</v>
      </c>
      <c r="I117" s="5" t="str">
        <f aca="false">IF($B117&gt;"2026-08-29","لا توجد بيانات بعد",IF(AND(D117=0,F117=0),"بدون نشاط","نشِط"))</f>
        <v>بدون نشاط</v>
      </c>
    </row>
    <row r="118" customFormat="false" ht="15" hidden="false" customHeight="false" outlineLevel="0" collapsed="false">
      <c r="A118" s="5" t="s">
        <v>49</v>
      </c>
      <c r="B118" s="5" t="s">
        <v>70</v>
      </c>
      <c r="C118" s="4" t="s">
        <v>22</v>
      </c>
      <c r="D118" s="5" t="n">
        <f aca="false">COUNTIFS('تفاصيل الفرص'!$B$2:$B$282,$B118,'تفاصيل الفرص'!$D$2:$D$282,$C118)</f>
        <v>1</v>
      </c>
      <c r="E118" s="5" t="n">
        <f aca="false">COUNTIFS('تفاصيل الفرص'!$B$2:$B$282,$B118,'تفاصيل الفرص'!$D$2:$D$282,$C118,'تفاصيل الفرص'!$X$2:$X$282,0)</f>
        <v>0</v>
      </c>
      <c r="F118" s="5" t="n">
        <f aca="false">COUNTIFS('سجل الأكشنات'!$B$2:$B$539,$B118,'سجل الأكشنات'!$D$2:$D$539,$C118)</f>
        <v>1</v>
      </c>
      <c r="G118" s="5" t="n">
        <f aca="false">COUNTIFS('سجل الأكشنات'!$B$2:$B$539,$B118,'سجل الأكشنات'!$D$2:$D$539,$C118,'سجل الأكشنات'!$H$2:$H$539,"تفصيلي")</f>
        <v>1</v>
      </c>
      <c r="H118" s="5" t="n">
        <f aca="false">F118-G118</f>
        <v>0</v>
      </c>
      <c r="I118" s="5" t="str">
        <f aca="false">IF($B118&gt;"2026-08-29","لا توجد بيانات بعد",IF(AND(D118=0,F118=0),"بدون نشاط","نشِط"))</f>
        <v>نشِط</v>
      </c>
    </row>
    <row r="119" customFormat="false" ht="15" hidden="false" customHeight="false" outlineLevel="0" collapsed="false">
      <c r="A119" s="5" t="s">
        <v>49</v>
      </c>
      <c r="B119" s="5" t="s">
        <v>70</v>
      </c>
      <c r="C119" s="4" t="s">
        <v>24</v>
      </c>
      <c r="D119" s="5" t="n">
        <f aca="false">COUNTIFS('تفاصيل الفرص'!$B$2:$B$282,$B119,'تفاصيل الفرص'!$D$2:$D$282,$C119)</f>
        <v>0</v>
      </c>
      <c r="E119" s="5" t="n">
        <f aca="false">COUNTIFS('تفاصيل الفرص'!$B$2:$B$282,$B119,'تفاصيل الفرص'!$D$2:$D$282,$C119,'تفاصيل الفرص'!$X$2:$X$282,0)</f>
        <v>0</v>
      </c>
      <c r="F119" s="5" t="n">
        <f aca="false">COUNTIFS('سجل الأكشنات'!$B$2:$B$539,$B119,'سجل الأكشنات'!$D$2:$D$539,$C119)</f>
        <v>2</v>
      </c>
      <c r="G119" s="5" t="n">
        <f aca="false">COUNTIFS('سجل الأكشنات'!$B$2:$B$539,$B119,'سجل الأكشنات'!$D$2:$D$539,$C119,'سجل الأكشنات'!$H$2:$H$539,"تفصيلي")</f>
        <v>2</v>
      </c>
      <c r="H119" s="5" t="n">
        <f aca="false">F119-G119</f>
        <v>0</v>
      </c>
      <c r="I119" s="5" t="str">
        <f aca="false">IF($B119&gt;"2026-08-29","لا توجد بيانات بعد",IF(AND(D119=0,F119=0),"بدون نشاط","نشِط"))</f>
        <v>نشِط</v>
      </c>
    </row>
    <row r="120" customFormat="false" ht="15" hidden="false" customHeight="false" outlineLevel="0" collapsed="false">
      <c r="A120" s="5" t="s">
        <v>49</v>
      </c>
      <c r="B120" s="5" t="s">
        <v>70</v>
      </c>
      <c r="C120" s="4" t="s">
        <v>26</v>
      </c>
      <c r="D120" s="5" t="n">
        <f aca="false">COUNTIFS('تفاصيل الفرص'!$B$2:$B$282,$B120,'تفاصيل الفرص'!$D$2:$D$282,$C120)</f>
        <v>0</v>
      </c>
      <c r="E120" s="5" t="n">
        <f aca="false">COUNTIFS('تفاصيل الفرص'!$B$2:$B$282,$B120,'تفاصيل الفرص'!$D$2:$D$282,$C120,'تفاصيل الفرص'!$X$2:$X$282,0)</f>
        <v>0</v>
      </c>
      <c r="F120" s="5" t="n">
        <f aca="false">COUNTIFS('سجل الأكشنات'!$B$2:$B$539,$B120,'سجل الأكشنات'!$D$2:$D$539,$C120)</f>
        <v>13</v>
      </c>
      <c r="G120" s="5" t="n">
        <f aca="false">COUNTIFS('سجل الأكشنات'!$B$2:$B$539,$B120,'سجل الأكشنات'!$D$2:$D$539,$C120,'سجل الأكشنات'!$H$2:$H$539,"تفصيلي")</f>
        <v>13</v>
      </c>
      <c r="H120" s="5" t="n">
        <f aca="false">F120-G120</f>
        <v>0</v>
      </c>
      <c r="I120" s="5" t="str">
        <f aca="false">IF($B120&gt;"2026-08-29","لا توجد بيانات بعد",IF(AND(D120=0,F120=0),"بدون نشاط","نشِط"))</f>
        <v>نشِط</v>
      </c>
    </row>
    <row r="121" customFormat="false" ht="15" hidden="false" customHeight="false" outlineLevel="0" collapsed="false">
      <c r="A121" s="5" t="s">
        <v>49</v>
      </c>
      <c r="B121" s="5" t="s">
        <v>70</v>
      </c>
      <c r="C121" s="4" t="s">
        <v>28</v>
      </c>
      <c r="D121" s="5" t="n">
        <f aca="false">COUNTIFS('تفاصيل الفرص'!$B$2:$B$282,$B121,'تفاصيل الفرص'!$D$2:$D$282,$C121)</f>
        <v>5</v>
      </c>
      <c r="E121" s="5" t="n">
        <f aca="false">COUNTIFS('تفاصيل الفرص'!$B$2:$B$282,$B121,'تفاصيل الفرص'!$D$2:$D$282,$C121,'تفاصيل الفرص'!$X$2:$X$282,0)</f>
        <v>0</v>
      </c>
      <c r="F121" s="5" t="n">
        <f aca="false">COUNTIFS('سجل الأكشنات'!$B$2:$B$539,$B121,'سجل الأكشنات'!$D$2:$D$539,$C121)</f>
        <v>5</v>
      </c>
      <c r="G121" s="5" t="n">
        <f aca="false">COUNTIFS('سجل الأكشنات'!$B$2:$B$539,$B121,'سجل الأكشنات'!$D$2:$D$539,$C121,'سجل الأكشنات'!$H$2:$H$539,"تفصيلي")</f>
        <v>4</v>
      </c>
      <c r="H121" s="5" t="n">
        <f aca="false">F121-G121</f>
        <v>1</v>
      </c>
      <c r="I121" s="5" t="str">
        <f aca="false">IF($B121&gt;"2026-08-29","لا توجد بيانات بعد",IF(AND(D121=0,F121=0),"بدون نشاط","نشِط"))</f>
        <v>نشِط</v>
      </c>
    </row>
    <row r="122" customFormat="false" ht="15" hidden="false" customHeight="false" outlineLevel="0" collapsed="false">
      <c r="A122" s="5" t="s">
        <v>49</v>
      </c>
      <c r="B122" s="5" t="s">
        <v>70</v>
      </c>
      <c r="C122" s="4" t="s">
        <v>30</v>
      </c>
      <c r="D122" s="5" t="n">
        <f aca="false">COUNTIFS('تفاصيل الفرص'!$B$2:$B$282,$B122,'تفاصيل الفرص'!$D$2:$D$282,$C122)</f>
        <v>1</v>
      </c>
      <c r="E122" s="5" t="n">
        <f aca="false">COUNTIFS('تفاصيل الفرص'!$B$2:$B$282,$B122,'تفاصيل الفرص'!$D$2:$D$282,$C122,'تفاصيل الفرص'!$X$2:$X$282,0)</f>
        <v>0</v>
      </c>
      <c r="F122" s="5" t="n">
        <f aca="false">COUNTIFS('سجل الأكشنات'!$B$2:$B$539,$B122,'سجل الأكشنات'!$D$2:$D$539,$C122)</f>
        <v>3</v>
      </c>
      <c r="G122" s="5" t="n">
        <f aca="false">COUNTIFS('سجل الأكشنات'!$B$2:$B$539,$B122,'سجل الأكشنات'!$D$2:$D$539,$C122,'سجل الأكشنات'!$H$2:$H$539,"تفصيلي")</f>
        <v>3</v>
      </c>
      <c r="H122" s="5" t="n">
        <f aca="false">F122-G122</f>
        <v>0</v>
      </c>
      <c r="I122" s="5" t="str">
        <f aca="false">IF($B122&gt;"2026-08-29","لا توجد بيانات بعد",IF(AND(D122=0,F122=0),"بدون نشاط","نشِط"))</f>
        <v>نشِط</v>
      </c>
    </row>
    <row r="123" customFormat="false" ht="15" hidden="false" customHeight="false" outlineLevel="0" collapsed="false">
      <c r="A123" s="5" t="s">
        <v>49</v>
      </c>
      <c r="B123" s="5" t="s">
        <v>70</v>
      </c>
      <c r="C123" s="4" t="s">
        <v>32</v>
      </c>
      <c r="D123" s="5" t="n">
        <f aca="false">COUNTIFS('تفاصيل الفرص'!$B$2:$B$282,$B123,'تفاصيل الفرص'!$D$2:$D$282,$C123)</f>
        <v>0</v>
      </c>
      <c r="E123" s="5" t="n">
        <f aca="false">COUNTIFS('تفاصيل الفرص'!$B$2:$B$282,$B123,'تفاصيل الفرص'!$D$2:$D$282,$C123,'تفاصيل الفرص'!$X$2:$X$282,0)</f>
        <v>0</v>
      </c>
      <c r="F123" s="5" t="n">
        <f aca="false">COUNTIFS('سجل الأكشنات'!$B$2:$B$539,$B123,'سجل الأكشنات'!$D$2:$D$539,$C123)</f>
        <v>0</v>
      </c>
      <c r="G123" s="5" t="n">
        <f aca="false">COUNTIFS('سجل الأكشنات'!$B$2:$B$539,$B123,'سجل الأكشنات'!$D$2:$D$539,$C123,'سجل الأكشنات'!$H$2:$H$539,"تفصيلي")</f>
        <v>0</v>
      </c>
      <c r="H123" s="5" t="n">
        <f aca="false">F123-G123</f>
        <v>0</v>
      </c>
      <c r="I123" s="5" t="str">
        <f aca="false">IF($B123&gt;"2026-08-29","لا توجد بيانات بعد",IF(AND(D123=0,F123=0),"بدون نشاط","نشِط"))</f>
        <v>بدون نشاط</v>
      </c>
    </row>
    <row r="124" customFormat="false" ht="15" hidden="false" customHeight="false" outlineLevel="0" collapsed="false">
      <c r="A124" s="12" t="s">
        <v>51</v>
      </c>
      <c r="B124" s="12" t="s">
        <v>71</v>
      </c>
      <c r="C124" s="13" t="s">
        <v>18</v>
      </c>
      <c r="D124" s="12" t="n">
        <f aca="false">COUNTIFS('تفاصيل الفرص'!$B$2:$B$282,$B124,'تفاصيل الفرص'!$D$2:$D$282,$C124)</f>
        <v>1</v>
      </c>
      <c r="E124" s="12" t="n">
        <f aca="false">COUNTIFS('تفاصيل الفرص'!$B$2:$B$282,$B124,'تفاصيل الفرص'!$D$2:$D$282,$C124,'تفاصيل الفرص'!$X$2:$X$282,0)</f>
        <v>0</v>
      </c>
      <c r="F124" s="12" t="n">
        <f aca="false">COUNTIFS('سجل الأكشنات'!$B$2:$B$539,$B124,'سجل الأكشنات'!$D$2:$D$539,$C124)</f>
        <v>5</v>
      </c>
      <c r="G124" s="12" t="n">
        <f aca="false">COUNTIFS('سجل الأكشنات'!$B$2:$B$539,$B124,'سجل الأكشنات'!$D$2:$D$539,$C124,'سجل الأكشنات'!$H$2:$H$539,"تفصيلي")</f>
        <v>5</v>
      </c>
      <c r="H124" s="12" t="n">
        <f aca="false">F124-G124</f>
        <v>0</v>
      </c>
      <c r="I124" s="12" t="str">
        <f aca="false">IF($B124&gt;"2026-08-29","لا توجد بيانات بعد",IF(AND(D124=0,F124=0),"بدون نشاط","نشِط"))</f>
        <v>نشِط</v>
      </c>
    </row>
    <row r="125" customFormat="false" ht="15" hidden="false" customHeight="false" outlineLevel="0" collapsed="false">
      <c r="A125" s="12" t="s">
        <v>51</v>
      </c>
      <c r="B125" s="12" t="s">
        <v>71</v>
      </c>
      <c r="C125" s="13" t="s">
        <v>20</v>
      </c>
      <c r="D125" s="12" t="n">
        <f aca="false">COUNTIFS('تفاصيل الفرص'!$B$2:$B$282,$B125,'تفاصيل الفرص'!$D$2:$D$282,$C125)</f>
        <v>0</v>
      </c>
      <c r="E125" s="12" t="n">
        <f aca="false">COUNTIFS('تفاصيل الفرص'!$B$2:$B$282,$B125,'تفاصيل الفرص'!$D$2:$D$282,$C125,'تفاصيل الفرص'!$X$2:$X$282,0)</f>
        <v>0</v>
      </c>
      <c r="F125" s="12" t="n">
        <f aca="false">COUNTIFS('سجل الأكشنات'!$B$2:$B$539,$B125,'سجل الأكشنات'!$D$2:$D$539,$C125)</f>
        <v>0</v>
      </c>
      <c r="G125" s="12" t="n">
        <f aca="false">COUNTIFS('سجل الأكشنات'!$B$2:$B$539,$B125,'سجل الأكشنات'!$D$2:$D$539,$C125,'سجل الأكشنات'!$H$2:$H$539,"تفصيلي")</f>
        <v>0</v>
      </c>
      <c r="H125" s="12" t="n">
        <f aca="false">F125-G125</f>
        <v>0</v>
      </c>
      <c r="I125" s="12" t="str">
        <f aca="false">IF($B125&gt;"2026-08-29","لا توجد بيانات بعد",IF(AND(D125=0,F125=0),"بدون نشاط","نشِط"))</f>
        <v>بدون نشاط</v>
      </c>
    </row>
    <row r="126" customFormat="false" ht="15" hidden="false" customHeight="false" outlineLevel="0" collapsed="false">
      <c r="A126" s="12" t="s">
        <v>51</v>
      </c>
      <c r="B126" s="12" t="s">
        <v>71</v>
      </c>
      <c r="C126" s="13" t="s">
        <v>22</v>
      </c>
      <c r="D126" s="12" t="n">
        <f aca="false">COUNTIFS('تفاصيل الفرص'!$B$2:$B$282,$B126,'تفاصيل الفرص'!$D$2:$D$282,$C126)</f>
        <v>0</v>
      </c>
      <c r="E126" s="12" t="n">
        <f aca="false">COUNTIFS('تفاصيل الفرص'!$B$2:$B$282,$B126,'تفاصيل الفرص'!$D$2:$D$282,$C126,'تفاصيل الفرص'!$X$2:$X$282,0)</f>
        <v>0</v>
      </c>
      <c r="F126" s="12" t="n">
        <f aca="false">COUNTIFS('سجل الأكشنات'!$B$2:$B$539,$B126,'سجل الأكشنات'!$D$2:$D$539,$C126)</f>
        <v>2</v>
      </c>
      <c r="G126" s="12" t="n">
        <f aca="false">COUNTIFS('سجل الأكشنات'!$B$2:$B$539,$B126,'سجل الأكشنات'!$D$2:$D$539,$C126,'سجل الأكشنات'!$H$2:$H$539,"تفصيلي")</f>
        <v>1</v>
      </c>
      <c r="H126" s="12" t="n">
        <f aca="false">F126-G126</f>
        <v>1</v>
      </c>
      <c r="I126" s="12" t="str">
        <f aca="false">IF($B126&gt;"2026-08-29","لا توجد بيانات بعد",IF(AND(D126=0,F126=0),"بدون نشاط","نشِط"))</f>
        <v>نشِط</v>
      </c>
    </row>
    <row r="127" customFormat="false" ht="15" hidden="false" customHeight="false" outlineLevel="0" collapsed="false">
      <c r="A127" s="12" t="s">
        <v>51</v>
      </c>
      <c r="B127" s="12" t="s">
        <v>71</v>
      </c>
      <c r="C127" s="13" t="s">
        <v>24</v>
      </c>
      <c r="D127" s="12" t="n">
        <f aca="false">COUNTIFS('تفاصيل الفرص'!$B$2:$B$282,$B127,'تفاصيل الفرص'!$D$2:$D$282,$C127)</f>
        <v>0</v>
      </c>
      <c r="E127" s="12" t="n">
        <f aca="false">COUNTIFS('تفاصيل الفرص'!$B$2:$B$282,$B127,'تفاصيل الفرص'!$D$2:$D$282,$C127,'تفاصيل الفرص'!$X$2:$X$282,0)</f>
        <v>0</v>
      </c>
      <c r="F127" s="12" t="n">
        <f aca="false">COUNTIFS('سجل الأكشنات'!$B$2:$B$539,$B127,'سجل الأكشنات'!$D$2:$D$539,$C127)</f>
        <v>1</v>
      </c>
      <c r="G127" s="12" t="n">
        <f aca="false">COUNTIFS('سجل الأكشنات'!$B$2:$B$539,$B127,'سجل الأكشنات'!$D$2:$D$539,$C127,'سجل الأكشنات'!$H$2:$H$539,"تفصيلي")</f>
        <v>1</v>
      </c>
      <c r="H127" s="12" t="n">
        <f aca="false">F127-G127</f>
        <v>0</v>
      </c>
      <c r="I127" s="12" t="str">
        <f aca="false">IF($B127&gt;"2026-08-29","لا توجد بيانات بعد",IF(AND(D127=0,F127=0),"بدون نشاط","نشِط"))</f>
        <v>نشِط</v>
      </c>
    </row>
    <row r="128" customFormat="false" ht="15" hidden="false" customHeight="false" outlineLevel="0" collapsed="false">
      <c r="A128" s="12" t="s">
        <v>51</v>
      </c>
      <c r="B128" s="12" t="s">
        <v>71</v>
      </c>
      <c r="C128" s="13" t="s">
        <v>26</v>
      </c>
      <c r="D128" s="12" t="n">
        <f aca="false">COUNTIFS('تفاصيل الفرص'!$B$2:$B$282,$B128,'تفاصيل الفرص'!$D$2:$D$282,$C128)</f>
        <v>0</v>
      </c>
      <c r="E128" s="12" t="n">
        <f aca="false">COUNTIFS('تفاصيل الفرص'!$B$2:$B$282,$B128,'تفاصيل الفرص'!$D$2:$D$282,$C128,'تفاصيل الفرص'!$X$2:$X$282,0)</f>
        <v>0</v>
      </c>
      <c r="F128" s="12" t="n">
        <f aca="false">COUNTIFS('سجل الأكشنات'!$B$2:$B$539,$B128,'سجل الأكشنات'!$D$2:$D$539,$C128)</f>
        <v>1</v>
      </c>
      <c r="G128" s="12" t="n">
        <f aca="false">COUNTIFS('سجل الأكشنات'!$B$2:$B$539,$B128,'سجل الأكشنات'!$D$2:$D$539,$C128,'سجل الأكشنات'!$H$2:$H$539,"تفصيلي")</f>
        <v>0</v>
      </c>
      <c r="H128" s="12" t="n">
        <f aca="false">F128-G128</f>
        <v>1</v>
      </c>
      <c r="I128" s="12" t="str">
        <f aca="false">IF($B128&gt;"2026-08-29","لا توجد بيانات بعد",IF(AND(D128=0,F128=0),"بدون نشاط","نشِط"))</f>
        <v>نشِط</v>
      </c>
    </row>
    <row r="129" customFormat="false" ht="15" hidden="false" customHeight="false" outlineLevel="0" collapsed="false">
      <c r="A129" s="12" t="s">
        <v>51</v>
      </c>
      <c r="B129" s="12" t="s">
        <v>71</v>
      </c>
      <c r="C129" s="13" t="s">
        <v>28</v>
      </c>
      <c r="D129" s="12" t="n">
        <f aca="false">COUNTIFS('تفاصيل الفرص'!$B$2:$B$282,$B129,'تفاصيل الفرص'!$D$2:$D$282,$C129)</f>
        <v>7</v>
      </c>
      <c r="E129" s="12" t="n">
        <f aca="false">COUNTIFS('تفاصيل الفرص'!$B$2:$B$282,$B129,'تفاصيل الفرص'!$D$2:$D$282,$C129,'تفاصيل الفرص'!$X$2:$X$282,0)</f>
        <v>0</v>
      </c>
      <c r="F129" s="12" t="n">
        <f aca="false">COUNTIFS('سجل الأكشنات'!$B$2:$B$539,$B129,'سجل الأكشنات'!$D$2:$D$539,$C129)</f>
        <v>7</v>
      </c>
      <c r="G129" s="12" t="n">
        <f aca="false">COUNTIFS('سجل الأكشنات'!$B$2:$B$539,$B129,'سجل الأكشنات'!$D$2:$D$539,$C129,'سجل الأكشنات'!$H$2:$H$539,"تفصيلي")</f>
        <v>7</v>
      </c>
      <c r="H129" s="12" t="n">
        <f aca="false">F129-G129</f>
        <v>0</v>
      </c>
      <c r="I129" s="12" t="str">
        <f aca="false">IF($B129&gt;"2026-08-29","لا توجد بيانات بعد",IF(AND(D129=0,F129=0),"بدون نشاط","نشِط"))</f>
        <v>نشِط</v>
      </c>
    </row>
    <row r="130" customFormat="false" ht="15" hidden="false" customHeight="false" outlineLevel="0" collapsed="false">
      <c r="A130" s="12" t="s">
        <v>51</v>
      </c>
      <c r="B130" s="12" t="s">
        <v>71</v>
      </c>
      <c r="C130" s="13" t="s">
        <v>30</v>
      </c>
      <c r="D130" s="12" t="n">
        <f aca="false">COUNTIFS('تفاصيل الفرص'!$B$2:$B$282,$B130,'تفاصيل الفرص'!$D$2:$D$282,$C130)</f>
        <v>0</v>
      </c>
      <c r="E130" s="12" t="n">
        <f aca="false">COUNTIFS('تفاصيل الفرص'!$B$2:$B$282,$B130,'تفاصيل الفرص'!$D$2:$D$282,$C130,'تفاصيل الفرص'!$X$2:$X$282,0)</f>
        <v>0</v>
      </c>
      <c r="F130" s="12" t="n">
        <f aca="false">COUNTIFS('سجل الأكشنات'!$B$2:$B$539,$B130,'سجل الأكشنات'!$D$2:$D$539,$C130)</f>
        <v>5</v>
      </c>
      <c r="G130" s="12" t="n">
        <f aca="false">COUNTIFS('سجل الأكشنات'!$B$2:$B$539,$B130,'سجل الأكشنات'!$D$2:$D$539,$C130,'سجل الأكشنات'!$H$2:$H$539,"تفصيلي")</f>
        <v>5</v>
      </c>
      <c r="H130" s="12" t="n">
        <f aca="false">F130-G130</f>
        <v>0</v>
      </c>
      <c r="I130" s="12" t="str">
        <f aca="false">IF($B130&gt;"2026-08-29","لا توجد بيانات بعد",IF(AND(D130=0,F130=0),"بدون نشاط","نشِط"))</f>
        <v>نشِط</v>
      </c>
    </row>
    <row r="131" customFormat="false" ht="15" hidden="false" customHeight="false" outlineLevel="0" collapsed="false">
      <c r="A131" s="12" t="s">
        <v>51</v>
      </c>
      <c r="B131" s="12" t="s">
        <v>71</v>
      </c>
      <c r="C131" s="13" t="s">
        <v>32</v>
      </c>
      <c r="D131" s="12" t="n">
        <f aca="false">COUNTIFS('تفاصيل الفرص'!$B$2:$B$282,$B131,'تفاصيل الفرص'!$D$2:$D$282,$C131)</f>
        <v>0</v>
      </c>
      <c r="E131" s="12" t="n">
        <f aca="false">COUNTIFS('تفاصيل الفرص'!$B$2:$B$282,$B131,'تفاصيل الفرص'!$D$2:$D$282,$C131,'تفاصيل الفرص'!$X$2:$X$282,0)</f>
        <v>0</v>
      </c>
      <c r="F131" s="12" t="n">
        <f aca="false">COUNTIFS('سجل الأكشنات'!$B$2:$B$539,$B131,'سجل الأكشنات'!$D$2:$D$539,$C131)</f>
        <v>1</v>
      </c>
      <c r="G131" s="12" t="n">
        <f aca="false">COUNTIFS('سجل الأكشنات'!$B$2:$B$539,$B131,'سجل الأكشنات'!$D$2:$D$539,$C131,'سجل الأكشنات'!$H$2:$H$539,"تفصيلي")</f>
        <v>1</v>
      </c>
      <c r="H131" s="12" t="n">
        <f aca="false">F131-G131</f>
        <v>0</v>
      </c>
      <c r="I131" s="12" t="str">
        <f aca="false">IF($B131&gt;"2026-08-29","لا توجد بيانات بعد",IF(AND(D131=0,F131=0),"بدون نشاط","نشِط"))</f>
        <v>نشِط</v>
      </c>
    </row>
    <row r="132" customFormat="false" ht="15" hidden="false" customHeight="false" outlineLevel="0" collapsed="false">
      <c r="A132" s="5" t="s">
        <v>53</v>
      </c>
      <c r="B132" s="5" t="s">
        <v>72</v>
      </c>
      <c r="C132" s="4" t="s">
        <v>18</v>
      </c>
      <c r="D132" s="5" t="n">
        <f aca="false">COUNTIFS('تفاصيل الفرص'!$B$2:$B$282,$B132,'تفاصيل الفرص'!$D$2:$D$282,$C132)</f>
        <v>0</v>
      </c>
      <c r="E132" s="5" t="n">
        <f aca="false">COUNTIFS('تفاصيل الفرص'!$B$2:$B$282,$B132,'تفاصيل الفرص'!$D$2:$D$282,$C132,'تفاصيل الفرص'!$X$2:$X$282,0)</f>
        <v>0</v>
      </c>
      <c r="F132" s="5" t="n">
        <f aca="false">COUNTIFS('سجل الأكشنات'!$B$2:$B$539,$B132,'سجل الأكشنات'!$D$2:$D$539,$C132)</f>
        <v>0</v>
      </c>
      <c r="G132" s="5" t="n">
        <f aca="false">COUNTIFS('سجل الأكشنات'!$B$2:$B$539,$B132,'سجل الأكشنات'!$D$2:$D$539,$C132,'سجل الأكشنات'!$H$2:$H$539,"تفصيلي")</f>
        <v>0</v>
      </c>
      <c r="H132" s="5" t="n">
        <f aca="false">F132-G132</f>
        <v>0</v>
      </c>
      <c r="I132" s="5" t="str">
        <f aca="false">IF($B132&gt;"2026-08-29","لا توجد بيانات بعد",IF(AND(D132=0,F132=0),"بدون نشاط","نشِط"))</f>
        <v>بدون نشاط</v>
      </c>
    </row>
    <row r="133" customFormat="false" ht="15" hidden="false" customHeight="false" outlineLevel="0" collapsed="false">
      <c r="A133" s="5" t="s">
        <v>53</v>
      </c>
      <c r="B133" s="5" t="s">
        <v>72</v>
      </c>
      <c r="C133" s="4" t="s">
        <v>20</v>
      </c>
      <c r="D133" s="5" t="n">
        <f aca="false">COUNTIFS('تفاصيل الفرص'!$B$2:$B$282,$B133,'تفاصيل الفرص'!$D$2:$D$282,$C133)</f>
        <v>0</v>
      </c>
      <c r="E133" s="5" t="n">
        <f aca="false">COUNTIFS('تفاصيل الفرص'!$B$2:$B$282,$B133,'تفاصيل الفرص'!$D$2:$D$282,$C133,'تفاصيل الفرص'!$X$2:$X$282,0)</f>
        <v>0</v>
      </c>
      <c r="F133" s="5" t="n">
        <f aca="false">COUNTIFS('سجل الأكشنات'!$B$2:$B$539,$B133,'سجل الأكشنات'!$D$2:$D$539,$C133)</f>
        <v>0</v>
      </c>
      <c r="G133" s="5" t="n">
        <f aca="false">COUNTIFS('سجل الأكشنات'!$B$2:$B$539,$B133,'سجل الأكشنات'!$D$2:$D$539,$C133,'سجل الأكشنات'!$H$2:$H$539,"تفصيلي")</f>
        <v>0</v>
      </c>
      <c r="H133" s="5" t="n">
        <f aca="false">F133-G133</f>
        <v>0</v>
      </c>
      <c r="I133" s="5" t="str">
        <f aca="false">IF($B133&gt;"2026-08-29","لا توجد بيانات بعد",IF(AND(D133=0,F133=0),"بدون نشاط","نشِط"))</f>
        <v>بدون نشاط</v>
      </c>
    </row>
    <row r="134" customFormat="false" ht="15" hidden="false" customHeight="false" outlineLevel="0" collapsed="false">
      <c r="A134" s="5" t="s">
        <v>53</v>
      </c>
      <c r="B134" s="5" t="s">
        <v>72</v>
      </c>
      <c r="C134" s="4" t="s">
        <v>22</v>
      </c>
      <c r="D134" s="5" t="n">
        <f aca="false">COUNTIFS('تفاصيل الفرص'!$B$2:$B$282,$B134,'تفاصيل الفرص'!$D$2:$D$282,$C134)</f>
        <v>0</v>
      </c>
      <c r="E134" s="5" t="n">
        <f aca="false">COUNTIFS('تفاصيل الفرص'!$B$2:$B$282,$B134,'تفاصيل الفرص'!$D$2:$D$282,$C134,'تفاصيل الفرص'!$X$2:$X$282,0)</f>
        <v>0</v>
      </c>
      <c r="F134" s="5" t="n">
        <f aca="false">COUNTIFS('سجل الأكشنات'!$B$2:$B$539,$B134,'سجل الأكشنات'!$D$2:$D$539,$C134)</f>
        <v>2</v>
      </c>
      <c r="G134" s="5" t="n">
        <f aca="false">COUNTIFS('سجل الأكشنات'!$B$2:$B$539,$B134,'سجل الأكشنات'!$D$2:$D$539,$C134,'سجل الأكشنات'!$H$2:$H$539,"تفصيلي")</f>
        <v>2</v>
      </c>
      <c r="H134" s="5" t="n">
        <f aca="false">F134-G134</f>
        <v>0</v>
      </c>
      <c r="I134" s="5" t="str">
        <f aca="false">IF($B134&gt;"2026-08-29","لا توجد بيانات بعد",IF(AND(D134=0,F134=0),"بدون نشاط","نشِط"))</f>
        <v>نشِط</v>
      </c>
    </row>
    <row r="135" customFormat="false" ht="15" hidden="false" customHeight="false" outlineLevel="0" collapsed="false">
      <c r="A135" s="5" t="s">
        <v>53</v>
      </c>
      <c r="B135" s="5" t="s">
        <v>72</v>
      </c>
      <c r="C135" s="4" t="s">
        <v>24</v>
      </c>
      <c r="D135" s="5" t="n">
        <f aca="false">COUNTIFS('تفاصيل الفرص'!$B$2:$B$282,$B135,'تفاصيل الفرص'!$D$2:$D$282,$C135)</f>
        <v>1</v>
      </c>
      <c r="E135" s="5" t="n">
        <f aca="false">COUNTIFS('تفاصيل الفرص'!$B$2:$B$282,$B135,'تفاصيل الفرص'!$D$2:$D$282,$C135,'تفاصيل الفرص'!$X$2:$X$282,0)</f>
        <v>0</v>
      </c>
      <c r="F135" s="5" t="n">
        <f aca="false">COUNTIFS('سجل الأكشنات'!$B$2:$B$539,$B135,'سجل الأكشنات'!$D$2:$D$539,$C135)</f>
        <v>2</v>
      </c>
      <c r="G135" s="5" t="n">
        <f aca="false">COUNTIFS('سجل الأكشنات'!$B$2:$B$539,$B135,'سجل الأكشنات'!$D$2:$D$539,$C135,'سجل الأكشنات'!$H$2:$H$539,"تفصيلي")</f>
        <v>1</v>
      </c>
      <c r="H135" s="5" t="n">
        <f aca="false">F135-G135</f>
        <v>1</v>
      </c>
      <c r="I135" s="5" t="str">
        <f aca="false">IF($B135&gt;"2026-08-29","لا توجد بيانات بعد",IF(AND(D135=0,F135=0),"بدون نشاط","نشِط"))</f>
        <v>نشِط</v>
      </c>
    </row>
    <row r="136" customFormat="false" ht="15" hidden="false" customHeight="false" outlineLevel="0" collapsed="false">
      <c r="A136" s="5" t="s">
        <v>53</v>
      </c>
      <c r="B136" s="5" t="s">
        <v>72</v>
      </c>
      <c r="C136" s="4" t="s">
        <v>26</v>
      </c>
      <c r="D136" s="5" t="n">
        <f aca="false">COUNTIFS('تفاصيل الفرص'!$B$2:$B$282,$B136,'تفاصيل الفرص'!$D$2:$D$282,$C136)</f>
        <v>2</v>
      </c>
      <c r="E136" s="5" t="n">
        <f aca="false">COUNTIFS('تفاصيل الفرص'!$B$2:$B$282,$B136,'تفاصيل الفرص'!$D$2:$D$282,$C136,'تفاصيل الفرص'!$X$2:$X$282,0)</f>
        <v>0</v>
      </c>
      <c r="F136" s="5" t="n">
        <f aca="false">COUNTIFS('سجل الأكشنات'!$B$2:$B$539,$B136,'سجل الأكشنات'!$D$2:$D$539,$C136)</f>
        <v>25</v>
      </c>
      <c r="G136" s="5" t="n">
        <f aca="false">COUNTIFS('سجل الأكشنات'!$B$2:$B$539,$B136,'سجل الأكشنات'!$D$2:$D$539,$C136,'سجل الأكشنات'!$H$2:$H$539,"تفصيلي")</f>
        <v>22</v>
      </c>
      <c r="H136" s="5" t="n">
        <f aca="false">F136-G136</f>
        <v>3</v>
      </c>
      <c r="I136" s="5" t="str">
        <f aca="false">IF($B136&gt;"2026-08-29","لا توجد بيانات بعد",IF(AND(D136=0,F136=0),"بدون نشاط","نشِط"))</f>
        <v>نشِط</v>
      </c>
    </row>
    <row r="137" customFormat="false" ht="15" hidden="false" customHeight="false" outlineLevel="0" collapsed="false">
      <c r="A137" s="5" t="s">
        <v>53</v>
      </c>
      <c r="B137" s="5" t="s">
        <v>72</v>
      </c>
      <c r="C137" s="4" t="s">
        <v>28</v>
      </c>
      <c r="D137" s="5" t="n">
        <f aca="false">COUNTIFS('تفاصيل الفرص'!$B$2:$B$282,$B137,'تفاصيل الفرص'!$D$2:$D$282,$C137)</f>
        <v>6</v>
      </c>
      <c r="E137" s="5" t="n">
        <f aca="false">COUNTIFS('تفاصيل الفرص'!$B$2:$B$282,$B137,'تفاصيل الفرص'!$D$2:$D$282,$C137,'تفاصيل الفرص'!$X$2:$X$282,0)</f>
        <v>0</v>
      </c>
      <c r="F137" s="5" t="n">
        <f aca="false">COUNTIFS('سجل الأكشنات'!$B$2:$B$539,$B137,'سجل الأكشنات'!$D$2:$D$539,$C137)</f>
        <v>6</v>
      </c>
      <c r="G137" s="5" t="n">
        <f aca="false">COUNTIFS('سجل الأكشنات'!$B$2:$B$539,$B137,'سجل الأكشنات'!$D$2:$D$539,$C137,'سجل الأكشنات'!$H$2:$H$539,"تفصيلي")</f>
        <v>5</v>
      </c>
      <c r="H137" s="5" t="n">
        <f aca="false">F137-G137</f>
        <v>1</v>
      </c>
      <c r="I137" s="5" t="str">
        <f aca="false">IF($B137&gt;"2026-08-29","لا توجد بيانات بعد",IF(AND(D137=0,F137=0),"بدون نشاط","نشِط"))</f>
        <v>نشِط</v>
      </c>
    </row>
    <row r="138" customFormat="false" ht="15" hidden="false" customHeight="false" outlineLevel="0" collapsed="false">
      <c r="A138" s="5" t="s">
        <v>53</v>
      </c>
      <c r="B138" s="5" t="s">
        <v>72</v>
      </c>
      <c r="C138" s="4" t="s">
        <v>30</v>
      </c>
      <c r="D138" s="5" t="n">
        <f aca="false">COUNTIFS('تفاصيل الفرص'!$B$2:$B$282,$B138,'تفاصيل الفرص'!$D$2:$D$282,$C138)</f>
        <v>4</v>
      </c>
      <c r="E138" s="5" t="n">
        <f aca="false">COUNTIFS('تفاصيل الفرص'!$B$2:$B$282,$B138,'تفاصيل الفرص'!$D$2:$D$282,$C138,'تفاصيل الفرص'!$X$2:$X$282,0)</f>
        <v>0</v>
      </c>
      <c r="F138" s="5" t="n">
        <f aca="false">COUNTIFS('سجل الأكشنات'!$B$2:$B$539,$B138,'سجل الأكشنات'!$D$2:$D$539,$C138)</f>
        <v>5</v>
      </c>
      <c r="G138" s="5" t="n">
        <f aca="false">COUNTIFS('سجل الأكشنات'!$B$2:$B$539,$B138,'سجل الأكشنات'!$D$2:$D$539,$C138,'سجل الأكشنات'!$H$2:$H$539,"تفصيلي")</f>
        <v>5</v>
      </c>
      <c r="H138" s="5" t="n">
        <f aca="false">F138-G138</f>
        <v>0</v>
      </c>
      <c r="I138" s="5" t="str">
        <f aca="false">IF($B138&gt;"2026-08-29","لا توجد بيانات بعد",IF(AND(D138=0,F138=0),"بدون نشاط","نشِط"))</f>
        <v>نشِط</v>
      </c>
    </row>
    <row r="139" customFormat="false" ht="15" hidden="false" customHeight="false" outlineLevel="0" collapsed="false">
      <c r="A139" s="5" t="s">
        <v>53</v>
      </c>
      <c r="B139" s="5" t="s">
        <v>72</v>
      </c>
      <c r="C139" s="4" t="s">
        <v>32</v>
      </c>
      <c r="D139" s="5" t="n">
        <f aca="false">COUNTIFS('تفاصيل الفرص'!$B$2:$B$282,$B139,'تفاصيل الفرص'!$D$2:$D$282,$C139)</f>
        <v>3</v>
      </c>
      <c r="E139" s="5" t="n">
        <f aca="false">COUNTIFS('تفاصيل الفرص'!$B$2:$B$282,$B139,'تفاصيل الفرص'!$D$2:$D$282,$C139,'تفاصيل الفرص'!$X$2:$X$282,0)</f>
        <v>0</v>
      </c>
      <c r="F139" s="5" t="n">
        <f aca="false">COUNTIFS('سجل الأكشنات'!$B$2:$B$539,$B139,'سجل الأكشنات'!$D$2:$D$539,$C139)</f>
        <v>10</v>
      </c>
      <c r="G139" s="5" t="n">
        <f aca="false">COUNTIFS('سجل الأكشنات'!$B$2:$B$539,$B139,'سجل الأكشنات'!$D$2:$D$539,$C139,'سجل الأكشنات'!$H$2:$H$539,"تفصيلي")</f>
        <v>10</v>
      </c>
      <c r="H139" s="5" t="n">
        <f aca="false">F139-G139</f>
        <v>0</v>
      </c>
      <c r="I139" s="5" t="str">
        <f aca="false">IF($B139&gt;"2026-08-29","لا توجد بيانات بعد",IF(AND(D139=0,F139=0),"بدون نشاط","نشِط"))</f>
        <v>نشِط</v>
      </c>
    </row>
    <row r="140" customFormat="false" ht="15" hidden="false" customHeight="false" outlineLevel="0" collapsed="false">
      <c r="A140" s="12" t="s">
        <v>55</v>
      </c>
      <c r="B140" s="12" t="s">
        <v>73</v>
      </c>
      <c r="C140" s="13" t="s">
        <v>18</v>
      </c>
      <c r="D140" s="12" t="n">
        <f aca="false">COUNTIFS('تفاصيل الفرص'!$B$2:$B$282,$B140,'تفاصيل الفرص'!$D$2:$D$282,$C140)</f>
        <v>1</v>
      </c>
      <c r="E140" s="12" t="n">
        <f aca="false">COUNTIFS('تفاصيل الفرص'!$B$2:$B$282,$B140,'تفاصيل الفرص'!$D$2:$D$282,$C140,'تفاصيل الفرص'!$X$2:$X$282,0)</f>
        <v>0</v>
      </c>
      <c r="F140" s="12" t="n">
        <f aca="false">COUNTIFS('سجل الأكشنات'!$B$2:$B$539,$B140,'سجل الأكشنات'!$D$2:$D$539,$C140)</f>
        <v>4</v>
      </c>
      <c r="G140" s="12" t="n">
        <f aca="false">COUNTIFS('سجل الأكشنات'!$B$2:$B$539,$B140,'سجل الأكشنات'!$D$2:$D$539,$C140,'سجل الأكشنات'!$H$2:$H$539,"تفصيلي")</f>
        <v>4</v>
      </c>
      <c r="H140" s="12" t="n">
        <f aca="false">F140-G140</f>
        <v>0</v>
      </c>
      <c r="I140" s="12" t="str">
        <f aca="false">IF($B140&gt;"2026-08-29","لا توجد بيانات بعد",IF(AND(D140=0,F140=0),"بدون نشاط","نشِط"))</f>
        <v>نشِط</v>
      </c>
    </row>
    <row r="141" customFormat="false" ht="15" hidden="false" customHeight="false" outlineLevel="0" collapsed="false">
      <c r="A141" s="12" t="s">
        <v>55</v>
      </c>
      <c r="B141" s="12" t="s">
        <v>73</v>
      </c>
      <c r="C141" s="13" t="s">
        <v>20</v>
      </c>
      <c r="D141" s="12" t="n">
        <f aca="false">COUNTIFS('تفاصيل الفرص'!$B$2:$B$282,$B141,'تفاصيل الفرص'!$D$2:$D$282,$C141)</f>
        <v>0</v>
      </c>
      <c r="E141" s="12" t="n">
        <f aca="false">COUNTIFS('تفاصيل الفرص'!$B$2:$B$282,$B141,'تفاصيل الفرص'!$D$2:$D$282,$C141,'تفاصيل الفرص'!$X$2:$X$282,0)</f>
        <v>0</v>
      </c>
      <c r="F141" s="12" t="n">
        <f aca="false">COUNTIFS('سجل الأكشنات'!$B$2:$B$539,$B141,'سجل الأكشنات'!$D$2:$D$539,$C141)</f>
        <v>0</v>
      </c>
      <c r="G141" s="12" t="n">
        <f aca="false">COUNTIFS('سجل الأكشنات'!$B$2:$B$539,$B141,'سجل الأكشنات'!$D$2:$D$539,$C141,'سجل الأكشنات'!$H$2:$H$539,"تفصيلي")</f>
        <v>0</v>
      </c>
      <c r="H141" s="12" t="n">
        <f aca="false">F141-G141</f>
        <v>0</v>
      </c>
      <c r="I141" s="12" t="str">
        <f aca="false">IF($B141&gt;"2026-08-29","لا توجد بيانات بعد",IF(AND(D141=0,F141=0),"بدون نشاط","نشِط"))</f>
        <v>بدون نشاط</v>
      </c>
    </row>
    <row r="142" customFormat="false" ht="15" hidden="false" customHeight="false" outlineLevel="0" collapsed="false">
      <c r="A142" s="12" t="s">
        <v>55</v>
      </c>
      <c r="B142" s="12" t="s">
        <v>73</v>
      </c>
      <c r="C142" s="13" t="s">
        <v>22</v>
      </c>
      <c r="D142" s="12" t="n">
        <f aca="false">COUNTIFS('تفاصيل الفرص'!$B$2:$B$282,$B142,'تفاصيل الفرص'!$D$2:$D$282,$C142)</f>
        <v>2</v>
      </c>
      <c r="E142" s="12" t="n">
        <f aca="false">COUNTIFS('تفاصيل الفرص'!$B$2:$B$282,$B142,'تفاصيل الفرص'!$D$2:$D$282,$C142,'تفاصيل الفرص'!$X$2:$X$282,0)</f>
        <v>0</v>
      </c>
      <c r="F142" s="12" t="n">
        <f aca="false">COUNTIFS('سجل الأكشنات'!$B$2:$B$539,$B142,'سجل الأكشنات'!$D$2:$D$539,$C142)</f>
        <v>5</v>
      </c>
      <c r="G142" s="12" t="n">
        <f aca="false">COUNTIFS('سجل الأكشنات'!$B$2:$B$539,$B142,'سجل الأكشنات'!$D$2:$D$539,$C142,'سجل الأكشنات'!$H$2:$H$539,"تفصيلي")</f>
        <v>4</v>
      </c>
      <c r="H142" s="12" t="n">
        <f aca="false">F142-G142</f>
        <v>1</v>
      </c>
      <c r="I142" s="12" t="str">
        <f aca="false">IF($B142&gt;"2026-08-29","لا توجد بيانات بعد",IF(AND(D142=0,F142=0),"بدون نشاط","نشِط"))</f>
        <v>نشِط</v>
      </c>
    </row>
    <row r="143" customFormat="false" ht="15" hidden="false" customHeight="false" outlineLevel="0" collapsed="false">
      <c r="A143" s="12" t="s">
        <v>55</v>
      </c>
      <c r="B143" s="12" t="s">
        <v>73</v>
      </c>
      <c r="C143" s="13" t="s">
        <v>24</v>
      </c>
      <c r="D143" s="12" t="n">
        <f aca="false">COUNTIFS('تفاصيل الفرص'!$B$2:$B$282,$B143,'تفاصيل الفرص'!$D$2:$D$282,$C143)</f>
        <v>3</v>
      </c>
      <c r="E143" s="12" t="n">
        <f aca="false">COUNTIFS('تفاصيل الفرص'!$B$2:$B$282,$B143,'تفاصيل الفرص'!$D$2:$D$282,$C143,'تفاصيل الفرص'!$X$2:$X$282,0)</f>
        <v>0</v>
      </c>
      <c r="F143" s="12" t="n">
        <f aca="false">COUNTIFS('سجل الأكشنات'!$B$2:$B$539,$B143,'سجل الأكشنات'!$D$2:$D$539,$C143)</f>
        <v>6</v>
      </c>
      <c r="G143" s="12" t="n">
        <f aca="false">COUNTIFS('سجل الأكشنات'!$B$2:$B$539,$B143,'سجل الأكشنات'!$D$2:$D$539,$C143,'سجل الأكشنات'!$H$2:$H$539,"تفصيلي")</f>
        <v>6</v>
      </c>
      <c r="H143" s="12" t="n">
        <f aca="false">F143-G143</f>
        <v>0</v>
      </c>
      <c r="I143" s="12" t="str">
        <f aca="false">IF($B143&gt;"2026-08-29","لا توجد بيانات بعد",IF(AND(D143=0,F143=0),"بدون نشاط","نشِط"))</f>
        <v>نشِط</v>
      </c>
    </row>
    <row r="144" customFormat="false" ht="15" hidden="false" customHeight="false" outlineLevel="0" collapsed="false">
      <c r="A144" s="12" t="s">
        <v>55</v>
      </c>
      <c r="B144" s="12" t="s">
        <v>73</v>
      </c>
      <c r="C144" s="13" t="s">
        <v>26</v>
      </c>
      <c r="D144" s="12" t="n">
        <f aca="false">COUNTIFS('تفاصيل الفرص'!$B$2:$B$282,$B144,'تفاصيل الفرص'!$D$2:$D$282,$C144)</f>
        <v>0</v>
      </c>
      <c r="E144" s="12" t="n">
        <f aca="false">COUNTIFS('تفاصيل الفرص'!$B$2:$B$282,$B144,'تفاصيل الفرص'!$D$2:$D$282,$C144,'تفاصيل الفرص'!$X$2:$X$282,0)</f>
        <v>0</v>
      </c>
      <c r="F144" s="12" t="n">
        <f aca="false">COUNTIFS('سجل الأكشنات'!$B$2:$B$539,$B144,'سجل الأكشنات'!$D$2:$D$539,$C144)</f>
        <v>1</v>
      </c>
      <c r="G144" s="12" t="n">
        <f aca="false">COUNTIFS('سجل الأكشنات'!$B$2:$B$539,$B144,'سجل الأكشنات'!$D$2:$D$539,$C144,'سجل الأكشنات'!$H$2:$H$539,"تفصيلي")</f>
        <v>1</v>
      </c>
      <c r="H144" s="12" t="n">
        <f aca="false">F144-G144</f>
        <v>0</v>
      </c>
      <c r="I144" s="12" t="str">
        <f aca="false">IF($B144&gt;"2026-08-29","لا توجد بيانات بعد",IF(AND(D144=0,F144=0),"بدون نشاط","نشِط"))</f>
        <v>نشِط</v>
      </c>
    </row>
    <row r="145" customFormat="false" ht="15" hidden="false" customHeight="false" outlineLevel="0" collapsed="false">
      <c r="A145" s="12" t="s">
        <v>55</v>
      </c>
      <c r="B145" s="12" t="s">
        <v>73</v>
      </c>
      <c r="C145" s="13" t="s">
        <v>28</v>
      </c>
      <c r="D145" s="12" t="n">
        <f aca="false">COUNTIFS('تفاصيل الفرص'!$B$2:$B$282,$B145,'تفاصيل الفرص'!$D$2:$D$282,$C145)</f>
        <v>7</v>
      </c>
      <c r="E145" s="12" t="n">
        <f aca="false">COUNTIFS('تفاصيل الفرص'!$B$2:$B$282,$B145,'تفاصيل الفرص'!$D$2:$D$282,$C145,'تفاصيل الفرص'!$X$2:$X$282,0)</f>
        <v>0</v>
      </c>
      <c r="F145" s="12" t="n">
        <f aca="false">COUNTIFS('سجل الأكشنات'!$B$2:$B$539,$B145,'سجل الأكشنات'!$D$2:$D$539,$C145)</f>
        <v>7</v>
      </c>
      <c r="G145" s="12" t="n">
        <f aca="false">COUNTIFS('سجل الأكشنات'!$B$2:$B$539,$B145,'سجل الأكشنات'!$D$2:$D$539,$C145,'سجل الأكشنات'!$H$2:$H$539,"تفصيلي")</f>
        <v>7</v>
      </c>
      <c r="H145" s="12" t="n">
        <f aca="false">F145-G145</f>
        <v>0</v>
      </c>
      <c r="I145" s="12" t="str">
        <f aca="false">IF($B145&gt;"2026-08-29","لا توجد بيانات بعد",IF(AND(D145=0,F145=0),"بدون نشاط","نشِط"))</f>
        <v>نشِط</v>
      </c>
    </row>
    <row r="146" customFormat="false" ht="15" hidden="false" customHeight="false" outlineLevel="0" collapsed="false">
      <c r="A146" s="12" t="s">
        <v>55</v>
      </c>
      <c r="B146" s="12" t="s">
        <v>73</v>
      </c>
      <c r="C146" s="13" t="s">
        <v>30</v>
      </c>
      <c r="D146" s="12" t="n">
        <f aca="false">COUNTIFS('تفاصيل الفرص'!$B$2:$B$282,$B146,'تفاصيل الفرص'!$D$2:$D$282,$C146)</f>
        <v>2</v>
      </c>
      <c r="E146" s="12" t="n">
        <f aca="false">COUNTIFS('تفاصيل الفرص'!$B$2:$B$282,$B146,'تفاصيل الفرص'!$D$2:$D$282,$C146,'تفاصيل الفرص'!$X$2:$X$282,0)</f>
        <v>0</v>
      </c>
      <c r="F146" s="12" t="n">
        <f aca="false">COUNTIFS('سجل الأكشنات'!$B$2:$B$539,$B146,'سجل الأكشنات'!$D$2:$D$539,$C146)</f>
        <v>5</v>
      </c>
      <c r="G146" s="12" t="n">
        <f aca="false">COUNTIFS('سجل الأكشنات'!$B$2:$B$539,$B146,'سجل الأكشنات'!$D$2:$D$539,$C146,'سجل الأكشنات'!$H$2:$H$539,"تفصيلي")</f>
        <v>4</v>
      </c>
      <c r="H146" s="12" t="n">
        <f aca="false">F146-G146</f>
        <v>1</v>
      </c>
      <c r="I146" s="12" t="str">
        <f aca="false">IF($B146&gt;"2026-08-29","لا توجد بيانات بعد",IF(AND(D146=0,F146=0),"بدون نشاط","نشِط"))</f>
        <v>نشِط</v>
      </c>
    </row>
    <row r="147" customFormat="false" ht="15" hidden="false" customHeight="false" outlineLevel="0" collapsed="false">
      <c r="A147" s="12" t="s">
        <v>55</v>
      </c>
      <c r="B147" s="12" t="s">
        <v>73</v>
      </c>
      <c r="C147" s="13" t="s">
        <v>32</v>
      </c>
      <c r="D147" s="12" t="n">
        <f aca="false">COUNTIFS('تفاصيل الفرص'!$B$2:$B$282,$B147,'تفاصيل الفرص'!$D$2:$D$282,$C147)</f>
        <v>1</v>
      </c>
      <c r="E147" s="12" t="n">
        <f aca="false">COUNTIFS('تفاصيل الفرص'!$B$2:$B$282,$B147,'تفاصيل الفرص'!$D$2:$D$282,$C147,'تفاصيل الفرص'!$X$2:$X$282,0)</f>
        <v>0</v>
      </c>
      <c r="F147" s="12" t="n">
        <f aca="false">COUNTIFS('سجل الأكشنات'!$B$2:$B$539,$B147,'سجل الأكشنات'!$D$2:$D$539,$C147)</f>
        <v>3</v>
      </c>
      <c r="G147" s="12" t="n">
        <f aca="false">COUNTIFS('سجل الأكشنات'!$B$2:$B$539,$B147,'سجل الأكشنات'!$D$2:$D$539,$C147,'سجل الأكشنات'!$H$2:$H$539,"تفصيلي")</f>
        <v>3</v>
      </c>
      <c r="H147" s="12" t="n">
        <f aca="false">F147-G147</f>
        <v>0</v>
      </c>
      <c r="I147" s="12" t="str">
        <f aca="false">IF($B147&gt;"2026-08-29","لا توجد بيانات بعد",IF(AND(D147=0,F147=0),"بدون نشاط","نشِط"))</f>
        <v>نشِط</v>
      </c>
    </row>
    <row r="148" customFormat="false" ht="15" hidden="false" customHeight="false" outlineLevel="0" collapsed="false">
      <c r="A148" s="5" t="s">
        <v>57</v>
      </c>
      <c r="B148" s="5" t="s">
        <v>74</v>
      </c>
      <c r="C148" s="4" t="s">
        <v>18</v>
      </c>
      <c r="D148" s="5" t="n">
        <f aca="false">COUNTIFS('تفاصيل الفرص'!$B$2:$B$282,$B148,'تفاصيل الفرص'!$D$2:$D$282,$C148)</f>
        <v>1</v>
      </c>
      <c r="E148" s="5" t="n">
        <f aca="false">COUNTIFS('تفاصيل الفرص'!$B$2:$B$282,$B148,'تفاصيل الفرص'!$D$2:$D$282,$C148,'تفاصيل الفرص'!$X$2:$X$282,0)</f>
        <v>0</v>
      </c>
      <c r="F148" s="5" t="n">
        <f aca="false">COUNTIFS('سجل الأكشنات'!$B$2:$B$539,$B148,'سجل الأكشنات'!$D$2:$D$539,$C148)</f>
        <v>2</v>
      </c>
      <c r="G148" s="5" t="n">
        <f aca="false">COUNTIFS('سجل الأكشنات'!$B$2:$B$539,$B148,'سجل الأكشنات'!$D$2:$D$539,$C148,'سجل الأكشنات'!$H$2:$H$539,"تفصيلي")</f>
        <v>2</v>
      </c>
      <c r="H148" s="5" t="n">
        <f aca="false">F148-G148</f>
        <v>0</v>
      </c>
      <c r="I148" s="5" t="str">
        <f aca="false">IF($B148&gt;"2026-08-29","لا توجد بيانات بعد",IF(AND(D148=0,F148=0),"بدون نشاط","نشِط"))</f>
        <v>نشِط</v>
      </c>
    </row>
    <row r="149" customFormat="false" ht="15" hidden="false" customHeight="false" outlineLevel="0" collapsed="false">
      <c r="A149" s="5" t="s">
        <v>57</v>
      </c>
      <c r="B149" s="5" t="s">
        <v>74</v>
      </c>
      <c r="C149" s="4" t="s">
        <v>20</v>
      </c>
      <c r="D149" s="5" t="n">
        <f aca="false">COUNTIFS('تفاصيل الفرص'!$B$2:$B$282,$B149,'تفاصيل الفرص'!$D$2:$D$282,$C149)</f>
        <v>0</v>
      </c>
      <c r="E149" s="5" t="n">
        <f aca="false">COUNTIFS('تفاصيل الفرص'!$B$2:$B$282,$B149,'تفاصيل الفرص'!$D$2:$D$282,$C149,'تفاصيل الفرص'!$X$2:$X$282,0)</f>
        <v>0</v>
      </c>
      <c r="F149" s="5" t="n">
        <f aca="false">COUNTIFS('سجل الأكشنات'!$B$2:$B$539,$B149,'سجل الأكشنات'!$D$2:$D$539,$C149)</f>
        <v>0</v>
      </c>
      <c r="G149" s="5" t="n">
        <f aca="false">COUNTIFS('سجل الأكشنات'!$B$2:$B$539,$B149,'سجل الأكشنات'!$D$2:$D$539,$C149,'سجل الأكشنات'!$H$2:$H$539,"تفصيلي")</f>
        <v>0</v>
      </c>
      <c r="H149" s="5" t="n">
        <f aca="false">F149-G149</f>
        <v>0</v>
      </c>
      <c r="I149" s="5" t="str">
        <f aca="false">IF($B149&gt;"2026-08-29","لا توجد بيانات بعد",IF(AND(D149=0,F149=0),"بدون نشاط","نشِط"))</f>
        <v>بدون نشاط</v>
      </c>
    </row>
    <row r="150" customFormat="false" ht="15" hidden="false" customHeight="false" outlineLevel="0" collapsed="false">
      <c r="A150" s="5" t="s">
        <v>57</v>
      </c>
      <c r="B150" s="5" t="s">
        <v>74</v>
      </c>
      <c r="C150" s="4" t="s">
        <v>22</v>
      </c>
      <c r="D150" s="5" t="n">
        <f aca="false">COUNTIFS('تفاصيل الفرص'!$B$2:$B$282,$B150,'تفاصيل الفرص'!$D$2:$D$282,$C150)</f>
        <v>1</v>
      </c>
      <c r="E150" s="5" t="n">
        <f aca="false">COUNTIFS('تفاصيل الفرص'!$B$2:$B$282,$B150,'تفاصيل الفرص'!$D$2:$D$282,$C150,'تفاصيل الفرص'!$X$2:$X$282,0)</f>
        <v>0</v>
      </c>
      <c r="F150" s="5" t="n">
        <f aca="false">COUNTIFS('سجل الأكشنات'!$B$2:$B$539,$B150,'سجل الأكشنات'!$D$2:$D$539,$C150)</f>
        <v>1</v>
      </c>
      <c r="G150" s="5" t="n">
        <f aca="false">COUNTIFS('سجل الأكشنات'!$B$2:$B$539,$B150,'سجل الأكشنات'!$D$2:$D$539,$C150,'سجل الأكشنات'!$H$2:$H$539,"تفصيلي")</f>
        <v>1</v>
      </c>
      <c r="H150" s="5" t="n">
        <f aca="false">F150-G150</f>
        <v>0</v>
      </c>
      <c r="I150" s="5" t="str">
        <f aca="false">IF($B150&gt;"2026-08-29","لا توجد بيانات بعد",IF(AND(D150=0,F150=0),"بدون نشاط","نشِط"))</f>
        <v>نشِط</v>
      </c>
    </row>
    <row r="151" customFormat="false" ht="15" hidden="false" customHeight="false" outlineLevel="0" collapsed="false">
      <c r="A151" s="5" t="s">
        <v>57</v>
      </c>
      <c r="B151" s="5" t="s">
        <v>74</v>
      </c>
      <c r="C151" s="4" t="s">
        <v>24</v>
      </c>
      <c r="D151" s="5" t="n">
        <f aca="false">COUNTIFS('تفاصيل الفرص'!$B$2:$B$282,$B151,'تفاصيل الفرص'!$D$2:$D$282,$C151)</f>
        <v>0</v>
      </c>
      <c r="E151" s="5" t="n">
        <f aca="false">COUNTIFS('تفاصيل الفرص'!$B$2:$B$282,$B151,'تفاصيل الفرص'!$D$2:$D$282,$C151,'تفاصيل الفرص'!$X$2:$X$282,0)</f>
        <v>0</v>
      </c>
      <c r="F151" s="5" t="n">
        <f aca="false">COUNTIFS('سجل الأكشنات'!$B$2:$B$539,$B151,'سجل الأكشنات'!$D$2:$D$539,$C151)</f>
        <v>2</v>
      </c>
      <c r="G151" s="5" t="n">
        <f aca="false">COUNTIFS('سجل الأكشنات'!$B$2:$B$539,$B151,'سجل الأكشنات'!$D$2:$D$539,$C151,'سجل الأكشنات'!$H$2:$H$539,"تفصيلي")</f>
        <v>2</v>
      </c>
      <c r="H151" s="5" t="n">
        <f aca="false">F151-G151</f>
        <v>0</v>
      </c>
      <c r="I151" s="5" t="str">
        <f aca="false">IF($B151&gt;"2026-08-29","لا توجد بيانات بعد",IF(AND(D151=0,F151=0),"بدون نشاط","نشِط"))</f>
        <v>نشِط</v>
      </c>
    </row>
    <row r="152" customFormat="false" ht="15" hidden="false" customHeight="false" outlineLevel="0" collapsed="false">
      <c r="A152" s="5" t="s">
        <v>57</v>
      </c>
      <c r="B152" s="5" t="s">
        <v>74</v>
      </c>
      <c r="C152" s="4" t="s">
        <v>26</v>
      </c>
      <c r="D152" s="5" t="n">
        <f aca="false">COUNTIFS('تفاصيل الفرص'!$B$2:$B$282,$B152,'تفاصيل الفرص'!$D$2:$D$282,$C152)</f>
        <v>0</v>
      </c>
      <c r="E152" s="5" t="n">
        <f aca="false">COUNTIFS('تفاصيل الفرص'!$B$2:$B$282,$B152,'تفاصيل الفرص'!$D$2:$D$282,$C152,'تفاصيل الفرص'!$X$2:$X$282,0)</f>
        <v>0</v>
      </c>
      <c r="F152" s="5" t="n">
        <f aca="false">COUNTIFS('سجل الأكشنات'!$B$2:$B$539,$B152,'سجل الأكشنات'!$D$2:$D$539,$C152)</f>
        <v>1</v>
      </c>
      <c r="G152" s="5" t="n">
        <f aca="false">COUNTIFS('سجل الأكشنات'!$B$2:$B$539,$B152,'سجل الأكشنات'!$D$2:$D$539,$C152,'سجل الأكشنات'!$H$2:$H$539,"تفصيلي")</f>
        <v>0</v>
      </c>
      <c r="H152" s="5" t="n">
        <f aca="false">F152-G152</f>
        <v>1</v>
      </c>
      <c r="I152" s="5" t="str">
        <f aca="false">IF($B152&gt;"2026-08-29","لا توجد بيانات بعد",IF(AND(D152=0,F152=0),"بدون نشاط","نشِط"))</f>
        <v>نشِط</v>
      </c>
    </row>
    <row r="153" customFormat="false" ht="15" hidden="false" customHeight="false" outlineLevel="0" collapsed="false">
      <c r="A153" s="5" t="s">
        <v>57</v>
      </c>
      <c r="B153" s="5" t="s">
        <v>74</v>
      </c>
      <c r="C153" s="4" t="s">
        <v>28</v>
      </c>
      <c r="D153" s="5" t="n">
        <f aca="false">COUNTIFS('تفاصيل الفرص'!$B$2:$B$282,$B153,'تفاصيل الفرص'!$D$2:$D$282,$C153)</f>
        <v>5</v>
      </c>
      <c r="E153" s="5" t="n">
        <f aca="false">COUNTIFS('تفاصيل الفرص'!$B$2:$B$282,$B153,'تفاصيل الفرص'!$D$2:$D$282,$C153,'تفاصيل الفرص'!$X$2:$X$282,0)</f>
        <v>0</v>
      </c>
      <c r="F153" s="5" t="n">
        <f aca="false">COUNTIFS('سجل الأكشنات'!$B$2:$B$539,$B153,'سجل الأكشنات'!$D$2:$D$539,$C153)</f>
        <v>5</v>
      </c>
      <c r="G153" s="5" t="n">
        <f aca="false">COUNTIFS('سجل الأكشنات'!$B$2:$B$539,$B153,'سجل الأكشنات'!$D$2:$D$539,$C153,'سجل الأكشنات'!$H$2:$H$539,"تفصيلي")</f>
        <v>4</v>
      </c>
      <c r="H153" s="5" t="n">
        <f aca="false">F153-G153</f>
        <v>1</v>
      </c>
      <c r="I153" s="5" t="str">
        <f aca="false">IF($B153&gt;"2026-08-29","لا توجد بيانات بعد",IF(AND(D153=0,F153=0),"بدون نشاط","نشِط"))</f>
        <v>نشِط</v>
      </c>
    </row>
    <row r="154" customFormat="false" ht="15" hidden="false" customHeight="false" outlineLevel="0" collapsed="false">
      <c r="A154" s="5" t="s">
        <v>57</v>
      </c>
      <c r="B154" s="5" t="s">
        <v>74</v>
      </c>
      <c r="C154" s="4" t="s">
        <v>30</v>
      </c>
      <c r="D154" s="5" t="n">
        <f aca="false">COUNTIFS('تفاصيل الفرص'!$B$2:$B$282,$B154,'تفاصيل الفرص'!$D$2:$D$282,$C154)</f>
        <v>0</v>
      </c>
      <c r="E154" s="5" t="n">
        <f aca="false">COUNTIFS('تفاصيل الفرص'!$B$2:$B$282,$B154,'تفاصيل الفرص'!$D$2:$D$282,$C154,'تفاصيل الفرص'!$X$2:$X$282,0)</f>
        <v>0</v>
      </c>
      <c r="F154" s="5" t="n">
        <f aca="false">COUNTIFS('سجل الأكشنات'!$B$2:$B$539,$B154,'سجل الأكشنات'!$D$2:$D$539,$C154)</f>
        <v>1</v>
      </c>
      <c r="G154" s="5" t="n">
        <f aca="false">COUNTIFS('سجل الأكشنات'!$B$2:$B$539,$B154,'سجل الأكشنات'!$D$2:$D$539,$C154,'سجل الأكشنات'!$H$2:$H$539,"تفصيلي")</f>
        <v>0</v>
      </c>
      <c r="H154" s="5" t="n">
        <f aca="false">F154-G154</f>
        <v>1</v>
      </c>
      <c r="I154" s="5" t="str">
        <f aca="false">IF($B154&gt;"2026-08-29","لا توجد بيانات بعد",IF(AND(D154=0,F154=0),"بدون نشاط","نشِط"))</f>
        <v>نشِط</v>
      </c>
    </row>
    <row r="155" customFormat="false" ht="15" hidden="false" customHeight="false" outlineLevel="0" collapsed="false">
      <c r="A155" s="5" t="s">
        <v>57</v>
      </c>
      <c r="B155" s="5" t="s">
        <v>74</v>
      </c>
      <c r="C155" s="4" t="s">
        <v>32</v>
      </c>
      <c r="D155" s="5" t="n">
        <f aca="false">COUNTIFS('تفاصيل الفرص'!$B$2:$B$282,$B155,'تفاصيل الفرص'!$D$2:$D$282,$C155)</f>
        <v>0</v>
      </c>
      <c r="E155" s="5" t="n">
        <f aca="false">COUNTIFS('تفاصيل الفرص'!$B$2:$B$282,$B155,'تفاصيل الفرص'!$D$2:$D$282,$C155,'تفاصيل الفرص'!$X$2:$X$282,0)</f>
        <v>0</v>
      </c>
      <c r="F155" s="5" t="n">
        <f aca="false">COUNTIFS('سجل الأكشنات'!$B$2:$B$539,$B155,'سجل الأكشنات'!$D$2:$D$539,$C155)</f>
        <v>3</v>
      </c>
      <c r="G155" s="5" t="n">
        <f aca="false">COUNTIFS('سجل الأكشنات'!$B$2:$B$539,$B155,'سجل الأكشنات'!$D$2:$D$539,$C155,'سجل الأكشنات'!$H$2:$H$539,"تفصيلي")</f>
        <v>3</v>
      </c>
      <c r="H155" s="5" t="n">
        <f aca="false">F155-G155</f>
        <v>0</v>
      </c>
      <c r="I155" s="5" t="str">
        <f aca="false">IF($B155&gt;"2026-08-29","لا توجد بيانات بعد",IF(AND(D155=0,F155=0),"بدون نشاط","نشِط"))</f>
        <v>نشِط</v>
      </c>
    </row>
    <row r="156" customFormat="false" ht="15" hidden="false" customHeight="false" outlineLevel="0" collapsed="false">
      <c r="A156" s="12" t="s">
        <v>59</v>
      </c>
      <c r="B156" s="12" t="s">
        <v>75</v>
      </c>
      <c r="C156" s="13" t="s">
        <v>18</v>
      </c>
      <c r="D156" s="12" t="n">
        <f aca="false">COUNTIFS('تفاصيل الفرص'!$B$2:$B$282,$B156,'تفاصيل الفرص'!$D$2:$D$282,$C156)</f>
        <v>0</v>
      </c>
      <c r="E156" s="12" t="n">
        <f aca="false">COUNTIFS('تفاصيل الفرص'!$B$2:$B$282,$B156,'تفاصيل الفرص'!$D$2:$D$282,$C156,'تفاصيل الفرص'!$X$2:$X$282,0)</f>
        <v>0</v>
      </c>
      <c r="F156" s="12" t="n">
        <f aca="false">COUNTIFS('سجل الأكشنات'!$B$2:$B$539,$B156,'سجل الأكشنات'!$D$2:$D$539,$C156)</f>
        <v>0</v>
      </c>
      <c r="G156" s="12" t="n">
        <f aca="false">COUNTIFS('سجل الأكشنات'!$B$2:$B$539,$B156,'سجل الأكشنات'!$D$2:$D$539,$C156,'سجل الأكشنات'!$H$2:$H$539,"تفصيلي")</f>
        <v>0</v>
      </c>
      <c r="H156" s="12" t="n">
        <f aca="false">F156-G156</f>
        <v>0</v>
      </c>
      <c r="I156" s="12" t="str">
        <f aca="false">IF($B156&gt;"2026-08-29","لا توجد بيانات بعد",IF(AND(D156=0,F156=0),"بدون نشاط","نشِط"))</f>
        <v>بدون نشاط</v>
      </c>
    </row>
    <row r="157" customFormat="false" ht="15" hidden="false" customHeight="false" outlineLevel="0" collapsed="false">
      <c r="A157" s="12" t="s">
        <v>59</v>
      </c>
      <c r="B157" s="12" t="s">
        <v>75</v>
      </c>
      <c r="C157" s="13" t="s">
        <v>20</v>
      </c>
      <c r="D157" s="12" t="n">
        <f aca="false">COUNTIFS('تفاصيل الفرص'!$B$2:$B$282,$B157,'تفاصيل الفرص'!$D$2:$D$282,$C157)</f>
        <v>0</v>
      </c>
      <c r="E157" s="12" t="n">
        <f aca="false">COUNTIFS('تفاصيل الفرص'!$B$2:$B$282,$B157,'تفاصيل الفرص'!$D$2:$D$282,$C157,'تفاصيل الفرص'!$X$2:$X$282,0)</f>
        <v>0</v>
      </c>
      <c r="F157" s="12" t="n">
        <f aca="false">COUNTIFS('سجل الأكشنات'!$B$2:$B$539,$B157,'سجل الأكشنات'!$D$2:$D$539,$C157)</f>
        <v>0</v>
      </c>
      <c r="G157" s="12" t="n">
        <f aca="false">COUNTIFS('سجل الأكشنات'!$B$2:$B$539,$B157,'سجل الأكشنات'!$D$2:$D$539,$C157,'سجل الأكشنات'!$H$2:$H$539,"تفصيلي")</f>
        <v>0</v>
      </c>
      <c r="H157" s="12" t="n">
        <f aca="false">F157-G157</f>
        <v>0</v>
      </c>
      <c r="I157" s="12" t="str">
        <f aca="false">IF($B157&gt;"2026-08-29","لا توجد بيانات بعد",IF(AND(D157=0,F157=0),"بدون نشاط","نشِط"))</f>
        <v>بدون نشاط</v>
      </c>
    </row>
    <row r="158" customFormat="false" ht="15" hidden="false" customHeight="false" outlineLevel="0" collapsed="false">
      <c r="A158" s="12" t="s">
        <v>59</v>
      </c>
      <c r="B158" s="12" t="s">
        <v>75</v>
      </c>
      <c r="C158" s="13" t="s">
        <v>22</v>
      </c>
      <c r="D158" s="12" t="n">
        <f aca="false">COUNTIFS('تفاصيل الفرص'!$B$2:$B$282,$B158,'تفاصيل الفرص'!$D$2:$D$282,$C158)</f>
        <v>0</v>
      </c>
      <c r="E158" s="12" t="n">
        <f aca="false">COUNTIFS('تفاصيل الفرص'!$B$2:$B$282,$B158,'تفاصيل الفرص'!$D$2:$D$282,$C158,'تفاصيل الفرص'!$X$2:$X$282,0)</f>
        <v>0</v>
      </c>
      <c r="F158" s="12" t="n">
        <f aca="false">COUNTIFS('سجل الأكشنات'!$B$2:$B$539,$B158,'سجل الأكشنات'!$D$2:$D$539,$C158)</f>
        <v>0</v>
      </c>
      <c r="G158" s="12" t="n">
        <f aca="false">COUNTIFS('سجل الأكشنات'!$B$2:$B$539,$B158,'سجل الأكشنات'!$D$2:$D$539,$C158,'سجل الأكشنات'!$H$2:$H$539,"تفصيلي")</f>
        <v>0</v>
      </c>
      <c r="H158" s="12" t="n">
        <f aca="false">F158-G158</f>
        <v>0</v>
      </c>
      <c r="I158" s="12" t="str">
        <f aca="false">IF($B158&gt;"2026-08-29","لا توجد بيانات بعد",IF(AND(D158=0,F158=0),"بدون نشاط","نشِط"))</f>
        <v>بدون نشاط</v>
      </c>
    </row>
    <row r="159" customFormat="false" ht="15" hidden="false" customHeight="false" outlineLevel="0" collapsed="false">
      <c r="A159" s="12" t="s">
        <v>59</v>
      </c>
      <c r="B159" s="12" t="s">
        <v>75</v>
      </c>
      <c r="C159" s="13" t="s">
        <v>24</v>
      </c>
      <c r="D159" s="12" t="n">
        <f aca="false">COUNTIFS('تفاصيل الفرص'!$B$2:$B$282,$B159,'تفاصيل الفرص'!$D$2:$D$282,$C159)</f>
        <v>0</v>
      </c>
      <c r="E159" s="12" t="n">
        <f aca="false">COUNTIFS('تفاصيل الفرص'!$B$2:$B$282,$B159,'تفاصيل الفرص'!$D$2:$D$282,$C159,'تفاصيل الفرص'!$X$2:$X$282,0)</f>
        <v>0</v>
      </c>
      <c r="F159" s="12" t="n">
        <f aca="false">COUNTIFS('سجل الأكشنات'!$B$2:$B$539,$B159,'سجل الأكشنات'!$D$2:$D$539,$C159)</f>
        <v>1</v>
      </c>
      <c r="G159" s="12" t="n">
        <f aca="false">COUNTIFS('سجل الأكشنات'!$B$2:$B$539,$B159,'سجل الأكشنات'!$D$2:$D$539,$C159,'سجل الأكشنات'!$H$2:$H$539,"تفصيلي")</f>
        <v>1</v>
      </c>
      <c r="H159" s="12" t="n">
        <f aca="false">F159-G159</f>
        <v>0</v>
      </c>
      <c r="I159" s="12" t="str">
        <f aca="false">IF($B159&gt;"2026-08-29","لا توجد بيانات بعد",IF(AND(D159=0,F159=0),"بدون نشاط","نشِط"))</f>
        <v>نشِط</v>
      </c>
    </row>
    <row r="160" customFormat="false" ht="15" hidden="false" customHeight="false" outlineLevel="0" collapsed="false">
      <c r="A160" s="12" t="s">
        <v>59</v>
      </c>
      <c r="B160" s="12" t="s">
        <v>75</v>
      </c>
      <c r="C160" s="13" t="s">
        <v>26</v>
      </c>
      <c r="D160" s="12" t="n">
        <f aca="false">COUNTIFS('تفاصيل الفرص'!$B$2:$B$282,$B160,'تفاصيل الفرص'!$D$2:$D$282,$C160)</f>
        <v>0</v>
      </c>
      <c r="E160" s="12" t="n">
        <f aca="false">COUNTIFS('تفاصيل الفرص'!$B$2:$B$282,$B160,'تفاصيل الفرص'!$D$2:$D$282,$C160,'تفاصيل الفرص'!$X$2:$X$282,0)</f>
        <v>0</v>
      </c>
      <c r="F160" s="12" t="n">
        <f aca="false">COUNTIFS('سجل الأكشنات'!$B$2:$B$539,$B160,'سجل الأكشنات'!$D$2:$D$539,$C160)</f>
        <v>0</v>
      </c>
      <c r="G160" s="12" t="n">
        <f aca="false">COUNTIFS('سجل الأكشنات'!$B$2:$B$539,$B160,'سجل الأكشنات'!$D$2:$D$539,$C160,'سجل الأكشنات'!$H$2:$H$539,"تفصيلي")</f>
        <v>0</v>
      </c>
      <c r="H160" s="12" t="n">
        <f aca="false">F160-G160</f>
        <v>0</v>
      </c>
      <c r="I160" s="12" t="str">
        <f aca="false">IF($B160&gt;"2026-08-29","لا توجد بيانات بعد",IF(AND(D160=0,F160=0),"بدون نشاط","نشِط"))</f>
        <v>بدون نشاط</v>
      </c>
    </row>
    <row r="161" customFormat="false" ht="15" hidden="false" customHeight="false" outlineLevel="0" collapsed="false">
      <c r="A161" s="12" t="s">
        <v>59</v>
      </c>
      <c r="B161" s="12" t="s">
        <v>75</v>
      </c>
      <c r="C161" s="13" t="s">
        <v>28</v>
      </c>
      <c r="D161" s="12" t="n">
        <f aca="false">COUNTIFS('تفاصيل الفرص'!$B$2:$B$282,$B161,'تفاصيل الفرص'!$D$2:$D$282,$C161)</f>
        <v>4</v>
      </c>
      <c r="E161" s="12" t="n">
        <f aca="false">COUNTIFS('تفاصيل الفرص'!$B$2:$B$282,$B161,'تفاصيل الفرص'!$D$2:$D$282,$C161,'تفاصيل الفرص'!$X$2:$X$282,0)</f>
        <v>0</v>
      </c>
      <c r="F161" s="12" t="n">
        <f aca="false">COUNTIFS('سجل الأكشنات'!$B$2:$B$539,$B161,'سجل الأكشنات'!$D$2:$D$539,$C161)</f>
        <v>4</v>
      </c>
      <c r="G161" s="12" t="n">
        <f aca="false">COUNTIFS('سجل الأكشنات'!$B$2:$B$539,$B161,'سجل الأكشنات'!$D$2:$D$539,$C161,'سجل الأكشنات'!$H$2:$H$539,"تفصيلي")</f>
        <v>3</v>
      </c>
      <c r="H161" s="12" t="n">
        <f aca="false">F161-G161</f>
        <v>1</v>
      </c>
      <c r="I161" s="12" t="str">
        <f aca="false">IF($B161&gt;"2026-08-29","لا توجد بيانات بعد",IF(AND(D161=0,F161=0),"بدون نشاط","نشِط"))</f>
        <v>نشِط</v>
      </c>
    </row>
    <row r="162" customFormat="false" ht="15" hidden="false" customHeight="false" outlineLevel="0" collapsed="false">
      <c r="A162" s="12" t="s">
        <v>59</v>
      </c>
      <c r="B162" s="12" t="s">
        <v>75</v>
      </c>
      <c r="C162" s="13" t="s">
        <v>30</v>
      </c>
      <c r="D162" s="12" t="n">
        <f aca="false">COUNTIFS('تفاصيل الفرص'!$B$2:$B$282,$B162,'تفاصيل الفرص'!$D$2:$D$282,$C162)</f>
        <v>2</v>
      </c>
      <c r="E162" s="12" t="n">
        <f aca="false">COUNTIFS('تفاصيل الفرص'!$B$2:$B$282,$B162,'تفاصيل الفرص'!$D$2:$D$282,$C162,'تفاصيل الفرص'!$X$2:$X$282,0)</f>
        <v>0</v>
      </c>
      <c r="F162" s="12" t="n">
        <f aca="false">COUNTIFS('سجل الأكشنات'!$B$2:$B$539,$B162,'سجل الأكشنات'!$D$2:$D$539,$C162)</f>
        <v>6</v>
      </c>
      <c r="G162" s="12" t="n">
        <f aca="false">COUNTIFS('سجل الأكشنات'!$B$2:$B$539,$B162,'سجل الأكشنات'!$D$2:$D$539,$C162,'سجل الأكشنات'!$H$2:$H$539,"تفصيلي")</f>
        <v>5</v>
      </c>
      <c r="H162" s="12" t="n">
        <f aca="false">F162-G162</f>
        <v>1</v>
      </c>
      <c r="I162" s="12" t="str">
        <f aca="false">IF($B162&gt;"2026-08-29","لا توجد بيانات بعد",IF(AND(D162=0,F162=0),"بدون نشاط","نشِط"))</f>
        <v>نشِط</v>
      </c>
    </row>
    <row r="163" customFormat="false" ht="15" hidden="false" customHeight="false" outlineLevel="0" collapsed="false">
      <c r="A163" s="12" t="s">
        <v>59</v>
      </c>
      <c r="B163" s="12" t="s">
        <v>75</v>
      </c>
      <c r="C163" s="13" t="s">
        <v>32</v>
      </c>
      <c r="D163" s="12" t="n">
        <f aca="false">COUNTIFS('تفاصيل الفرص'!$B$2:$B$282,$B163,'تفاصيل الفرص'!$D$2:$D$282,$C163)</f>
        <v>1</v>
      </c>
      <c r="E163" s="12" t="n">
        <f aca="false">COUNTIFS('تفاصيل الفرص'!$B$2:$B$282,$B163,'تفاصيل الفرص'!$D$2:$D$282,$C163,'تفاصيل الفرص'!$X$2:$X$282,0)</f>
        <v>0</v>
      </c>
      <c r="F163" s="12" t="n">
        <f aca="false">COUNTIFS('سجل الأكشنات'!$B$2:$B$539,$B163,'سجل الأكشنات'!$D$2:$D$539,$C163)</f>
        <v>7</v>
      </c>
      <c r="G163" s="12" t="n">
        <f aca="false">COUNTIFS('سجل الأكشنات'!$B$2:$B$539,$B163,'سجل الأكشنات'!$D$2:$D$539,$C163,'سجل الأكشنات'!$H$2:$H$539,"تفصيلي")</f>
        <v>5</v>
      </c>
      <c r="H163" s="12" t="n">
        <f aca="false">F163-G163</f>
        <v>2</v>
      </c>
      <c r="I163" s="12" t="str">
        <f aca="false">IF($B163&gt;"2026-08-29","لا توجد بيانات بعد",IF(AND(D163=0,F163=0),"بدون نشاط","نشِط"))</f>
        <v>نشِط</v>
      </c>
    </row>
    <row r="164" customFormat="false" ht="15" hidden="false" customHeight="false" outlineLevel="0" collapsed="false">
      <c r="A164" s="5" t="s">
        <v>61</v>
      </c>
      <c r="B164" s="5" t="s">
        <v>76</v>
      </c>
      <c r="C164" s="4" t="s">
        <v>18</v>
      </c>
      <c r="D164" s="5" t="n">
        <f aca="false">COUNTIFS('تفاصيل الفرص'!$B$2:$B$282,$B164,'تفاصيل الفرص'!$D$2:$D$282,$C164)</f>
        <v>0</v>
      </c>
      <c r="E164" s="5" t="n">
        <f aca="false">COUNTIFS('تفاصيل الفرص'!$B$2:$B$282,$B164,'تفاصيل الفرص'!$D$2:$D$282,$C164,'تفاصيل الفرص'!$X$2:$X$282,0)</f>
        <v>0</v>
      </c>
      <c r="F164" s="5" t="n">
        <f aca="false">COUNTIFS('سجل الأكشنات'!$B$2:$B$539,$B164,'سجل الأكشنات'!$D$2:$D$539,$C164)</f>
        <v>0</v>
      </c>
      <c r="G164" s="5" t="n">
        <f aca="false">COUNTIFS('سجل الأكشنات'!$B$2:$B$539,$B164,'سجل الأكشنات'!$D$2:$D$539,$C164,'سجل الأكشنات'!$H$2:$H$539,"تفصيلي")</f>
        <v>0</v>
      </c>
      <c r="H164" s="5" t="n">
        <f aca="false">F164-G164</f>
        <v>0</v>
      </c>
      <c r="I164" s="5" t="str">
        <f aca="false">IF($B164&gt;"2026-08-29","لا توجد بيانات بعد",IF(AND(D164=0,F164=0),"بدون نشاط","نشِط"))</f>
        <v>بدون نشاط</v>
      </c>
    </row>
    <row r="165" customFormat="false" ht="15" hidden="false" customHeight="false" outlineLevel="0" collapsed="false">
      <c r="A165" s="5" t="s">
        <v>61</v>
      </c>
      <c r="B165" s="5" t="s">
        <v>76</v>
      </c>
      <c r="C165" s="4" t="s">
        <v>20</v>
      </c>
      <c r="D165" s="5" t="n">
        <f aca="false">COUNTIFS('تفاصيل الفرص'!$B$2:$B$282,$B165,'تفاصيل الفرص'!$D$2:$D$282,$C165)</f>
        <v>0</v>
      </c>
      <c r="E165" s="5" t="n">
        <f aca="false">COUNTIFS('تفاصيل الفرص'!$B$2:$B$282,$B165,'تفاصيل الفرص'!$D$2:$D$282,$C165,'تفاصيل الفرص'!$X$2:$X$282,0)</f>
        <v>0</v>
      </c>
      <c r="F165" s="5" t="n">
        <f aca="false">COUNTIFS('سجل الأكشنات'!$B$2:$B$539,$B165,'سجل الأكشنات'!$D$2:$D$539,$C165)</f>
        <v>0</v>
      </c>
      <c r="G165" s="5" t="n">
        <f aca="false">COUNTIFS('سجل الأكشنات'!$B$2:$B$539,$B165,'سجل الأكشنات'!$D$2:$D$539,$C165,'سجل الأكشنات'!$H$2:$H$539,"تفصيلي")</f>
        <v>0</v>
      </c>
      <c r="H165" s="5" t="n">
        <f aca="false">F165-G165</f>
        <v>0</v>
      </c>
      <c r="I165" s="5" t="str">
        <f aca="false">IF($B165&gt;"2026-08-29","لا توجد بيانات بعد",IF(AND(D165=0,F165=0),"بدون نشاط","نشِط"))</f>
        <v>بدون نشاط</v>
      </c>
    </row>
    <row r="166" customFormat="false" ht="15" hidden="false" customHeight="false" outlineLevel="0" collapsed="false">
      <c r="A166" s="5" t="s">
        <v>61</v>
      </c>
      <c r="B166" s="5" t="s">
        <v>76</v>
      </c>
      <c r="C166" s="4" t="s">
        <v>22</v>
      </c>
      <c r="D166" s="5" t="n">
        <f aca="false">COUNTIFS('تفاصيل الفرص'!$B$2:$B$282,$B166,'تفاصيل الفرص'!$D$2:$D$282,$C166)</f>
        <v>4</v>
      </c>
      <c r="E166" s="5" t="n">
        <f aca="false">COUNTIFS('تفاصيل الفرص'!$B$2:$B$282,$B166,'تفاصيل الفرص'!$D$2:$D$282,$C166,'تفاصيل الفرص'!$X$2:$X$282,0)</f>
        <v>0</v>
      </c>
      <c r="F166" s="5" t="n">
        <f aca="false">COUNTIFS('سجل الأكشنات'!$B$2:$B$539,$B166,'سجل الأكشنات'!$D$2:$D$539,$C166)</f>
        <v>6</v>
      </c>
      <c r="G166" s="5" t="n">
        <f aca="false">COUNTIFS('سجل الأكشنات'!$B$2:$B$539,$B166,'سجل الأكشنات'!$D$2:$D$539,$C166,'سجل الأكشنات'!$H$2:$H$539,"تفصيلي")</f>
        <v>6</v>
      </c>
      <c r="H166" s="5" t="n">
        <f aca="false">F166-G166</f>
        <v>0</v>
      </c>
      <c r="I166" s="5" t="str">
        <f aca="false">IF($B166&gt;"2026-08-29","لا توجد بيانات بعد",IF(AND(D166=0,F166=0),"بدون نشاط","نشِط"))</f>
        <v>نشِط</v>
      </c>
    </row>
    <row r="167" customFormat="false" ht="15" hidden="false" customHeight="false" outlineLevel="0" collapsed="false">
      <c r="A167" s="5" t="s">
        <v>61</v>
      </c>
      <c r="B167" s="5" t="s">
        <v>76</v>
      </c>
      <c r="C167" s="4" t="s">
        <v>24</v>
      </c>
      <c r="D167" s="5" t="n">
        <f aca="false">COUNTIFS('تفاصيل الفرص'!$B$2:$B$282,$B167,'تفاصيل الفرص'!$D$2:$D$282,$C167)</f>
        <v>0</v>
      </c>
      <c r="E167" s="5" t="n">
        <f aca="false">COUNTIFS('تفاصيل الفرص'!$B$2:$B$282,$B167,'تفاصيل الفرص'!$D$2:$D$282,$C167,'تفاصيل الفرص'!$X$2:$X$282,0)</f>
        <v>0</v>
      </c>
      <c r="F167" s="5" t="n">
        <f aca="false">COUNTIFS('سجل الأكشنات'!$B$2:$B$539,$B167,'سجل الأكشنات'!$D$2:$D$539,$C167)</f>
        <v>0</v>
      </c>
      <c r="G167" s="5" t="n">
        <f aca="false">COUNTIFS('سجل الأكشنات'!$B$2:$B$539,$B167,'سجل الأكشنات'!$D$2:$D$539,$C167,'سجل الأكشنات'!$H$2:$H$539,"تفصيلي")</f>
        <v>0</v>
      </c>
      <c r="H167" s="5" t="n">
        <f aca="false">F167-G167</f>
        <v>0</v>
      </c>
      <c r="I167" s="5" t="str">
        <f aca="false">IF($B167&gt;"2026-08-29","لا توجد بيانات بعد",IF(AND(D167=0,F167=0),"بدون نشاط","نشِط"))</f>
        <v>بدون نشاط</v>
      </c>
    </row>
    <row r="168" customFormat="false" ht="15" hidden="false" customHeight="false" outlineLevel="0" collapsed="false">
      <c r="A168" s="5" t="s">
        <v>61</v>
      </c>
      <c r="B168" s="5" t="s">
        <v>76</v>
      </c>
      <c r="C168" s="4" t="s">
        <v>26</v>
      </c>
      <c r="D168" s="5" t="n">
        <f aca="false">COUNTIFS('تفاصيل الفرص'!$B$2:$B$282,$B168,'تفاصيل الفرص'!$D$2:$D$282,$C168)</f>
        <v>0</v>
      </c>
      <c r="E168" s="5" t="n">
        <f aca="false">COUNTIFS('تفاصيل الفرص'!$B$2:$B$282,$B168,'تفاصيل الفرص'!$D$2:$D$282,$C168,'تفاصيل الفرص'!$X$2:$X$282,0)</f>
        <v>0</v>
      </c>
      <c r="F168" s="5" t="n">
        <f aca="false">COUNTIFS('سجل الأكشنات'!$B$2:$B$539,$B168,'سجل الأكشنات'!$D$2:$D$539,$C168)</f>
        <v>5</v>
      </c>
      <c r="G168" s="5" t="n">
        <f aca="false">COUNTIFS('سجل الأكشنات'!$B$2:$B$539,$B168,'سجل الأكشنات'!$D$2:$D$539,$C168,'سجل الأكشنات'!$H$2:$H$539,"تفصيلي")</f>
        <v>5</v>
      </c>
      <c r="H168" s="5" t="n">
        <f aca="false">F168-G168</f>
        <v>0</v>
      </c>
      <c r="I168" s="5" t="str">
        <f aca="false">IF($B168&gt;"2026-08-29","لا توجد بيانات بعد",IF(AND(D168=0,F168=0),"بدون نشاط","نشِط"))</f>
        <v>نشِط</v>
      </c>
    </row>
    <row r="169" customFormat="false" ht="15" hidden="false" customHeight="false" outlineLevel="0" collapsed="false">
      <c r="A169" s="5" t="s">
        <v>61</v>
      </c>
      <c r="B169" s="5" t="s">
        <v>76</v>
      </c>
      <c r="C169" s="4" t="s">
        <v>28</v>
      </c>
      <c r="D169" s="5" t="n">
        <f aca="false">COUNTIFS('تفاصيل الفرص'!$B$2:$B$282,$B169,'تفاصيل الفرص'!$D$2:$D$282,$C169)</f>
        <v>0</v>
      </c>
      <c r="E169" s="5" t="n">
        <f aca="false">COUNTIFS('تفاصيل الفرص'!$B$2:$B$282,$B169,'تفاصيل الفرص'!$D$2:$D$282,$C169,'تفاصيل الفرص'!$X$2:$X$282,0)</f>
        <v>0</v>
      </c>
      <c r="F169" s="5" t="n">
        <f aca="false">COUNTIFS('سجل الأكشنات'!$B$2:$B$539,$B169,'سجل الأكشنات'!$D$2:$D$539,$C169)</f>
        <v>0</v>
      </c>
      <c r="G169" s="5" t="n">
        <f aca="false">COUNTIFS('سجل الأكشنات'!$B$2:$B$539,$B169,'سجل الأكشنات'!$D$2:$D$539,$C169,'سجل الأكشنات'!$H$2:$H$539,"تفصيلي")</f>
        <v>0</v>
      </c>
      <c r="H169" s="5" t="n">
        <f aca="false">F169-G169</f>
        <v>0</v>
      </c>
      <c r="I169" s="5" t="str">
        <f aca="false">IF($B169&gt;"2026-08-29","لا توجد بيانات بعد",IF(AND(D169=0,F169=0),"بدون نشاط","نشِط"))</f>
        <v>بدون نشاط</v>
      </c>
    </row>
    <row r="170" customFormat="false" ht="15" hidden="false" customHeight="false" outlineLevel="0" collapsed="false">
      <c r="A170" s="5" t="s">
        <v>61</v>
      </c>
      <c r="B170" s="5" t="s">
        <v>76</v>
      </c>
      <c r="C170" s="4" t="s">
        <v>30</v>
      </c>
      <c r="D170" s="5" t="n">
        <f aca="false">COUNTIFS('تفاصيل الفرص'!$B$2:$B$282,$B170,'تفاصيل الفرص'!$D$2:$D$282,$C170)</f>
        <v>0</v>
      </c>
      <c r="E170" s="5" t="n">
        <f aca="false">COUNTIFS('تفاصيل الفرص'!$B$2:$B$282,$B170,'تفاصيل الفرص'!$D$2:$D$282,$C170,'تفاصيل الفرص'!$X$2:$X$282,0)</f>
        <v>0</v>
      </c>
      <c r="F170" s="5" t="n">
        <f aca="false">COUNTIFS('سجل الأكشنات'!$B$2:$B$539,$B170,'سجل الأكشنات'!$D$2:$D$539,$C170)</f>
        <v>0</v>
      </c>
      <c r="G170" s="5" t="n">
        <f aca="false">COUNTIFS('سجل الأكشنات'!$B$2:$B$539,$B170,'سجل الأكشنات'!$D$2:$D$539,$C170,'سجل الأكشنات'!$H$2:$H$539,"تفصيلي")</f>
        <v>0</v>
      </c>
      <c r="H170" s="5" t="n">
        <f aca="false">F170-G170</f>
        <v>0</v>
      </c>
      <c r="I170" s="5" t="str">
        <f aca="false">IF($B170&gt;"2026-08-29","لا توجد بيانات بعد",IF(AND(D170=0,F170=0),"بدون نشاط","نشِط"))</f>
        <v>بدون نشاط</v>
      </c>
    </row>
    <row r="171" customFormat="false" ht="15" hidden="false" customHeight="false" outlineLevel="0" collapsed="false">
      <c r="A171" s="5" t="s">
        <v>61</v>
      </c>
      <c r="B171" s="5" t="s">
        <v>76</v>
      </c>
      <c r="C171" s="4" t="s">
        <v>32</v>
      </c>
      <c r="D171" s="5" t="n">
        <f aca="false">COUNTIFS('تفاصيل الفرص'!$B$2:$B$282,$B171,'تفاصيل الفرص'!$D$2:$D$282,$C171)</f>
        <v>0</v>
      </c>
      <c r="E171" s="5" t="n">
        <f aca="false">COUNTIFS('تفاصيل الفرص'!$B$2:$B$282,$B171,'تفاصيل الفرص'!$D$2:$D$282,$C171,'تفاصيل الفرص'!$X$2:$X$282,0)</f>
        <v>0</v>
      </c>
      <c r="F171" s="5" t="n">
        <f aca="false">COUNTIFS('سجل الأكشنات'!$B$2:$B$539,$B171,'سجل الأكشنات'!$D$2:$D$539,$C171)</f>
        <v>0</v>
      </c>
      <c r="G171" s="5" t="n">
        <f aca="false">COUNTIFS('سجل الأكشنات'!$B$2:$B$539,$B171,'سجل الأكشنات'!$D$2:$D$539,$C171,'سجل الأكشنات'!$H$2:$H$539,"تفصيلي")</f>
        <v>0</v>
      </c>
      <c r="H171" s="5" t="n">
        <f aca="false">F171-G171</f>
        <v>0</v>
      </c>
      <c r="I171" s="5" t="str">
        <f aca="false">IF($B171&gt;"2026-08-29","لا توجد بيانات بعد",IF(AND(D171=0,F171=0),"بدون نشاط","نشِط"))</f>
        <v>بدون نشاط</v>
      </c>
    </row>
    <row r="172" customFormat="false" ht="15" hidden="false" customHeight="false" outlineLevel="0" collapsed="false">
      <c r="A172" s="12" t="s">
        <v>49</v>
      </c>
      <c r="B172" s="12" t="s">
        <v>77</v>
      </c>
      <c r="C172" s="13" t="s">
        <v>18</v>
      </c>
      <c r="D172" s="12" t="n">
        <f aca="false">COUNTIFS('تفاصيل الفرص'!$B$2:$B$282,$B172,'تفاصيل الفرص'!$D$2:$D$282,$C172)</f>
        <v>0</v>
      </c>
      <c r="E172" s="12" t="n">
        <f aca="false">COUNTIFS('تفاصيل الفرص'!$B$2:$B$282,$B172,'تفاصيل الفرص'!$D$2:$D$282,$C172,'تفاصيل الفرص'!$X$2:$X$282,0)</f>
        <v>0</v>
      </c>
      <c r="F172" s="12" t="n">
        <f aca="false">COUNTIFS('سجل الأكشنات'!$B$2:$B$539,$B172,'سجل الأكشنات'!$D$2:$D$539,$C172)</f>
        <v>0</v>
      </c>
      <c r="G172" s="12" t="n">
        <f aca="false">COUNTIFS('سجل الأكشنات'!$B$2:$B$539,$B172,'سجل الأكشنات'!$D$2:$D$539,$C172,'سجل الأكشنات'!$H$2:$H$539,"تفصيلي")</f>
        <v>0</v>
      </c>
      <c r="H172" s="12" t="n">
        <f aca="false">F172-G172</f>
        <v>0</v>
      </c>
      <c r="I172" s="12" t="str">
        <f aca="false">IF($B172&gt;"2026-08-29","لا توجد بيانات بعد",IF(AND(D172=0,F172=0),"بدون نشاط","نشِط"))</f>
        <v>بدون نشاط</v>
      </c>
    </row>
    <row r="173" customFormat="false" ht="15" hidden="false" customHeight="false" outlineLevel="0" collapsed="false">
      <c r="A173" s="12" t="s">
        <v>49</v>
      </c>
      <c r="B173" s="12" t="s">
        <v>77</v>
      </c>
      <c r="C173" s="13" t="s">
        <v>20</v>
      </c>
      <c r="D173" s="12" t="n">
        <f aca="false">COUNTIFS('تفاصيل الفرص'!$B$2:$B$282,$B173,'تفاصيل الفرص'!$D$2:$D$282,$C173)</f>
        <v>0</v>
      </c>
      <c r="E173" s="12" t="n">
        <f aca="false">COUNTIFS('تفاصيل الفرص'!$B$2:$B$282,$B173,'تفاصيل الفرص'!$D$2:$D$282,$C173,'تفاصيل الفرص'!$X$2:$X$282,0)</f>
        <v>0</v>
      </c>
      <c r="F173" s="12" t="n">
        <f aca="false">COUNTIFS('سجل الأكشنات'!$B$2:$B$539,$B173,'سجل الأكشنات'!$D$2:$D$539,$C173)</f>
        <v>0</v>
      </c>
      <c r="G173" s="12" t="n">
        <f aca="false">COUNTIFS('سجل الأكشنات'!$B$2:$B$539,$B173,'سجل الأكشنات'!$D$2:$D$539,$C173,'سجل الأكشنات'!$H$2:$H$539,"تفصيلي")</f>
        <v>0</v>
      </c>
      <c r="H173" s="12" t="n">
        <f aca="false">F173-G173</f>
        <v>0</v>
      </c>
      <c r="I173" s="12" t="str">
        <f aca="false">IF($B173&gt;"2026-08-29","لا توجد بيانات بعد",IF(AND(D173=0,F173=0),"بدون نشاط","نشِط"))</f>
        <v>بدون نشاط</v>
      </c>
    </row>
    <row r="174" customFormat="false" ht="15" hidden="false" customHeight="false" outlineLevel="0" collapsed="false">
      <c r="A174" s="12" t="s">
        <v>49</v>
      </c>
      <c r="B174" s="12" t="s">
        <v>77</v>
      </c>
      <c r="C174" s="13" t="s">
        <v>22</v>
      </c>
      <c r="D174" s="12" t="n">
        <f aca="false">COUNTIFS('تفاصيل الفرص'!$B$2:$B$282,$B174,'تفاصيل الفرص'!$D$2:$D$282,$C174)</f>
        <v>1</v>
      </c>
      <c r="E174" s="12" t="n">
        <f aca="false">COUNTIFS('تفاصيل الفرص'!$B$2:$B$282,$B174,'تفاصيل الفرص'!$D$2:$D$282,$C174,'تفاصيل الفرص'!$X$2:$X$282,0)</f>
        <v>0</v>
      </c>
      <c r="F174" s="12" t="n">
        <f aca="false">COUNTIFS('سجل الأكشنات'!$B$2:$B$539,$B174,'سجل الأكشنات'!$D$2:$D$539,$C174)</f>
        <v>3</v>
      </c>
      <c r="G174" s="12" t="n">
        <f aca="false">COUNTIFS('سجل الأكشنات'!$B$2:$B$539,$B174,'سجل الأكشنات'!$D$2:$D$539,$C174,'سجل الأكشنات'!$H$2:$H$539,"تفصيلي")</f>
        <v>3</v>
      </c>
      <c r="H174" s="12" t="n">
        <f aca="false">F174-G174</f>
        <v>0</v>
      </c>
      <c r="I174" s="12" t="str">
        <f aca="false">IF($B174&gt;"2026-08-29","لا توجد بيانات بعد",IF(AND(D174=0,F174=0),"بدون نشاط","نشِط"))</f>
        <v>نشِط</v>
      </c>
    </row>
    <row r="175" customFormat="false" ht="15" hidden="false" customHeight="false" outlineLevel="0" collapsed="false">
      <c r="A175" s="12" t="s">
        <v>49</v>
      </c>
      <c r="B175" s="12" t="s">
        <v>77</v>
      </c>
      <c r="C175" s="13" t="s">
        <v>24</v>
      </c>
      <c r="D175" s="12" t="n">
        <f aca="false">COUNTIFS('تفاصيل الفرص'!$B$2:$B$282,$B175,'تفاصيل الفرص'!$D$2:$D$282,$C175)</f>
        <v>2</v>
      </c>
      <c r="E175" s="12" t="n">
        <f aca="false">COUNTIFS('تفاصيل الفرص'!$B$2:$B$282,$B175,'تفاصيل الفرص'!$D$2:$D$282,$C175,'تفاصيل الفرص'!$X$2:$X$282,0)</f>
        <v>0</v>
      </c>
      <c r="F175" s="12" t="n">
        <f aca="false">COUNTIFS('سجل الأكشنات'!$B$2:$B$539,$B175,'سجل الأكشنات'!$D$2:$D$539,$C175)</f>
        <v>2</v>
      </c>
      <c r="G175" s="12" t="n">
        <f aca="false">COUNTIFS('سجل الأكشنات'!$B$2:$B$539,$B175,'سجل الأكشنات'!$D$2:$D$539,$C175,'سجل الأكشنات'!$H$2:$H$539,"تفصيلي")</f>
        <v>2</v>
      </c>
      <c r="H175" s="12" t="n">
        <f aca="false">F175-G175</f>
        <v>0</v>
      </c>
      <c r="I175" s="12" t="str">
        <f aca="false">IF($B175&gt;"2026-08-29","لا توجد بيانات بعد",IF(AND(D175=0,F175=0),"بدون نشاط","نشِط"))</f>
        <v>نشِط</v>
      </c>
    </row>
    <row r="176" customFormat="false" ht="15" hidden="false" customHeight="false" outlineLevel="0" collapsed="false">
      <c r="A176" s="12" t="s">
        <v>49</v>
      </c>
      <c r="B176" s="12" t="s">
        <v>77</v>
      </c>
      <c r="C176" s="13" t="s">
        <v>26</v>
      </c>
      <c r="D176" s="12" t="n">
        <f aca="false">COUNTIFS('تفاصيل الفرص'!$B$2:$B$282,$B176,'تفاصيل الفرص'!$D$2:$D$282,$C176)</f>
        <v>1</v>
      </c>
      <c r="E176" s="12" t="n">
        <f aca="false">COUNTIFS('تفاصيل الفرص'!$B$2:$B$282,$B176,'تفاصيل الفرص'!$D$2:$D$282,$C176,'تفاصيل الفرص'!$X$2:$X$282,0)</f>
        <v>0</v>
      </c>
      <c r="F176" s="12" t="n">
        <f aca="false">COUNTIFS('سجل الأكشنات'!$B$2:$B$539,$B176,'سجل الأكشنات'!$D$2:$D$539,$C176)</f>
        <v>1</v>
      </c>
      <c r="G176" s="12" t="n">
        <f aca="false">COUNTIFS('سجل الأكشنات'!$B$2:$B$539,$B176,'سجل الأكشنات'!$D$2:$D$539,$C176,'سجل الأكشنات'!$H$2:$H$539,"تفصيلي")</f>
        <v>1</v>
      </c>
      <c r="H176" s="12" t="n">
        <f aca="false">F176-G176</f>
        <v>0</v>
      </c>
      <c r="I176" s="12" t="str">
        <f aca="false">IF($B176&gt;"2026-08-29","لا توجد بيانات بعد",IF(AND(D176=0,F176=0),"بدون نشاط","نشِط"))</f>
        <v>نشِط</v>
      </c>
    </row>
    <row r="177" customFormat="false" ht="15" hidden="false" customHeight="false" outlineLevel="0" collapsed="false">
      <c r="A177" s="12" t="s">
        <v>49</v>
      </c>
      <c r="B177" s="12" t="s">
        <v>77</v>
      </c>
      <c r="C177" s="13" t="s">
        <v>28</v>
      </c>
      <c r="D177" s="12" t="n">
        <f aca="false">COUNTIFS('تفاصيل الفرص'!$B$2:$B$282,$B177,'تفاصيل الفرص'!$D$2:$D$282,$C177)</f>
        <v>5</v>
      </c>
      <c r="E177" s="12" t="n">
        <f aca="false">COUNTIFS('تفاصيل الفرص'!$B$2:$B$282,$B177,'تفاصيل الفرص'!$D$2:$D$282,$C177,'تفاصيل الفرص'!$X$2:$X$282,0)</f>
        <v>0</v>
      </c>
      <c r="F177" s="12" t="n">
        <f aca="false">COUNTIFS('سجل الأكشنات'!$B$2:$B$539,$B177,'سجل الأكشنات'!$D$2:$D$539,$C177)</f>
        <v>6</v>
      </c>
      <c r="G177" s="12" t="n">
        <f aca="false">COUNTIFS('سجل الأكشنات'!$B$2:$B$539,$B177,'سجل الأكشنات'!$D$2:$D$539,$C177,'سجل الأكشنات'!$H$2:$H$539,"تفصيلي")</f>
        <v>5</v>
      </c>
      <c r="H177" s="12" t="n">
        <f aca="false">F177-G177</f>
        <v>1</v>
      </c>
      <c r="I177" s="12" t="str">
        <f aca="false">IF($B177&gt;"2026-08-29","لا توجد بيانات بعد",IF(AND(D177=0,F177=0),"بدون نشاط","نشِط"))</f>
        <v>نشِط</v>
      </c>
    </row>
    <row r="178" customFormat="false" ht="15" hidden="false" customHeight="false" outlineLevel="0" collapsed="false">
      <c r="A178" s="12" t="s">
        <v>49</v>
      </c>
      <c r="B178" s="12" t="s">
        <v>77</v>
      </c>
      <c r="C178" s="13" t="s">
        <v>30</v>
      </c>
      <c r="D178" s="12" t="n">
        <f aca="false">COUNTIFS('تفاصيل الفرص'!$B$2:$B$282,$B178,'تفاصيل الفرص'!$D$2:$D$282,$C178)</f>
        <v>0</v>
      </c>
      <c r="E178" s="12" t="n">
        <f aca="false">COUNTIFS('تفاصيل الفرص'!$B$2:$B$282,$B178,'تفاصيل الفرص'!$D$2:$D$282,$C178,'تفاصيل الفرص'!$X$2:$X$282,0)</f>
        <v>0</v>
      </c>
      <c r="F178" s="12" t="n">
        <f aca="false">COUNTIFS('سجل الأكشنات'!$B$2:$B$539,$B178,'سجل الأكشنات'!$D$2:$D$539,$C178)</f>
        <v>1</v>
      </c>
      <c r="G178" s="12" t="n">
        <f aca="false">COUNTIFS('سجل الأكشنات'!$B$2:$B$539,$B178,'سجل الأكشنات'!$D$2:$D$539,$C178,'سجل الأكشنات'!$H$2:$H$539,"تفصيلي")</f>
        <v>0</v>
      </c>
      <c r="H178" s="12" t="n">
        <f aca="false">F178-G178</f>
        <v>1</v>
      </c>
      <c r="I178" s="12" t="str">
        <f aca="false">IF($B178&gt;"2026-08-29","لا توجد بيانات بعد",IF(AND(D178=0,F178=0),"بدون نشاط","نشِط"))</f>
        <v>نشِط</v>
      </c>
    </row>
    <row r="179" customFormat="false" ht="15" hidden="false" customHeight="false" outlineLevel="0" collapsed="false">
      <c r="A179" s="12" t="s">
        <v>49</v>
      </c>
      <c r="B179" s="12" t="s">
        <v>77</v>
      </c>
      <c r="C179" s="13" t="s">
        <v>32</v>
      </c>
      <c r="D179" s="12" t="n">
        <f aca="false">COUNTIFS('تفاصيل الفرص'!$B$2:$B$282,$B179,'تفاصيل الفرص'!$D$2:$D$282,$C179)</f>
        <v>7</v>
      </c>
      <c r="E179" s="12" t="n">
        <f aca="false">COUNTIFS('تفاصيل الفرص'!$B$2:$B$282,$B179,'تفاصيل الفرص'!$D$2:$D$282,$C179,'تفاصيل الفرص'!$X$2:$X$282,0)</f>
        <v>0</v>
      </c>
      <c r="F179" s="12" t="n">
        <f aca="false">COUNTIFS('سجل الأكشنات'!$B$2:$B$539,$B179,'سجل الأكشنات'!$D$2:$D$539,$C179)</f>
        <v>12</v>
      </c>
      <c r="G179" s="12" t="n">
        <f aca="false">COUNTIFS('سجل الأكشنات'!$B$2:$B$539,$B179,'سجل الأكشنات'!$D$2:$D$539,$C179,'سجل الأكشنات'!$H$2:$H$539,"تفصيلي")</f>
        <v>11</v>
      </c>
      <c r="H179" s="12" t="n">
        <f aca="false">F179-G179</f>
        <v>1</v>
      </c>
      <c r="I179" s="12" t="str">
        <f aca="false">IF($B179&gt;"2026-08-29","لا توجد بيانات بعد",IF(AND(D179=0,F179=0),"بدون نشاط","نشِط"))</f>
        <v>نشِط</v>
      </c>
    </row>
    <row r="180" customFormat="false" ht="15" hidden="false" customHeight="false" outlineLevel="0" collapsed="false">
      <c r="A180" s="5" t="s">
        <v>51</v>
      </c>
      <c r="B180" s="5" t="s">
        <v>78</v>
      </c>
      <c r="C180" s="4" t="s">
        <v>18</v>
      </c>
      <c r="D180" s="5" t="n">
        <f aca="false">COUNTIFS('تفاصيل الفرص'!$B$2:$B$282,$B180,'تفاصيل الفرص'!$D$2:$D$282,$C180)</f>
        <v>0</v>
      </c>
      <c r="E180" s="5" t="n">
        <f aca="false">COUNTIFS('تفاصيل الفرص'!$B$2:$B$282,$B180,'تفاصيل الفرص'!$D$2:$D$282,$C180,'تفاصيل الفرص'!$X$2:$X$282,0)</f>
        <v>0</v>
      </c>
      <c r="F180" s="5" t="n">
        <f aca="false">COUNTIFS('سجل الأكشنات'!$B$2:$B$539,$B180,'سجل الأكشنات'!$D$2:$D$539,$C180)</f>
        <v>0</v>
      </c>
      <c r="G180" s="5" t="n">
        <f aca="false">COUNTIFS('سجل الأكشنات'!$B$2:$B$539,$B180,'سجل الأكشنات'!$D$2:$D$539,$C180,'سجل الأكشنات'!$H$2:$H$539,"تفصيلي")</f>
        <v>0</v>
      </c>
      <c r="H180" s="5" t="n">
        <f aca="false">F180-G180</f>
        <v>0</v>
      </c>
      <c r="I180" s="5" t="str">
        <f aca="false">IF($B180&gt;"2026-08-29","لا توجد بيانات بعد",IF(AND(D180=0,F180=0),"بدون نشاط","نشِط"))</f>
        <v>بدون نشاط</v>
      </c>
    </row>
    <row r="181" customFormat="false" ht="15" hidden="false" customHeight="false" outlineLevel="0" collapsed="false">
      <c r="A181" s="5" t="s">
        <v>51</v>
      </c>
      <c r="B181" s="5" t="s">
        <v>78</v>
      </c>
      <c r="C181" s="4" t="s">
        <v>20</v>
      </c>
      <c r="D181" s="5" t="n">
        <f aca="false">COUNTIFS('تفاصيل الفرص'!$B$2:$B$282,$B181,'تفاصيل الفرص'!$D$2:$D$282,$C181)</f>
        <v>0</v>
      </c>
      <c r="E181" s="5" t="n">
        <f aca="false">COUNTIFS('تفاصيل الفرص'!$B$2:$B$282,$B181,'تفاصيل الفرص'!$D$2:$D$282,$C181,'تفاصيل الفرص'!$X$2:$X$282,0)</f>
        <v>0</v>
      </c>
      <c r="F181" s="5" t="n">
        <f aca="false">COUNTIFS('سجل الأكشنات'!$B$2:$B$539,$B181,'سجل الأكشنات'!$D$2:$D$539,$C181)</f>
        <v>0</v>
      </c>
      <c r="G181" s="5" t="n">
        <f aca="false">COUNTIFS('سجل الأكشنات'!$B$2:$B$539,$B181,'سجل الأكشنات'!$D$2:$D$539,$C181,'سجل الأكشنات'!$H$2:$H$539,"تفصيلي")</f>
        <v>0</v>
      </c>
      <c r="H181" s="5" t="n">
        <f aca="false">F181-G181</f>
        <v>0</v>
      </c>
      <c r="I181" s="5" t="str">
        <f aca="false">IF($B181&gt;"2026-08-29","لا توجد بيانات بعد",IF(AND(D181=0,F181=0),"بدون نشاط","نشِط"))</f>
        <v>بدون نشاط</v>
      </c>
    </row>
    <row r="182" customFormat="false" ht="15" hidden="false" customHeight="false" outlineLevel="0" collapsed="false">
      <c r="A182" s="5" t="s">
        <v>51</v>
      </c>
      <c r="B182" s="5" t="s">
        <v>78</v>
      </c>
      <c r="C182" s="4" t="s">
        <v>22</v>
      </c>
      <c r="D182" s="5" t="n">
        <f aca="false">COUNTIFS('تفاصيل الفرص'!$B$2:$B$282,$B182,'تفاصيل الفرص'!$D$2:$D$282,$C182)</f>
        <v>4</v>
      </c>
      <c r="E182" s="5" t="n">
        <f aca="false">COUNTIFS('تفاصيل الفرص'!$B$2:$B$282,$B182,'تفاصيل الفرص'!$D$2:$D$282,$C182,'تفاصيل الفرص'!$X$2:$X$282,0)</f>
        <v>0</v>
      </c>
      <c r="F182" s="5" t="n">
        <f aca="false">COUNTIFS('سجل الأكشنات'!$B$2:$B$539,$B182,'سجل الأكشنات'!$D$2:$D$539,$C182)</f>
        <v>4</v>
      </c>
      <c r="G182" s="5" t="n">
        <f aca="false">COUNTIFS('سجل الأكشنات'!$B$2:$B$539,$B182,'سجل الأكشنات'!$D$2:$D$539,$C182,'سجل الأكشنات'!$H$2:$H$539,"تفصيلي")</f>
        <v>2</v>
      </c>
      <c r="H182" s="5" t="n">
        <f aca="false">F182-G182</f>
        <v>2</v>
      </c>
      <c r="I182" s="5" t="str">
        <f aca="false">IF($B182&gt;"2026-08-29","لا توجد بيانات بعد",IF(AND(D182=0,F182=0),"بدون نشاط","نشِط"))</f>
        <v>نشِط</v>
      </c>
    </row>
    <row r="183" customFormat="false" ht="15" hidden="false" customHeight="false" outlineLevel="0" collapsed="false">
      <c r="A183" s="5" t="s">
        <v>51</v>
      </c>
      <c r="B183" s="5" t="s">
        <v>78</v>
      </c>
      <c r="C183" s="4" t="s">
        <v>24</v>
      </c>
      <c r="D183" s="5" t="n">
        <f aca="false">COUNTIFS('تفاصيل الفرص'!$B$2:$B$282,$B183,'تفاصيل الفرص'!$D$2:$D$282,$C183)</f>
        <v>3</v>
      </c>
      <c r="E183" s="5" t="n">
        <f aca="false">COUNTIFS('تفاصيل الفرص'!$B$2:$B$282,$B183,'تفاصيل الفرص'!$D$2:$D$282,$C183,'تفاصيل الفرص'!$X$2:$X$282,0)</f>
        <v>0</v>
      </c>
      <c r="F183" s="5" t="n">
        <f aca="false">COUNTIFS('سجل الأكشنات'!$B$2:$B$539,$B183,'سجل الأكشنات'!$D$2:$D$539,$C183)</f>
        <v>3</v>
      </c>
      <c r="G183" s="5" t="n">
        <f aca="false">COUNTIFS('سجل الأكشنات'!$B$2:$B$539,$B183,'سجل الأكشنات'!$D$2:$D$539,$C183,'سجل الأكشنات'!$H$2:$H$539,"تفصيلي")</f>
        <v>3</v>
      </c>
      <c r="H183" s="5" t="n">
        <f aca="false">F183-G183</f>
        <v>0</v>
      </c>
      <c r="I183" s="5" t="str">
        <f aca="false">IF($B183&gt;"2026-08-29","لا توجد بيانات بعد",IF(AND(D183=0,F183=0),"بدون نشاط","نشِط"))</f>
        <v>نشِط</v>
      </c>
    </row>
    <row r="184" customFormat="false" ht="15" hidden="false" customHeight="false" outlineLevel="0" collapsed="false">
      <c r="A184" s="5" t="s">
        <v>51</v>
      </c>
      <c r="B184" s="5" t="s">
        <v>78</v>
      </c>
      <c r="C184" s="4" t="s">
        <v>26</v>
      </c>
      <c r="D184" s="5" t="n">
        <f aca="false">COUNTIFS('تفاصيل الفرص'!$B$2:$B$282,$B184,'تفاصيل الفرص'!$D$2:$D$282,$C184)</f>
        <v>0</v>
      </c>
      <c r="E184" s="5" t="n">
        <f aca="false">COUNTIFS('تفاصيل الفرص'!$B$2:$B$282,$B184,'تفاصيل الفرص'!$D$2:$D$282,$C184,'تفاصيل الفرص'!$X$2:$X$282,0)</f>
        <v>0</v>
      </c>
      <c r="F184" s="5" t="n">
        <f aca="false">COUNTIFS('سجل الأكشنات'!$B$2:$B$539,$B184,'سجل الأكشنات'!$D$2:$D$539,$C184)</f>
        <v>1</v>
      </c>
      <c r="G184" s="5" t="n">
        <f aca="false">COUNTIFS('سجل الأكشنات'!$B$2:$B$539,$B184,'سجل الأكشنات'!$D$2:$D$539,$C184,'سجل الأكشنات'!$H$2:$H$539,"تفصيلي")</f>
        <v>1</v>
      </c>
      <c r="H184" s="5" t="n">
        <f aca="false">F184-G184</f>
        <v>0</v>
      </c>
      <c r="I184" s="5" t="str">
        <f aca="false">IF($B184&gt;"2026-08-29","لا توجد بيانات بعد",IF(AND(D184=0,F184=0),"بدون نشاط","نشِط"))</f>
        <v>نشِط</v>
      </c>
    </row>
    <row r="185" customFormat="false" ht="15" hidden="false" customHeight="false" outlineLevel="0" collapsed="false">
      <c r="A185" s="5" t="s">
        <v>51</v>
      </c>
      <c r="B185" s="5" t="s">
        <v>78</v>
      </c>
      <c r="C185" s="4" t="s">
        <v>28</v>
      </c>
      <c r="D185" s="5" t="n">
        <f aca="false">COUNTIFS('تفاصيل الفرص'!$B$2:$B$282,$B185,'تفاصيل الفرص'!$D$2:$D$282,$C185)</f>
        <v>8</v>
      </c>
      <c r="E185" s="5" t="n">
        <f aca="false">COUNTIFS('تفاصيل الفرص'!$B$2:$B$282,$B185,'تفاصيل الفرص'!$D$2:$D$282,$C185,'تفاصيل الفرص'!$X$2:$X$282,0)</f>
        <v>0</v>
      </c>
      <c r="F185" s="5" t="n">
        <f aca="false">COUNTIFS('سجل الأكشنات'!$B$2:$B$539,$B185,'سجل الأكشنات'!$D$2:$D$539,$C185)</f>
        <v>8</v>
      </c>
      <c r="G185" s="5" t="n">
        <f aca="false">COUNTIFS('سجل الأكشنات'!$B$2:$B$539,$B185,'سجل الأكشنات'!$D$2:$D$539,$C185,'سجل الأكشنات'!$H$2:$H$539,"تفصيلي")</f>
        <v>6</v>
      </c>
      <c r="H185" s="5" t="n">
        <f aca="false">F185-G185</f>
        <v>2</v>
      </c>
      <c r="I185" s="5" t="str">
        <f aca="false">IF($B185&gt;"2026-08-29","لا توجد بيانات بعد",IF(AND(D185=0,F185=0),"بدون نشاط","نشِط"))</f>
        <v>نشِط</v>
      </c>
    </row>
    <row r="186" customFormat="false" ht="15" hidden="false" customHeight="false" outlineLevel="0" collapsed="false">
      <c r="A186" s="5" t="s">
        <v>51</v>
      </c>
      <c r="B186" s="5" t="s">
        <v>78</v>
      </c>
      <c r="C186" s="4" t="s">
        <v>30</v>
      </c>
      <c r="D186" s="5" t="n">
        <f aca="false">COUNTIFS('تفاصيل الفرص'!$B$2:$B$282,$B186,'تفاصيل الفرص'!$D$2:$D$282,$C186)</f>
        <v>0</v>
      </c>
      <c r="E186" s="5" t="n">
        <f aca="false">COUNTIFS('تفاصيل الفرص'!$B$2:$B$282,$B186,'تفاصيل الفرص'!$D$2:$D$282,$C186,'تفاصيل الفرص'!$X$2:$X$282,0)</f>
        <v>0</v>
      </c>
      <c r="F186" s="5" t="n">
        <f aca="false">COUNTIFS('سجل الأكشنات'!$B$2:$B$539,$B186,'سجل الأكشنات'!$D$2:$D$539,$C186)</f>
        <v>4</v>
      </c>
      <c r="G186" s="5" t="n">
        <f aca="false">COUNTIFS('سجل الأكشنات'!$B$2:$B$539,$B186,'سجل الأكشنات'!$D$2:$D$539,$C186,'سجل الأكشنات'!$H$2:$H$539,"تفصيلي")</f>
        <v>3</v>
      </c>
      <c r="H186" s="5" t="n">
        <f aca="false">F186-G186</f>
        <v>1</v>
      </c>
      <c r="I186" s="5" t="str">
        <f aca="false">IF($B186&gt;"2026-08-29","لا توجد بيانات بعد",IF(AND(D186=0,F186=0),"بدون نشاط","نشِط"))</f>
        <v>نشِط</v>
      </c>
    </row>
    <row r="187" customFormat="false" ht="15" hidden="false" customHeight="false" outlineLevel="0" collapsed="false">
      <c r="A187" s="5" t="s">
        <v>51</v>
      </c>
      <c r="B187" s="5" t="s">
        <v>78</v>
      </c>
      <c r="C187" s="4" t="s">
        <v>32</v>
      </c>
      <c r="D187" s="5" t="n">
        <f aca="false">COUNTIFS('تفاصيل الفرص'!$B$2:$B$282,$B187,'تفاصيل الفرص'!$D$2:$D$282,$C187)</f>
        <v>2</v>
      </c>
      <c r="E187" s="5" t="n">
        <f aca="false">COUNTIFS('تفاصيل الفرص'!$B$2:$B$282,$B187,'تفاصيل الفرص'!$D$2:$D$282,$C187,'تفاصيل الفرص'!$X$2:$X$282,0)</f>
        <v>0</v>
      </c>
      <c r="F187" s="5" t="n">
        <f aca="false">COUNTIFS('سجل الأكشنات'!$B$2:$B$539,$B187,'سجل الأكشنات'!$D$2:$D$539,$C187)</f>
        <v>4</v>
      </c>
      <c r="G187" s="5" t="n">
        <f aca="false">COUNTIFS('سجل الأكشنات'!$B$2:$B$539,$B187,'سجل الأكشنات'!$D$2:$D$539,$C187,'سجل الأكشنات'!$H$2:$H$539,"تفصيلي")</f>
        <v>4</v>
      </c>
      <c r="H187" s="5" t="n">
        <f aca="false">F187-G187</f>
        <v>0</v>
      </c>
      <c r="I187" s="5" t="str">
        <f aca="false">IF($B187&gt;"2026-08-29","لا توجد بيانات بعد",IF(AND(D187=0,F187=0),"بدون نشاط","نشِط"))</f>
        <v>نشِط</v>
      </c>
    </row>
    <row r="188" customFormat="false" ht="15" hidden="false" customHeight="false" outlineLevel="0" collapsed="false">
      <c r="A188" s="12" t="s">
        <v>53</v>
      </c>
      <c r="B188" s="12" t="s">
        <v>79</v>
      </c>
      <c r="C188" s="13" t="s">
        <v>18</v>
      </c>
      <c r="D188" s="12" t="n">
        <f aca="false">COUNTIFS('تفاصيل الفرص'!$B$2:$B$282,$B188,'تفاصيل الفرص'!$D$2:$D$282,$C188)</f>
        <v>0</v>
      </c>
      <c r="E188" s="12" t="n">
        <f aca="false">COUNTIFS('تفاصيل الفرص'!$B$2:$B$282,$B188,'تفاصيل الفرص'!$D$2:$D$282,$C188,'تفاصيل الفرص'!$X$2:$X$282,0)</f>
        <v>0</v>
      </c>
      <c r="F188" s="12" t="n">
        <f aca="false">COUNTIFS('سجل الأكشنات'!$B$2:$B$539,$B188,'سجل الأكشنات'!$D$2:$D$539,$C188)</f>
        <v>0</v>
      </c>
      <c r="G188" s="12" t="n">
        <f aca="false">COUNTIFS('سجل الأكشنات'!$B$2:$B$539,$B188,'سجل الأكشنات'!$D$2:$D$539,$C188,'سجل الأكشنات'!$H$2:$H$539,"تفصيلي")</f>
        <v>0</v>
      </c>
      <c r="H188" s="12" t="n">
        <f aca="false">F188-G188</f>
        <v>0</v>
      </c>
      <c r="I188" s="12" t="str">
        <f aca="false">IF($B188&gt;"2026-08-29","لا توجد بيانات بعد",IF(AND(D188=0,F188=0),"بدون نشاط","نشِط"))</f>
        <v>بدون نشاط</v>
      </c>
    </row>
    <row r="189" customFormat="false" ht="15" hidden="false" customHeight="false" outlineLevel="0" collapsed="false">
      <c r="A189" s="12" t="s">
        <v>53</v>
      </c>
      <c r="B189" s="12" t="s">
        <v>79</v>
      </c>
      <c r="C189" s="13" t="s">
        <v>20</v>
      </c>
      <c r="D189" s="12" t="n">
        <f aca="false">COUNTIFS('تفاصيل الفرص'!$B$2:$B$282,$B189,'تفاصيل الفرص'!$D$2:$D$282,$C189)</f>
        <v>0</v>
      </c>
      <c r="E189" s="12" t="n">
        <f aca="false">COUNTIFS('تفاصيل الفرص'!$B$2:$B$282,$B189,'تفاصيل الفرص'!$D$2:$D$282,$C189,'تفاصيل الفرص'!$X$2:$X$282,0)</f>
        <v>0</v>
      </c>
      <c r="F189" s="12" t="n">
        <f aca="false">COUNTIFS('سجل الأكشنات'!$B$2:$B$539,$B189,'سجل الأكشنات'!$D$2:$D$539,$C189)</f>
        <v>0</v>
      </c>
      <c r="G189" s="12" t="n">
        <f aca="false">COUNTIFS('سجل الأكشنات'!$B$2:$B$539,$B189,'سجل الأكشنات'!$D$2:$D$539,$C189,'سجل الأكشنات'!$H$2:$H$539,"تفصيلي")</f>
        <v>0</v>
      </c>
      <c r="H189" s="12" t="n">
        <f aca="false">F189-G189</f>
        <v>0</v>
      </c>
      <c r="I189" s="12" t="str">
        <f aca="false">IF($B189&gt;"2026-08-29","لا توجد بيانات بعد",IF(AND(D189=0,F189=0),"بدون نشاط","نشِط"))</f>
        <v>بدون نشاط</v>
      </c>
    </row>
    <row r="190" customFormat="false" ht="15" hidden="false" customHeight="false" outlineLevel="0" collapsed="false">
      <c r="A190" s="12" t="s">
        <v>53</v>
      </c>
      <c r="B190" s="12" t="s">
        <v>79</v>
      </c>
      <c r="C190" s="13" t="s">
        <v>22</v>
      </c>
      <c r="D190" s="12" t="n">
        <f aca="false">COUNTIFS('تفاصيل الفرص'!$B$2:$B$282,$B190,'تفاصيل الفرص'!$D$2:$D$282,$C190)</f>
        <v>0</v>
      </c>
      <c r="E190" s="12" t="n">
        <f aca="false">COUNTIFS('تفاصيل الفرص'!$B$2:$B$282,$B190,'تفاصيل الفرص'!$D$2:$D$282,$C190,'تفاصيل الفرص'!$X$2:$X$282,0)</f>
        <v>0</v>
      </c>
      <c r="F190" s="12" t="n">
        <f aca="false">COUNTIFS('سجل الأكشنات'!$B$2:$B$539,$B190,'سجل الأكشنات'!$D$2:$D$539,$C190)</f>
        <v>0</v>
      </c>
      <c r="G190" s="12" t="n">
        <f aca="false">COUNTIFS('سجل الأكشنات'!$B$2:$B$539,$B190,'سجل الأكشنات'!$D$2:$D$539,$C190,'سجل الأكشنات'!$H$2:$H$539,"تفصيلي")</f>
        <v>0</v>
      </c>
      <c r="H190" s="12" t="n">
        <f aca="false">F190-G190</f>
        <v>0</v>
      </c>
      <c r="I190" s="12" t="str">
        <f aca="false">IF($B190&gt;"2026-08-29","لا توجد بيانات بعد",IF(AND(D190=0,F190=0),"بدون نشاط","نشِط"))</f>
        <v>بدون نشاط</v>
      </c>
    </row>
    <row r="191" customFormat="false" ht="15" hidden="false" customHeight="false" outlineLevel="0" collapsed="false">
      <c r="A191" s="12" t="s">
        <v>53</v>
      </c>
      <c r="B191" s="12" t="s">
        <v>79</v>
      </c>
      <c r="C191" s="13" t="s">
        <v>24</v>
      </c>
      <c r="D191" s="12" t="n">
        <f aca="false">COUNTIFS('تفاصيل الفرص'!$B$2:$B$282,$B191,'تفاصيل الفرص'!$D$2:$D$282,$C191)</f>
        <v>2</v>
      </c>
      <c r="E191" s="12" t="n">
        <f aca="false">COUNTIFS('تفاصيل الفرص'!$B$2:$B$282,$B191,'تفاصيل الفرص'!$D$2:$D$282,$C191,'تفاصيل الفرص'!$X$2:$X$282,0)</f>
        <v>0</v>
      </c>
      <c r="F191" s="12" t="n">
        <f aca="false">COUNTIFS('سجل الأكشنات'!$B$2:$B$539,$B191,'سجل الأكشنات'!$D$2:$D$539,$C191)</f>
        <v>3</v>
      </c>
      <c r="G191" s="12" t="n">
        <f aca="false">COUNTIFS('سجل الأكشنات'!$B$2:$B$539,$B191,'سجل الأكشنات'!$D$2:$D$539,$C191,'سجل الأكشنات'!$H$2:$H$539,"تفصيلي")</f>
        <v>2</v>
      </c>
      <c r="H191" s="12" t="n">
        <f aca="false">F191-G191</f>
        <v>1</v>
      </c>
      <c r="I191" s="12" t="str">
        <f aca="false">IF($B191&gt;"2026-08-29","لا توجد بيانات بعد",IF(AND(D191=0,F191=0),"بدون نشاط","نشِط"))</f>
        <v>نشِط</v>
      </c>
    </row>
    <row r="192" customFormat="false" ht="15" hidden="false" customHeight="false" outlineLevel="0" collapsed="false">
      <c r="A192" s="12" t="s">
        <v>53</v>
      </c>
      <c r="B192" s="12" t="s">
        <v>79</v>
      </c>
      <c r="C192" s="13" t="s">
        <v>26</v>
      </c>
      <c r="D192" s="12" t="n">
        <f aca="false">COUNTIFS('تفاصيل الفرص'!$B$2:$B$282,$B192,'تفاصيل الفرص'!$D$2:$D$282,$C192)</f>
        <v>0</v>
      </c>
      <c r="E192" s="12" t="n">
        <f aca="false">COUNTIFS('تفاصيل الفرص'!$B$2:$B$282,$B192,'تفاصيل الفرص'!$D$2:$D$282,$C192,'تفاصيل الفرص'!$X$2:$X$282,0)</f>
        <v>0</v>
      </c>
      <c r="F192" s="12" t="n">
        <f aca="false">COUNTIFS('سجل الأكشنات'!$B$2:$B$539,$B192,'سجل الأكشنات'!$D$2:$D$539,$C192)</f>
        <v>0</v>
      </c>
      <c r="G192" s="12" t="n">
        <f aca="false">COUNTIFS('سجل الأكشنات'!$B$2:$B$539,$B192,'سجل الأكشنات'!$D$2:$D$539,$C192,'سجل الأكشنات'!$H$2:$H$539,"تفصيلي")</f>
        <v>0</v>
      </c>
      <c r="H192" s="12" t="n">
        <f aca="false">F192-G192</f>
        <v>0</v>
      </c>
      <c r="I192" s="12" t="str">
        <f aca="false">IF($B192&gt;"2026-08-29","لا توجد بيانات بعد",IF(AND(D192=0,F192=0),"بدون نشاط","نشِط"))</f>
        <v>بدون نشاط</v>
      </c>
    </row>
    <row r="193" customFormat="false" ht="15" hidden="false" customHeight="false" outlineLevel="0" collapsed="false">
      <c r="A193" s="12" t="s">
        <v>53</v>
      </c>
      <c r="B193" s="12" t="s">
        <v>79</v>
      </c>
      <c r="C193" s="13" t="s">
        <v>28</v>
      </c>
      <c r="D193" s="12" t="n">
        <f aca="false">COUNTIFS('تفاصيل الفرص'!$B$2:$B$282,$B193,'تفاصيل الفرص'!$D$2:$D$282,$C193)</f>
        <v>5</v>
      </c>
      <c r="E193" s="12" t="n">
        <f aca="false">COUNTIFS('تفاصيل الفرص'!$B$2:$B$282,$B193,'تفاصيل الفرص'!$D$2:$D$282,$C193,'تفاصيل الفرص'!$X$2:$X$282,0)</f>
        <v>0</v>
      </c>
      <c r="F193" s="12" t="n">
        <f aca="false">COUNTIFS('سجل الأكشنات'!$B$2:$B$539,$B193,'سجل الأكشنات'!$D$2:$D$539,$C193)</f>
        <v>5</v>
      </c>
      <c r="G193" s="12" t="n">
        <f aca="false">COUNTIFS('سجل الأكشنات'!$B$2:$B$539,$B193,'سجل الأكشنات'!$D$2:$D$539,$C193,'سجل الأكشنات'!$H$2:$H$539,"تفصيلي")</f>
        <v>5</v>
      </c>
      <c r="H193" s="12" t="n">
        <f aca="false">F193-G193</f>
        <v>0</v>
      </c>
      <c r="I193" s="12" t="str">
        <f aca="false">IF($B193&gt;"2026-08-29","لا توجد بيانات بعد",IF(AND(D193=0,F193=0),"بدون نشاط","نشِط"))</f>
        <v>نشِط</v>
      </c>
    </row>
    <row r="194" customFormat="false" ht="15" hidden="false" customHeight="false" outlineLevel="0" collapsed="false">
      <c r="A194" s="12" t="s">
        <v>53</v>
      </c>
      <c r="B194" s="12" t="s">
        <v>79</v>
      </c>
      <c r="C194" s="13" t="s">
        <v>30</v>
      </c>
      <c r="D194" s="12" t="n">
        <f aca="false">COUNTIFS('تفاصيل الفرص'!$B$2:$B$282,$B194,'تفاصيل الفرص'!$D$2:$D$282,$C194)</f>
        <v>5</v>
      </c>
      <c r="E194" s="12" t="n">
        <f aca="false">COUNTIFS('تفاصيل الفرص'!$B$2:$B$282,$B194,'تفاصيل الفرص'!$D$2:$D$282,$C194,'تفاصيل الفرص'!$X$2:$X$282,0)</f>
        <v>0</v>
      </c>
      <c r="F194" s="12" t="n">
        <f aca="false">COUNTIFS('سجل الأكشنات'!$B$2:$B$539,$B194,'سجل الأكشنات'!$D$2:$D$539,$C194)</f>
        <v>7</v>
      </c>
      <c r="G194" s="12" t="n">
        <f aca="false">COUNTIFS('سجل الأكشنات'!$B$2:$B$539,$B194,'سجل الأكشنات'!$D$2:$D$539,$C194,'سجل الأكشنات'!$H$2:$H$539,"تفصيلي")</f>
        <v>6</v>
      </c>
      <c r="H194" s="12" t="n">
        <f aca="false">F194-G194</f>
        <v>1</v>
      </c>
      <c r="I194" s="12" t="str">
        <f aca="false">IF($B194&gt;"2026-08-29","لا توجد بيانات بعد",IF(AND(D194=0,F194=0),"بدون نشاط","نشِط"))</f>
        <v>نشِط</v>
      </c>
    </row>
    <row r="195" customFormat="false" ht="15" hidden="false" customHeight="false" outlineLevel="0" collapsed="false">
      <c r="A195" s="12" t="s">
        <v>53</v>
      </c>
      <c r="B195" s="12" t="s">
        <v>79</v>
      </c>
      <c r="C195" s="13" t="s">
        <v>32</v>
      </c>
      <c r="D195" s="12" t="n">
        <f aca="false">COUNTIFS('تفاصيل الفرص'!$B$2:$B$282,$B195,'تفاصيل الفرص'!$D$2:$D$282,$C195)</f>
        <v>3</v>
      </c>
      <c r="E195" s="12" t="n">
        <f aca="false">COUNTIFS('تفاصيل الفرص'!$B$2:$B$282,$B195,'تفاصيل الفرص'!$D$2:$D$282,$C195,'تفاصيل الفرص'!$X$2:$X$282,0)</f>
        <v>0</v>
      </c>
      <c r="F195" s="12" t="n">
        <f aca="false">COUNTIFS('سجل الأكشنات'!$B$2:$B$539,$B195,'سجل الأكشنات'!$D$2:$D$539,$C195)</f>
        <v>5</v>
      </c>
      <c r="G195" s="12" t="n">
        <f aca="false">COUNTIFS('سجل الأكشنات'!$B$2:$B$539,$B195,'سجل الأكشنات'!$D$2:$D$539,$C195,'سجل الأكشنات'!$H$2:$H$539,"تفصيلي")</f>
        <v>5</v>
      </c>
      <c r="H195" s="12" t="n">
        <f aca="false">F195-G195</f>
        <v>0</v>
      </c>
      <c r="I195" s="12" t="str">
        <f aca="false">IF($B195&gt;"2026-08-29","لا توجد بيانات بعد",IF(AND(D195=0,F195=0),"بدون نشاط","نشِط"))</f>
        <v>نشِط</v>
      </c>
    </row>
    <row r="196" customFormat="false" ht="15" hidden="false" customHeight="false" outlineLevel="0" collapsed="false">
      <c r="A196" s="5" t="s">
        <v>55</v>
      </c>
      <c r="B196" s="5" t="s">
        <v>80</v>
      </c>
      <c r="C196" s="4" t="s">
        <v>18</v>
      </c>
      <c r="D196" s="5" t="n">
        <f aca="false">COUNTIFS('تفاصيل الفرص'!$B$2:$B$282,$B196,'تفاصيل الفرص'!$D$2:$D$282,$C196)</f>
        <v>1</v>
      </c>
      <c r="E196" s="5" t="n">
        <f aca="false">COUNTIFS('تفاصيل الفرص'!$B$2:$B$282,$B196,'تفاصيل الفرص'!$D$2:$D$282,$C196,'تفاصيل الفرص'!$X$2:$X$282,0)</f>
        <v>0</v>
      </c>
      <c r="F196" s="5" t="n">
        <f aca="false">COUNTIFS('سجل الأكشنات'!$B$2:$B$539,$B196,'سجل الأكشنات'!$D$2:$D$539,$C196)</f>
        <v>4</v>
      </c>
      <c r="G196" s="5" t="n">
        <f aca="false">COUNTIFS('سجل الأكشنات'!$B$2:$B$539,$B196,'سجل الأكشنات'!$D$2:$D$539,$C196,'سجل الأكشنات'!$H$2:$H$539,"تفصيلي")</f>
        <v>4</v>
      </c>
      <c r="H196" s="5" t="n">
        <f aca="false">F196-G196</f>
        <v>0</v>
      </c>
      <c r="I196" s="5" t="str">
        <f aca="false">IF($B196&gt;"2026-08-29","لا توجد بيانات بعد",IF(AND(D196=0,F196=0),"بدون نشاط","نشِط"))</f>
        <v>نشِط</v>
      </c>
    </row>
    <row r="197" customFormat="false" ht="15" hidden="false" customHeight="false" outlineLevel="0" collapsed="false">
      <c r="A197" s="5" t="s">
        <v>55</v>
      </c>
      <c r="B197" s="5" t="s">
        <v>80</v>
      </c>
      <c r="C197" s="4" t="s">
        <v>20</v>
      </c>
      <c r="D197" s="5" t="n">
        <f aca="false">COUNTIFS('تفاصيل الفرص'!$B$2:$B$282,$B197,'تفاصيل الفرص'!$D$2:$D$282,$C197)</f>
        <v>0</v>
      </c>
      <c r="E197" s="5" t="n">
        <f aca="false">COUNTIFS('تفاصيل الفرص'!$B$2:$B$282,$B197,'تفاصيل الفرص'!$D$2:$D$282,$C197,'تفاصيل الفرص'!$X$2:$X$282,0)</f>
        <v>0</v>
      </c>
      <c r="F197" s="5" t="n">
        <f aca="false">COUNTIFS('سجل الأكشنات'!$B$2:$B$539,$B197,'سجل الأكشنات'!$D$2:$D$539,$C197)</f>
        <v>0</v>
      </c>
      <c r="G197" s="5" t="n">
        <f aca="false">COUNTIFS('سجل الأكشنات'!$B$2:$B$539,$B197,'سجل الأكشنات'!$D$2:$D$539,$C197,'سجل الأكشنات'!$H$2:$H$539,"تفصيلي")</f>
        <v>0</v>
      </c>
      <c r="H197" s="5" t="n">
        <f aca="false">F197-G197</f>
        <v>0</v>
      </c>
      <c r="I197" s="5" t="str">
        <f aca="false">IF($B197&gt;"2026-08-29","لا توجد بيانات بعد",IF(AND(D197=0,F197=0),"بدون نشاط","نشِط"))</f>
        <v>بدون نشاط</v>
      </c>
    </row>
    <row r="198" customFormat="false" ht="15" hidden="false" customHeight="false" outlineLevel="0" collapsed="false">
      <c r="A198" s="5" t="s">
        <v>55</v>
      </c>
      <c r="B198" s="5" t="s">
        <v>80</v>
      </c>
      <c r="C198" s="4" t="s">
        <v>22</v>
      </c>
      <c r="D198" s="5" t="n">
        <f aca="false">COUNTIFS('تفاصيل الفرص'!$B$2:$B$282,$B198,'تفاصيل الفرص'!$D$2:$D$282,$C198)</f>
        <v>3</v>
      </c>
      <c r="E198" s="5" t="n">
        <f aca="false">COUNTIFS('تفاصيل الفرص'!$B$2:$B$282,$B198,'تفاصيل الفرص'!$D$2:$D$282,$C198,'تفاصيل الفرص'!$X$2:$X$282,0)</f>
        <v>0</v>
      </c>
      <c r="F198" s="5" t="n">
        <f aca="false">COUNTIFS('سجل الأكشنات'!$B$2:$B$539,$B198,'سجل الأكشنات'!$D$2:$D$539,$C198)</f>
        <v>4</v>
      </c>
      <c r="G198" s="5" t="n">
        <f aca="false">COUNTIFS('سجل الأكشنات'!$B$2:$B$539,$B198,'سجل الأكشنات'!$D$2:$D$539,$C198,'سجل الأكشنات'!$H$2:$H$539,"تفصيلي")</f>
        <v>2</v>
      </c>
      <c r="H198" s="5" t="n">
        <f aca="false">F198-G198</f>
        <v>2</v>
      </c>
      <c r="I198" s="5" t="str">
        <f aca="false">IF($B198&gt;"2026-08-29","لا توجد بيانات بعد",IF(AND(D198=0,F198=0),"بدون نشاط","نشِط"))</f>
        <v>نشِط</v>
      </c>
    </row>
    <row r="199" customFormat="false" ht="15" hidden="false" customHeight="false" outlineLevel="0" collapsed="false">
      <c r="A199" s="5" t="s">
        <v>55</v>
      </c>
      <c r="B199" s="5" t="s">
        <v>80</v>
      </c>
      <c r="C199" s="4" t="s">
        <v>24</v>
      </c>
      <c r="D199" s="5" t="n">
        <f aca="false">COUNTIFS('تفاصيل الفرص'!$B$2:$B$282,$B199,'تفاصيل الفرص'!$D$2:$D$282,$C199)</f>
        <v>0</v>
      </c>
      <c r="E199" s="5" t="n">
        <f aca="false">COUNTIFS('تفاصيل الفرص'!$B$2:$B$282,$B199,'تفاصيل الفرص'!$D$2:$D$282,$C199,'تفاصيل الفرص'!$X$2:$X$282,0)</f>
        <v>0</v>
      </c>
      <c r="F199" s="5" t="n">
        <f aca="false">COUNTIFS('سجل الأكشنات'!$B$2:$B$539,$B199,'سجل الأكشنات'!$D$2:$D$539,$C199)</f>
        <v>4</v>
      </c>
      <c r="G199" s="5" t="n">
        <f aca="false">COUNTIFS('سجل الأكشنات'!$B$2:$B$539,$B199,'سجل الأكشنات'!$D$2:$D$539,$C199,'سجل الأكشنات'!$H$2:$H$539,"تفصيلي")</f>
        <v>4</v>
      </c>
      <c r="H199" s="5" t="n">
        <f aca="false">F199-G199</f>
        <v>0</v>
      </c>
      <c r="I199" s="5" t="str">
        <f aca="false">IF($B199&gt;"2026-08-29","لا توجد بيانات بعد",IF(AND(D199=0,F199=0),"بدون نشاط","نشِط"))</f>
        <v>نشِط</v>
      </c>
    </row>
    <row r="200" customFormat="false" ht="15" hidden="false" customHeight="false" outlineLevel="0" collapsed="false">
      <c r="A200" s="5" t="s">
        <v>55</v>
      </c>
      <c r="B200" s="5" t="s">
        <v>80</v>
      </c>
      <c r="C200" s="4" t="s">
        <v>26</v>
      </c>
      <c r="D200" s="5" t="n">
        <f aca="false">COUNTIFS('تفاصيل الفرص'!$B$2:$B$282,$B200,'تفاصيل الفرص'!$D$2:$D$282,$C200)</f>
        <v>6</v>
      </c>
      <c r="E200" s="5" t="n">
        <f aca="false">COUNTIFS('تفاصيل الفرص'!$B$2:$B$282,$B200,'تفاصيل الفرص'!$D$2:$D$282,$C200,'تفاصيل الفرص'!$X$2:$X$282,0)</f>
        <v>1</v>
      </c>
      <c r="F200" s="5" t="n">
        <f aca="false">COUNTIFS('سجل الأكشنات'!$B$2:$B$539,$B200,'سجل الأكشنات'!$D$2:$D$539,$C200)</f>
        <v>9</v>
      </c>
      <c r="G200" s="5" t="n">
        <f aca="false">COUNTIFS('سجل الأكشنات'!$B$2:$B$539,$B200,'سجل الأكشنات'!$D$2:$D$539,$C200,'سجل الأكشنات'!$H$2:$H$539,"تفصيلي")</f>
        <v>6</v>
      </c>
      <c r="H200" s="5" t="n">
        <f aca="false">F200-G200</f>
        <v>3</v>
      </c>
      <c r="I200" s="5" t="str">
        <f aca="false">IF($B200&gt;"2026-08-29","لا توجد بيانات بعد",IF(AND(D200=0,F200=0),"بدون نشاط","نشِط"))</f>
        <v>نشِط</v>
      </c>
    </row>
    <row r="201" customFormat="false" ht="15" hidden="false" customHeight="false" outlineLevel="0" collapsed="false">
      <c r="A201" s="5" t="s">
        <v>55</v>
      </c>
      <c r="B201" s="5" t="s">
        <v>80</v>
      </c>
      <c r="C201" s="4" t="s">
        <v>28</v>
      </c>
      <c r="D201" s="5" t="n">
        <f aca="false">COUNTIFS('تفاصيل الفرص'!$B$2:$B$282,$B201,'تفاصيل الفرص'!$D$2:$D$282,$C201)</f>
        <v>5</v>
      </c>
      <c r="E201" s="5" t="n">
        <f aca="false">COUNTIFS('تفاصيل الفرص'!$B$2:$B$282,$B201,'تفاصيل الفرص'!$D$2:$D$282,$C201,'تفاصيل الفرص'!$X$2:$X$282,0)</f>
        <v>0</v>
      </c>
      <c r="F201" s="5" t="n">
        <f aca="false">COUNTIFS('سجل الأكشنات'!$B$2:$B$539,$B201,'سجل الأكشنات'!$D$2:$D$539,$C201)</f>
        <v>5</v>
      </c>
      <c r="G201" s="5" t="n">
        <f aca="false">COUNTIFS('سجل الأكشنات'!$B$2:$B$539,$B201,'سجل الأكشنات'!$D$2:$D$539,$C201,'سجل الأكشنات'!$H$2:$H$539,"تفصيلي")</f>
        <v>5</v>
      </c>
      <c r="H201" s="5" t="n">
        <f aca="false">F201-G201</f>
        <v>0</v>
      </c>
      <c r="I201" s="5" t="str">
        <f aca="false">IF($B201&gt;"2026-08-29","لا توجد بيانات بعد",IF(AND(D201=0,F201=0),"بدون نشاط","نشِط"))</f>
        <v>نشِط</v>
      </c>
    </row>
    <row r="202" customFormat="false" ht="15" hidden="false" customHeight="false" outlineLevel="0" collapsed="false">
      <c r="A202" s="5" t="s">
        <v>55</v>
      </c>
      <c r="B202" s="5" t="s">
        <v>80</v>
      </c>
      <c r="C202" s="4" t="s">
        <v>30</v>
      </c>
      <c r="D202" s="5" t="n">
        <f aca="false">COUNTIFS('تفاصيل الفرص'!$B$2:$B$282,$B202,'تفاصيل الفرص'!$D$2:$D$282,$C202)</f>
        <v>2</v>
      </c>
      <c r="E202" s="5" t="n">
        <f aca="false">COUNTIFS('تفاصيل الفرص'!$B$2:$B$282,$B202,'تفاصيل الفرص'!$D$2:$D$282,$C202,'تفاصيل الفرص'!$X$2:$X$282,0)</f>
        <v>0</v>
      </c>
      <c r="F202" s="5" t="n">
        <f aca="false">COUNTIFS('سجل الأكشنات'!$B$2:$B$539,$B202,'سجل الأكشنات'!$D$2:$D$539,$C202)</f>
        <v>4</v>
      </c>
      <c r="G202" s="5" t="n">
        <f aca="false">COUNTIFS('سجل الأكشنات'!$B$2:$B$539,$B202,'سجل الأكشنات'!$D$2:$D$539,$C202,'سجل الأكشنات'!$H$2:$H$539,"تفصيلي")</f>
        <v>3</v>
      </c>
      <c r="H202" s="5" t="n">
        <f aca="false">F202-G202</f>
        <v>1</v>
      </c>
      <c r="I202" s="5" t="str">
        <f aca="false">IF($B202&gt;"2026-08-29","لا توجد بيانات بعد",IF(AND(D202=0,F202=0),"بدون نشاط","نشِط"))</f>
        <v>نشِط</v>
      </c>
    </row>
    <row r="203" customFormat="false" ht="15" hidden="false" customHeight="false" outlineLevel="0" collapsed="false">
      <c r="A203" s="5" t="s">
        <v>55</v>
      </c>
      <c r="B203" s="5" t="s">
        <v>80</v>
      </c>
      <c r="C203" s="4" t="s">
        <v>32</v>
      </c>
      <c r="D203" s="5" t="n">
        <f aca="false">COUNTIFS('تفاصيل الفرص'!$B$2:$B$282,$B203,'تفاصيل الفرص'!$D$2:$D$282,$C203)</f>
        <v>1</v>
      </c>
      <c r="E203" s="5" t="n">
        <f aca="false">COUNTIFS('تفاصيل الفرص'!$B$2:$B$282,$B203,'تفاصيل الفرص'!$D$2:$D$282,$C203,'تفاصيل الفرص'!$X$2:$X$282,0)</f>
        <v>0</v>
      </c>
      <c r="F203" s="5" t="n">
        <f aca="false">COUNTIFS('سجل الأكشنات'!$B$2:$B$539,$B203,'سجل الأكشنات'!$D$2:$D$539,$C203)</f>
        <v>9</v>
      </c>
      <c r="G203" s="5" t="n">
        <f aca="false">COUNTIFS('سجل الأكشنات'!$B$2:$B$539,$B203,'سجل الأكشنات'!$D$2:$D$539,$C203,'سجل الأكشنات'!$H$2:$H$539,"تفصيلي")</f>
        <v>9</v>
      </c>
      <c r="H203" s="5" t="n">
        <f aca="false">F203-G203</f>
        <v>0</v>
      </c>
      <c r="I203" s="5" t="str">
        <f aca="false">IF($B203&gt;"2026-08-29","لا توجد بيانات بعد",IF(AND(D203=0,F203=0),"بدون نشاط","نشِط"))</f>
        <v>نشِط</v>
      </c>
    </row>
    <row r="204" customFormat="false" ht="15" hidden="false" customHeight="false" outlineLevel="0" collapsed="false">
      <c r="A204" s="12" t="s">
        <v>57</v>
      </c>
      <c r="B204" s="12" t="s">
        <v>81</v>
      </c>
      <c r="C204" s="13" t="s">
        <v>18</v>
      </c>
      <c r="D204" s="12" t="n">
        <f aca="false">COUNTIFS('تفاصيل الفرص'!$B$2:$B$282,$B204,'تفاصيل الفرص'!$D$2:$D$282,$C204)</f>
        <v>0</v>
      </c>
      <c r="E204" s="12" t="n">
        <f aca="false">COUNTIFS('تفاصيل الفرص'!$B$2:$B$282,$B204,'تفاصيل الفرص'!$D$2:$D$282,$C204,'تفاصيل الفرص'!$X$2:$X$282,0)</f>
        <v>0</v>
      </c>
      <c r="F204" s="12" t="n">
        <f aca="false">COUNTIFS('سجل الأكشنات'!$B$2:$B$539,$B204,'سجل الأكشنات'!$D$2:$D$539,$C204)</f>
        <v>0</v>
      </c>
      <c r="G204" s="12" t="n">
        <f aca="false">COUNTIFS('سجل الأكشنات'!$B$2:$B$539,$B204,'سجل الأكشنات'!$D$2:$D$539,$C204,'سجل الأكشنات'!$H$2:$H$539,"تفصيلي")</f>
        <v>0</v>
      </c>
      <c r="H204" s="12" t="n">
        <f aca="false">F204-G204</f>
        <v>0</v>
      </c>
      <c r="I204" s="12" t="str">
        <f aca="false">IF($B204&gt;"2026-08-29","لا توجد بيانات بعد",IF(AND(D204=0,F204=0),"بدون نشاط","نشِط"))</f>
        <v>بدون نشاط</v>
      </c>
    </row>
    <row r="205" customFormat="false" ht="15" hidden="false" customHeight="false" outlineLevel="0" collapsed="false">
      <c r="A205" s="12" t="s">
        <v>57</v>
      </c>
      <c r="B205" s="12" t="s">
        <v>81</v>
      </c>
      <c r="C205" s="13" t="s">
        <v>20</v>
      </c>
      <c r="D205" s="12" t="n">
        <f aca="false">COUNTIFS('تفاصيل الفرص'!$B$2:$B$282,$B205,'تفاصيل الفرص'!$D$2:$D$282,$C205)</f>
        <v>0</v>
      </c>
      <c r="E205" s="12" t="n">
        <f aca="false">COUNTIFS('تفاصيل الفرص'!$B$2:$B$282,$B205,'تفاصيل الفرص'!$D$2:$D$282,$C205,'تفاصيل الفرص'!$X$2:$X$282,0)</f>
        <v>0</v>
      </c>
      <c r="F205" s="12" t="n">
        <f aca="false">COUNTIFS('سجل الأكشنات'!$B$2:$B$539,$B205,'سجل الأكشنات'!$D$2:$D$539,$C205)</f>
        <v>0</v>
      </c>
      <c r="G205" s="12" t="n">
        <f aca="false">COUNTIFS('سجل الأكشنات'!$B$2:$B$539,$B205,'سجل الأكشنات'!$D$2:$D$539,$C205,'سجل الأكشنات'!$H$2:$H$539,"تفصيلي")</f>
        <v>0</v>
      </c>
      <c r="H205" s="12" t="n">
        <f aca="false">F205-G205</f>
        <v>0</v>
      </c>
      <c r="I205" s="12" t="str">
        <f aca="false">IF($B205&gt;"2026-08-29","لا توجد بيانات بعد",IF(AND(D205=0,F205=0),"بدون نشاط","نشِط"))</f>
        <v>بدون نشاط</v>
      </c>
    </row>
    <row r="206" customFormat="false" ht="15" hidden="false" customHeight="false" outlineLevel="0" collapsed="false">
      <c r="A206" s="12" t="s">
        <v>57</v>
      </c>
      <c r="B206" s="12" t="s">
        <v>81</v>
      </c>
      <c r="C206" s="13" t="s">
        <v>22</v>
      </c>
      <c r="D206" s="12" t="n">
        <f aca="false">COUNTIFS('تفاصيل الفرص'!$B$2:$B$282,$B206,'تفاصيل الفرص'!$D$2:$D$282,$C206)</f>
        <v>1</v>
      </c>
      <c r="E206" s="12" t="n">
        <f aca="false">COUNTIFS('تفاصيل الفرص'!$B$2:$B$282,$B206,'تفاصيل الفرص'!$D$2:$D$282,$C206,'تفاصيل الفرص'!$X$2:$X$282,0)</f>
        <v>0</v>
      </c>
      <c r="F206" s="12" t="n">
        <f aca="false">COUNTIFS('سجل الأكشنات'!$B$2:$B$539,$B206,'سجل الأكشنات'!$D$2:$D$539,$C206)</f>
        <v>1</v>
      </c>
      <c r="G206" s="12" t="n">
        <f aca="false">COUNTIFS('سجل الأكشنات'!$B$2:$B$539,$B206,'سجل الأكشنات'!$D$2:$D$539,$C206,'سجل الأكشنات'!$H$2:$H$539,"تفصيلي")</f>
        <v>0</v>
      </c>
      <c r="H206" s="12" t="n">
        <f aca="false">F206-G206</f>
        <v>1</v>
      </c>
      <c r="I206" s="12" t="str">
        <f aca="false">IF($B206&gt;"2026-08-29","لا توجد بيانات بعد",IF(AND(D206=0,F206=0),"بدون نشاط","نشِط"))</f>
        <v>نشِط</v>
      </c>
    </row>
    <row r="207" customFormat="false" ht="15" hidden="false" customHeight="false" outlineLevel="0" collapsed="false">
      <c r="A207" s="12" t="s">
        <v>57</v>
      </c>
      <c r="B207" s="12" t="s">
        <v>81</v>
      </c>
      <c r="C207" s="13" t="s">
        <v>24</v>
      </c>
      <c r="D207" s="12" t="n">
        <f aca="false">COUNTIFS('تفاصيل الفرص'!$B$2:$B$282,$B207,'تفاصيل الفرص'!$D$2:$D$282,$C207)</f>
        <v>0</v>
      </c>
      <c r="E207" s="12" t="n">
        <f aca="false">COUNTIFS('تفاصيل الفرص'!$B$2:$B$282,$B207,'تفاصيل الفرص'!$D$2:$D$282,$C207,'تفاصيل الفرص'!$X$2:$X$282,0)</f>
        <v>0</v>
      </c>
      <c r="F207" s="12" t="n">
        <f aca="false">COUNTIFS('سجل الأكشنات'!$B$2:$B$539,$B207,'سجل الأكشنات'!$D$2:$D$539,$C207)</f>
        <v>3</v>
      </c>
      <c r="G207" s="12" t="n">
        <f aca="false">COUNTIFS('سجل الأكشنات'!$B$2:$B$539,$B207,'سجل الأكشنات'!$D$2:$D$539,$C207,'سجل الأكشنات'!$H$2:$H$539,"تفصيلي")</f>
        <v>3</v>
      </c>
      <c r="H207" s="12" t="n">
        <f aca="false">F207-G207</f>
        <v>0</v>
      </c>
      <c r="I207" s="12" t="str">
        <f aca="false">IF($B207&gt;"2026-08-29","لا توجد بيانات بعد",IF(AND(D207=0,F207=0),"بدون نشاط","نشِط"))</f>
        <v>نشِط</v>
      </c>
    </row>
    <row r="208" customFormat="false" ht="15" hidden="false" customHeight="false" outlineLevel="0" collapsed="false">
      <c r="A208" s="12" t="s">
        <v>57</v>
      </c>
      <c r="B208" s="12" t="s">
        <v>81</v>
      </c>
      <c r="C208" s="13" t="s">
        <v>26</v>
      </c>
      <c r="D208" s="12" t="n">
        <f aca="false">COUNTIFS('تفاصيل الفرص'!$B$2:$B$282,$B208,'تفاصيل الفرص'!$D$2:$D$282,$C208)</f>
        <v>0</v>
      </c>
      <c r="E208" s="12" t="n">
        <f aca="false">COUNTIFS('تفاصيل الفرص'!$B$2:$B$282,$B208,'تفاصيل الفرص'!$D$2:$D$282,$C208,'تفاصيل الفرص'!$X$2:$X$282,0)</f>
        <v>0</v>
      </c>
      <c r="F208" s="12" t="n">
        <f aca="false">COUNTIFS('سجل الأكشنات'!$B$2:$B$539,$B208,'سجل الأكشنات'!$D$2:$D$539,$C208)</f>
        <v>1</v>
      </c>
      <c r="G208" s="12" t="n">
        <f aca="false">COUNTIFS('سجل الأكشنات'!$B$2:$B$539,$B208,'سجل الأكشنات'!$D$2:$D$539,$C208,'سجل الأكشنات'!$H$2:$H$539,"تفصيلي")</f>
        <v>1</v>
      </c>
      <c r="H208" s="12" t="n">
        <f aca="false">F208-G208</f>
        <v>0</v>
      </c>
      <c r="I208" s="12" t="str">
        <f aca="false">IF($B208&gt;"2026-08-29","لا توجد بيانات بعد",IF(AND(D208=0,F208=0),"بدون نشاط","نشِط"))</f>
        <v>نشِط</v>
      </c>
    </row>
    <row r="209" customFormat="false" ht="15" hidden="false" customHeight="false" outlineLevel="0" collapsed="false">
      <c r="A209" s="12" t="s">
        <v>57</v>
      </c>
      <c r="B209" s="12" t="s">
        <v>81</v>
      </c>
      <c r="C209" s="13" t="s">
        <v>28</v>
      </c>
      <c r="D209" s="12" t="n">
        <f aca="false">COUNTIFS('تفاصيل الفرص'!$B$2:$B$282,$B209,'تفاصيل الفرص'!$D$2:$D$282,$C209)</f>
        <v>6</v>
      </c>
      <c r="E209" s="12" t="n">
        <f aca="false">COUNTIFS('تفاصيل الفرص'!$B$2:$B$282,$B209,'تفاصيل الفرص'!$D$2:$D$282,$C209,'تفاصيل الفرص'!$X$2:$X$282,0)</f>
        <v>0</v>
      </c>
      <c r="F209" s="12" t="n">
        <f aca="false">COUNTIFS('سجل الأكشنات'!$B$2:$B$539,$B209,'سجل الأكشنات'!$D$2:$D$539,$C209)</f>
        <v>6</v>
      </c>
      <c r="G209" s="12" t="n">
        <f aca="false">COUNTIFS('سجل الأكشنات'!$B$2:$B$539,$B209,'سجل الأكشنات'!$D$2:$D$539,$C209,'سجل الأكشنات'!$H$2:$H$539,"تفصيلي")</f>
        <v>6</v>
      </c>
      <c r="H209" s="12" t="n">
        <f aca="false">F209-G209</f>
        <v>0</v>
      </c>
      <c r="I209" s="12" t="str">
        <f aca="false">IF($B209&gt;"2026-08-29","لا توجد بيانات بعد",IF(AND(D209=0,F209=0),"بدون نشاط","نشِط"))</f>
        <v>نشِط</v>
      </c>
    </row>
    <row r="210" customFormat="false" ht="15" hidden="false" customHeight="false" outlineLevel="0" collapsed="false">
      <c r="A210" s="12" t="s">
        <v>57</v>
      </c>
      <c r="B210" s="12" t="s">
        <v>81</v>
      </c>
      <c r="C210" s="13" t="s">
        <v>30</v>
      </c>
      <c r="D210" s="12" t="n">
        <f aca="false">COUNTIFS('تفاصيل الفرص'!$B$2:$B$282,$B210,'تفاصيل الفرص'!$D$2:$D$282,$C210)</f>
        <v>0</v>
      </c>
      <c r="E210" s="12" t="n">
        <f aca="false">COUNTIFS('تفاصيل الفرص'!$B$2:$B$282,$B210,'تفاصيل الفرص'!$D$2:$D$282,$C210,'تفاصيل الفرص'!$X$2:$X$282,0)</f>
        <v>0</v>
      </c>
      <c r="F210" s="12" t="n">
        <f aca="false">COUNTIFS('سجل الأكشنات'!$B$2:$B$539,$B210,'سجل الأكشنات'!$D$2:$D$539,$C210)</f>
        <v>1</v>
      </c>
      <c r="G210" s="12" t="n">
        <f aca="false">COUNTIFS('سجل الأكشنات'!$B$2:$B$539,$B210,'سجل الأكشنات'!$D$2:$D$539,$C210,'سجل الأكشنات'!$H$2:$H$539,"تفصيلي")</f>
        <v>1</v>
      </c>
      <c r="H210" s="12" t="n">
        <f aca="false">F210-G210</f>
        <v>0</v>
      </c>
      <c r="I210" s="12" t="str">
        <f aca="false">IF($B210&gt;"2026-08-29","لا توجد بيانات بعد",IF(AND(D210=0,F210=0),"بدون نشاط","نشِط"))</f>
        <v>نشِط</v>
      </c>
    </row>
    <row r="211" customFormat="false" ht="15" hidden="false" customHeight="false" outlineLevel="0" collapsed="false">
      <c r="A211" s="12" t="s">
        <v>57</v>
      </c>
      <c r="B211" s="12" t="s">
        <v>81</v>
      </c>
      <c r="C211" s="13" t="s">
        <v>32</v>
      </c>
      <c r="D211" s="12" t="n">
        <f aca="false">COUNTIFS('تفاصيل الفرص'!$B$2:$B$282,$B211,'تفاصيل الفرص'!$D$2:$D$282,$C211)</f>
        <v>2</v>
      </c>
      <c r="E211" s="12" t="n">
        <f aca="false">COUNTIFS('تفاصيل الفرص'!$B$2:$B$282,$B211,'تفاصيل الفرص'!$D$2:$D$282,$C211,'تفاصيل الفرص'!$X$2:$X$282,0)</f>
        <v>0</v>
      </c>
      <c r="F211" s="12" t="n">
        <f aca="false">COUNTIFS('سجل الأكشنات'!$B$2:$B$539,$B211,'سجل الأكشنات'!$D$2:$D$539,$C211)</f>
        <v>4</v>
      </c>
      <c r="G211" s="12" t="n">
        <f aca="false">COUNTIFS('سجل الأكشنات'!$B$2:$B$539,$B211,'سجل الأكشنات'!$D$2:$D$539,$C211,'سجل الأكشنات'!$H$2:$H$539,"تفصيلي")</f>
        <v>4</v>
      </c>
      <c r="H211" s="12" t="n">
        <f aca="false">F211-G211</f>
        <v>0</v>
      </c>
      <c r="I211" s="12" t="str">
        <f aca="false">IF($B211&gt;"2026-08-29","لا توجد بيانات بعد",IF(AND(D211=0,F211=0),"بدون نشاط","نشِط"))</f>
        <v>نشِط</v>
      </c>
    </row>
    <row r="212" customFormat="false" ht="15" hidden="false" customHeight="false" outlineLevel="0" collapsed="false">
      <c r="A212" s="5" t="s">
        <v>59</v>
      </c>
      <c r="B212" s="5" t="s">
        <v>82</v>
      </c>
      <c r="C212" s="4" t="s">
        <v>18</v>
      </c>
      <c r="D212" s="5" t="n">
        <f aca="false">COUNTIFS('تفاصيل الفرص'!$B$2:$B$282,$B212,'تفاصيل الفرص'!$D$2:$D$282,$C212)</f>
        <v>0</v>
      </c>
      <c r="E212" s="5" t="n">
        <f aca="false">COUNTIFS('تفاصيل الفرص'!$B$2:$B$282,$B212,'تفاصيل الفرص'!$D$2:$D$282,$C212,'تفاصيل الفرص'!$X$2:$X$282,0)</f>
        <v>0</v>
      </c>
      <c r="F212" s="5" t="n">
        <f aca="false">COUNTIFS('سجل الأكشنات'!$B$2:$B$539,$B212,'سجل الأكشنات'!$D$2:$D$539,$C212)</f>
        <v>0</v>
      </c>
      <c r="G212" s="5" t="n">
        <f aca="false">COUNTIFS('سجل الأكشنات'!$B$2:$B$539,$B212,'سجل الأكشنات'!$D$2:$D$539,$C212,'سجل الأكشنات'!$H$2:$H$539,"تفصيلي")</f>
        <v>0</v>
      </c>
      <c r="H212" s="5" t="n">
        <f aca="false">F212-G212</f>
        <v>0</v>
      </c>
      <c r="I212" s="5" t="str">
        <f aca="false">IF($B212&gt;"2026-08-29","لا توجد بيانات بعد",IF(AND(D212=0,F212=0),"بدون نشاط","نشِط"))</f>
        <v>بدون نشاط</v>
      </c>
    </row>
    <row r="213" customFormat="false" ht="15" hidden="false" customHeight="false" outlineLevel="0" collapsed="false">
      <c r="A213" s="5" t="s">
        <v>59</v>
      </c>
      <c r="B213" s="5" t="s">
        <v>82</v>
      </c>
      <c r="C213" s="4" t="s">
        <v>20</v>
      </c>
      <c r="D213" s="5" t="n">
        <f aca="false">COUNTIFS('تفاصيل الفرص'!$B$2:$B$282,$B213,'تفاصيل الفرص'!$D$2:$D$282,$C213)</f>
        <v>0</v>
      </c>
      <c r="E213" s="5" t="n">
        <f aca="false">COUNTIFS('تفاصيل الفرص'!$B$2:$B$282,$B213,'تفاصيل الفرص'!$D$2:$D$282,$C213,'تفاصيل الفرص'!$X$2:$X$282,0)</f>
        <v>0</v>
      </c>
      <c r="F213" s="5" t="n">
        <f aca="false">COUNTIFS('سجل الأكشنات'!$B$2:$B$539,$B213,'سجل الأكشنات'!$D$2:$D$539,$C213)</f>
        <v>0</v>
      </c>
      <c r="G213" s="5" t="n">
        <f aca="false">COUNTIFS('سجل الأكشنات'!$B$2:$B$539,$B213,'سجل الأكشنات'!$D$2:$D$539,$C213,'سجل الأكشنات'!$H$2:$H$539,"تفصيلي")</f>
        <v>0</v>
      </c>
      <c r="H213" s="5" t="n">
        <f aca="false">F213-G213</f>
        <v>0</v>
      </c>
      <c r="I213" s="5" t="str">
        <f aca="false">IF($B213&gt;"2026-08-29","لا توجد بيانات بعد",IF(AND(D213=0,F213=0),"بدون نشاط","نشِط"))</f>
        <v>بدون نشاط</v>
      </c>
    </row>
    <row r="214" customFormat="false" ht="15" hidden="false" customHeight="false" outlineLevel="0" collapsed="false">
      <c r="A214" s="5" t="s">
        <v>59</v>
      </c>
      <c r="B214" s="5" t="s">
        <v>82</v>
      </c>
      <c r="C214" s="4" t="s">
        <v>22</v>
      </c>
      <c r="D214" s="5" t="n">
        <f aca="false">COUNTIFS('تفاصيل الفرص'!$B$2:$B$282,$B214,'تفاصيل الفرص'!$D$2:$D$282,$C214)</f>
        <v>2</v>
      </c>
      <c r="E214" s="5" t="n">
        <f aca="false">COUNTIFS('تفاصيل الفرص'!$B$2:$B$282,$B214,'تفاصيل الفرص'!$D$2:$D$282,$C214,'تفاصيل الفرص'!$X$2:$X$282,0)</f>
        <v>0</v>
      </c>
      <c r="F214" s="5" t="n">
        <f aca="false">COUNTIFS('سجل الأكشنات'!$B$2:$B$539,$B214,'سجل الأكشنات'!$D$2:$D$539,$C214)</f>
        <v>2</v>
      </c>
      <c r="G214" s="5" t="n">
        <f aca="false">COUNTIFS('سجل الأكشنات'!$B$2:$B$539,$B214,'سجل الأكشنات'!$D$2:$D$539,$C214,'سجل الأكشنات'!$H$2:$H$539,"تفصيلي")</f>
        <v>2</v>
      </c>
      <c r="H214" s="5" t="n">
        <f aca="false">F214-G214</f>
        <v>0</v>
      </c>
      <c r="I214" s="5" t="str">
        <f aca="false">IF($B214&gt;"2026-08-29","لا توجد بيانات بعد",IF(AND(D214=0,F214=0),"بدون نشاط","نشِط"))</f>
        <v>نشِط</v>
      </c>
    </row>
    <row r="215" customFormat="false" ht="15" hidden="false" customHeight="false" outlineLevel="0" collapsed="false">
      <c r="A215" s="5" t="s">
        <v>59</v>
      </c>
      <c r="B215" s="5" t="s">
        <v>82</v>
      </c>
      <c r="C215" s="4" t="s">
        <v>24</v>
      </c>
      <c r="D215" s="5" t="n">
        <f aca="false">COUNTIFS('تفاصيل الفرص'!$B$2:$B$282,$B215,'تفاصيل الفرص'!$D$2:$D$282,$C215)</f>
        <v>0</v>
      </c>
      <c r="E215" s="5" t="n">
        <f aca="false">COUNTIFS('تفاصيل الفرص'!$B$2:$B$282,$B215,'تفاصيل الفرص'!$D$2:$D$282,$C215,'تفاصيل الفرص'!$X$2:$X$282,0)</f>
        <v>0</v>
      </c>
      <c r="F215" s="5" t="n">
        <f aca="false">COUNTIFS('سجل الأكشنات'!$B$2:$B$539,$B215,'سجل الأكشنات'!$D$2:$D$539,$C215)</f>
        <v>3</v>
      </c>
      <c r="G215" s="5" t="n">
        <f aca="false">COUNTIFS('سجل الأكشنات'!$B$2:$B$539,$B215,'سجل الأكشنات'!$D$2:$D$539,$C215,'سجل الأكشنات'!$H$2:$H$539,"تفصيلي")</f>
        <v>2</v>
      </c>
      <c r="H215" s="5" t="n">
        <f aca="false">F215-G215</f>
        <v>1</v>
      </c>
      <c r="I215" s="5" t="str">
        <f aca="false">IF($B215&gt;"2026-08-29","لا توجد بيانات بعد",IF(AND(D215=0,F215=0),"بدون نشاط","نشِط"))</f>
        <v>نشِط</v>
      </c>
    </row>
    <row r="216" customFormat="false" ht="15" hidden="false" customHeight="false" outlineLevel="0" collapsed="false">
      <c r="A216" s="5" t="s">
        <v>59</v>
      </c>
      <c r="B216" s="5" t="s">
        <v>82</v>
      </c>
      <c r="C216" s="4" t="s">
        <v>26</v>
      </c>
      <c r="D216" s="5" t="n">
        <f aca="false">COUNTIFS('تفاصيل الفرص'!$B$2:$B$282,$B216,'تفاصيل الفرص'!$D$2:$D$282,$C216)</f>
        <v>0</v>
      </c>
      <c r="E216" s="5" t="n">
        <f aca="false">COUNTIFS('تفاصيل الفرص'!$B$2:$B$282,$B216,'تفاصيل الفرص'!$D$2:$D$282,$C216,'تفاصيل الفرص'!$X$2:$X$282,0)</f>
        <v>0</v>
      </c>
      <c r="F216" s="5" t="n">
        <f aca="false">COUNTIFS('سجل الأكشنات'!$B$2:$B$539,$B216,'سجل الأكشنات'!$D$2:$D$539,$C216)</f>
        <v>0</v>
      </c>
      <c r="G216" s="5" t="n">
        <f aca="false">COUNTIFS('سجل الأكشنات'!$B$2:$B$539,$B216,'سجل الأكشنات'!$D$2:$D$539,$C216,'سجل الأكشنات'!$H$2:$H$539,"تفصيلي")</f>
        <v>0</v>
      </c>
      <c r="H216" s="5" t="n">
        <f aca="false">F216-G216</f>
        <v>0</v>
      </c>
      <c r="I216" s="5" t="str">
        <f aca="false">IF($B216&gt;"2026-08-29","لا توجد بيانات بعد",IF(AND(D216=0,F216=0),"بدون نشاط","نشِط"))</f>
        <v>بدون نشاط</v>
      </c>
    </row>
    <row r="217" customFormat="false" ht="15" hidden="false" customHeight="false" outlineLevel="0" collapsed="false">
      <c r="A217" s="5" t="s">
        <v>59</v>
      </c>
      <c r="B217" s="5" t="s">
        <v>82</v>
      </c>
      <c r="C217" s="4" t="s">
        <v>28</v>
      </c>
      <c r="D217" s="5" t="n">
        <f aca="false">COUNTIFS('تفاصيل الفرص'!$B$2:$B$282,$B217,'تفاصيل الفرص'!$D$2:$D$282,$C217)</f>
        <v>3</v>
      </c>
      <c r="E217" s="5" t="n">
        <f aca="false">COUNTIFS('تفاصيل الفرص'!$B$2:$B$282,$B217,'تفاصيل الفرص'!$D$2:$D$282,$C217,'تفاصيل الفرص'!$X$2:$X$282,0)</f>
        <v>0</v>
      </c>
      <c r="F217" s="5" t="n">
        <f aca="false">COUNTIFS('سجل الأكشنات'!$B$2:$B$539,$B217,'سجل الأكشنات'!$D$2:$D$539,$C217)</f>
        <v>3</v>
      </c>
      <c r="G217" s="5" t="n">
        <f aca="false">COUNTIFS('سجل الأكشنات'!$B$2:$B$539,$B217,'سجل الأكشنات'!$D$2:$D$539,$C217,'سجل الأكشنات'!$H$2:$H$539,"تفصيلي")</f>
        <v>3</v>
      </c>
      <c r="H217" s="5" t="n">
        <f aca="false">F217-G217</f>
        <v>0</v>
      </c>
      <c r="I217" s="5" t="str">
        <f aca="false">IF($B217&gt;"2026-08-29","لا توجد بيانات بعد",IF(AND(D217=0,F217=0),"بدون نشاط","نشِط"))</f>
        <v>نشِط</v>
      </c>
    </row>
    <row r="218" customFormat="false" ht="15" hidden="false" customHeight="false" outlineLevel="0" collapsed="false">
      <c r="A218" s="5" t="s">
        <v>59</v>
      </c>
      <c r="B218" s="5" t="s">
        <v>82</v>
      </c>
      <c r="C218" s="4" t="s">
        <v>30</v>
      </c>
      <c r="D218" s="5" t="n">
        <f aca="false">COUNTIFS('تفاصيل الفرص'!$B$2:$B$282,$B218,'تفاصيل الفرص'!$D$2:$D$282,$C218)</f>
        <v>1</v>
      </c>
      <c r="E218" s="5" t="n">
        <f aca="false">COUNTIFS('تفاصيل الفرص'!$B$2:$B$282,$B218,'تفاصيل الفرص'!$D$2:$D$282,$C218,'تفاصيل الفرص'!$X$2:$X$282,0)</f>
        <v>0</v>
      </c>
      <c r="F218" s="5" t="n">
        <f aca="false">COUNTIFS('سجل الأكشنات'!$B$2:$B$539,$B218,'سجل الأكشنات'!$D$2:$D$539,$C218)</f>
        <v>4</v>
      </c>
      <c r="G218" s="5" t="n">
        <f aca="false">COUNTIFS('سجل الأكشنات'!$B$2:$B$539,$B218,'سجل الأكشنات'!$D$2:$D$539,$C218,'سجل الأكشنات'!$H$2:$H$539,"تفصيلي")</f>
        <v>3</v>
      </c>
      <c r="H218" s="5" t="n">
        <f aca="false">F218-G218</f>
        <v>1</v>
      </c>
      <c r="I218" s="5" t="str">
        <f aca="false">IF($B218&gt;"2026-08-29","لا توجد بيانات بعد",IF(AND(D218=0,F218=0),"بدون نشاط","نشِط"))</f>
        <v>نشِط</v>
      </c>
    </row>
    <row r="219" customFormat="false" ht="15" hidden="false" customHeight="false" outlineLevel="0" collapsed="false">
      <c r="A219" s="5" t="s">
        <v>59</v>
      </c>
      <c r="B219" s="5" t="s">
        <v>82</v>
      </c>
      <c r="C219" s="4" t="s">
        <v>32</v>
      </c>
      <c r="D219" s="5" t="n">
        <f aca="false">COUNTIFS('تفاصيل الفرص'!$B$2:$B$282,$B219,'تفاصيل الفرص'!$D$2:$D$282,$C219)</f>
        <v>3</v>
      </c>
      <c r="E219" s="5" t="n">
        <f aca="false">COUNTIFS('تفاصيل الفرص'!$B$2:$B$282,$B219,'تفاصيل الفرص'!$D$2:$D$282,$C219,'تفاصيل الفرص'!$X$2:$X$282,0)</f>
        <v>0</v>
      </c>
      <c r="F219" s="5" t="n">
        <f aca="false">COUNTIFS('سجل الأكشنات'!$B$2:$B$539,$B219,'سجل الأكشنات'!$D$2:$D$539,$C219)</f>
        <v>8</v>
      </c>
      <c r="G219" s="5" t="n">
        <f aca="false">COUNTIFS('سجل الأكشنات'!$B$2:$B$539,$B219,'سجل الأكشنات'!$D$2:$D$539,$C219,'سجل الأكشنات'!$H$2:$H$539,"تفصيلي")</f>
        <v>8</v>
      </c>
      <c r="H219" s="5" t="n">
        <f aca="false">F219-G219</f>
        <v>0</v>
      </c>
      <c r="I219" s="5" t="str">
        <f aca="false">IF($B219&gt;"2026-08-29","لا توجد بيانات بعد",IF(AND(D219=0,F219=0),"بدون نشاط","نشِط"))</f>
        <v>نشِط</v>
      </c>
    </row>
    <row r="220" customFormat="false" ht="15" hidden="false" customHeight="false" outlineLevel="0" collapsed="false">
      <c r="A220" s="12" t="s">
        <v>61</v>
      </c>
      <c r="B220" s="12" t="s">
        <v>83</v>
      </c>
      <c r="C220" s="13" t="s">
        <v>18</v>
      </c>
      <c r="D220" s="12" t="n">
        <f aca="false">COUNTIFS('تفاصيل الفرص'!$B$2:$B$282,$B220,'تفاصيل الفرص'!$D$2:$D$282,$C220)</f>
        <v>0</v>
      </c>
      <c r="E220" s="12" t="n">
        <f aca="false">COUNTIFS('تفاصيل الفرص'!$B$2:$B$282,$B220,'تفاصيل الفرص'!$D$2:$D$282,$C220,'تفاصيل الفرص'!$X$2:$X$282,0)</f>
        <v>0</v>
      </c>
      <c r="F220" s="12" t="n">
        <f aca="false">COUNTIFS('سجل الأكشنات'!$B$2:$B$539,$B220,'سجل الأكشنات'!$D$2:$D$539,$C220)</f>
        <v>0</v>
      </c>
      <c r="G220" s="12" t="n">
        <f aca="false">COUNTIFS('سجل الأكشنات'!$B$2:$B$539,$B220,'سجل الأكشنات'!$D$2:$D$539,$C220,'سجل الأكشنات'!$H$2:$H$539,"تفصيلي")</f>
        <v>0</v>
      </c>
      <c r="H220" s="12" t="n">
        <f aca="false">F220-G220</f>
        <v>0</v>
      </c>
      <c r="I220" s="12" t="str">
        <f aca="false">IF($B220&gt;"2026-08-29","لا توجد بيانات بعد",IF(AND(D220=0,F220=0),"بدون نشاط","نشِط"))</f>
        <v>بدون نشاط</v>
      </c>
    </row>
    <row r="221" customFormat="false" ht="15" hidden="false" customHeight="false" outlineLevel="0" collapsed="false">
      <c r="A221" s="12" t="s">
        <v>61</v>
      </c>
      <c r="B221" s="12" t="s">
        <v>83</v>
      </c>
      <c r="C221" s="13" t="s">
        <v>20</v>
      </c>
      <c r="D221" s="12" t="n">
        <f aca="false">COUNTIFS('تفاصيل الفرص'!$B$2:$B$282,$B221,'تفاصيل الفرص'!$D$2:$D$282,$C221)</f>
        <v>0</v>
      </c>
      <c r="E221" s="12" t="n">
        <f aca="false">COUNTIFS('تفاصيل الفرص'!$B$2:$B$282,$B221,'تفاصيل الفرص'!$D$2:$D$282,$C221,'تفاصيل الفرص'!$X$2:$X$282,0)</f>
        <v>0</v>
      </c>
      <c r="F221" s="12" t="n">
        <f aca="false">COUNTIFS('سجل الأكشنات'!$B$2:$B$539,$B221,'سجل الأكشنات'!$D$2:$D$539,$C221)</f>
        <v>0</v>
      </c>
      <c r="G221" s="12" t="n">
        <f aca="false">COUNTIFS('سجل الأكشنات'!$B$2:$B$539,$B221,'سجل الأكشنات'!$D$2:$D$539,$C221,'سجل الأكشنات'!$H$2:$H$539,"تفصيلي")</f>
        <v>0</v>
      </c>
      <c r="H221" s="12" t="n">
        <f aca="false">F221-G221</f>
        <v>0</v>
      </c>
      <c r="I221" s="12" t="str">
        <f aca="false">IF($B221&gt;"2026-08-29","لا توجد بيانات بعد",IF(AND(D221=0,F221=0),"بدون نشاط","نشِط"))</f>
        <v>بدون نشاط</v>
      </c>
    </row>
    <row r="222" customFormat="false" ht="15" hidden="false" customHeight="false" outlineLevel="0" collapsed="false">
      <c r="A222" s="12" t="s">
        <v>61</v>
      </c>
      <c r="B222" s="12" t="s">
        <v>83</v>
      </c>
      <c r="C222" s="13" t="s">
        <v>22</v>
      </c>
      <c r="D222" s="12" t="n">
        <f aca="false">COUNTIFS('تفاصيل الفرص'!$B$2:$B$282,$B222,'تفاصيل الفرص'!$D$2:$D$282,$C222)</f>
        <v>0</v>
      </c>
      <c r="E222" s="12" t="n">
        <f aca="false">COUNTIFS('تفاصيل الفرص'!$B$2:$B$282,$B222,'تفاصيل الفرص'!$D$2:$D$282,$C222,'تفاصيل الفرص'!$X$2:$X$282,0)</f>
        <v>0</v>
      </c>
      <c r="F222" s="12" t="n">
        <f aca="false">COUNTIFS('سجل الأكشنات'!$B$2:$B$539,$B222,'سجل الأكشنات'!$D$2:$D$539,$C222)</f>
        <v>0</v>
      </c>
      <c r="G222" s="12" t="n">
        <f aca="false">COUNTIFS('سجل الأكشنات'!$B$2:$B$539,$B222,'سجل الأكشنات'!$D$2:$D$539,$C222,'سجل الأكشنات'!$H$2:$H$539,"تفصيلي")</f>
        <v>0</v>
      </c>
      <c r="H222" s="12" t="n">
        <f aca="false">F222-G222</f>
        <v>0</v>
      </c>
      <c r="I222" s="12" t="str">
        <f aca="false">IF($B222&gt;"2026-08-29","لا توجد بيانات بعد",IF(AND(D222=0,F222=0),"بدون نشاط","نشِط"))</f>
        <v>بدون نشاط</v>
      </c>
    </row>
    <row r="223" customFormat="false" ht="15" hidden="false" customHeight="false" outlineLevel="0" collapsed="false">
      <c r="A223" s="12" t="s">
        <v>61</v>
      </c>
      <c r="B223" s="12" t="s">
        <v>83</v>
      </c>
      <c r="C223" s="13" t="s">
        <v>24</v>
      </c>
      <c r="D223" s="12" t="n">
        <f aca="false">COUNTIFS('تفاصيل الفرص'!$B$2:$B$282,$B223,'تفاصيل الفرص'!$D$2:$D$282,$C223)</f>
        <v>0</v>
      </c>
      <c r="E223" s="12" t="n">
        <f aca="false">COUNTIFS('تفاصيل الفرص'!$B$2:$B$282,$B223,'تفاصيل الفرص'!$D$2:$D$282,$C223,'تفاصيل الفرص'!$X$2:$X$282,0)</f>
        <v>0</v>
      </c>
      <c r="F223" s="12" t="n">
        <f aca="false">COUNTIFS('سجل الأكشنات'!$B$2:$B$539,$B223,'سجل الأكشنات'!$D$2:$D$539,$C223)</f>
        <v>0</v>
      </c>
      <c r="G223" s="12" t="n">
        <f aca="false">COUNTIFS('سجل الأكشنات'!$B$2:$B$539,$B223,'سجل الأكشنات'!$D$2:$D$539,$C223,'سجل الأكشنات'!$H$2:$H$539,"تفصيلي")</f>
        <v>0</v>
      </c>
      <c r="H223" s="12" t="n">
        <f aca="false">F223-G223</f>
        <v>0</v>
      </c>
      <c r="I223" s="12" t="str">
        <f aca="false">IF($B223&gt;"2026-08-29","لا توجد بيانات بعد",IF(AND(D223=0,F223=0),"بدون نشاط","نشِط"))</f>
        <v>بدون نشاط</v>
      </c>
    </row>
    <row r="224" customFormat="false" ht="15" hidden="false" customHeight="false" outlineLevel="0" collapsed="false">
      <c r="A224" s="12" t="s">
        <v>61</v>
      </c>
      <c r="B224" s="12" t="s">
        <v>83</v>
      </c>
      <c r="C224" s="13" t="s">
        <v>26</v>
      </c>
      <c r="D224" s="12" t="n">
        <f aca="false">COUNTIFS('تفاصيل الفرص'!$B$2:$B$282,$B224,'تفاصيل الفرص'!$D$2:$D$282,$C224)</f>
        <v>0</v>
      </c>
      <c r="E224" s="12" t="n">
        <f aca="false">COUNTIFS('تفاصيل الفرص'!$B$2:$B$282,$B224,'تفاصيل الفرص'!$D$2:$D$282,$C224,'تفاصيل الفرص'!$X$2:$X$282,0)</f>
        <v>0</v>
      </c>
      <c r="F224" s="12" t="n">
        <f aca="false">COUNTIFS('سجل الأكشنات'!$B$2:$B$539,$B224,'سجل الأكشنات'!$D$2:$D$539,$C224)</f>
        <v>0</v>
      </c>
      <c r="G224" s="12" t="n">
        <f aca="false">COUNTIFS('سجل الأكشنات'!$B$2:$B$539,$B224,'سجل الأكشنات'!$D$2:$D$539,$C224,'سجل الأكشنات'!$H$2:$H$539,"تفصيلي")</f>
        <v>0</v>
      </c>
      <c r="H224" s="12" t="n">
        <f aca="false">F224-G224</f>
        <v>0</v>
      </c>
      <c r="I224" s="12" t="str">
        <f aca="false">IF($B224&gt;"2026-08-29","لا توجد بيانات بعد",IF(AND(D224=0,F224=0),"بدون نشاط","نشِط"))</f>
        <v>بدون نشاط</v>
      </c>
    </row>
    <row r="225" customFormat="false" ht="15" hidden="false" customHeight="false" outlineLevel="0" collapsed="false">
      <c r="A225" s="12" t="s">
        <v>61</v>
      </c>
      <c r="B225" s="12" t="s">
        <v>83</v>
      </c>
      <c r="C225" s="13" t="s">
        <v>28</v>
      </c>
      <c r="D225" s="12" t="n">
        <f aca="false">COUNTIFS('تفاصيل الفرص'!$B$2:$B$282,$B225,'تفاصيل الفرص'!$D$2:$D$282,$C225)</f>
        <v>0</v>
      </c>
      <c r="E225" s="12" t="n">
        <f aca="false">COUNTIFS('تفاصيل الفرص'!$B$2:$B$282,$B225,'تفاصيل الفرص'!$D$2:$D$282,$C225,'تفاصيل الفرص'!$X$2:$X$282,0)</f>
        <v>0</v>
      </c>
      <c r="F225" s="12" t="n">
        <f aca="false">COUNTIFS('سجل الأكشنات'!$B$2:$B$539,$B225,'سجل الأكشنات'!$D$2:$D$539,$C225)</f>
        <v>0</v>
      </c>
      <c r="G225" s="12" t="n">
        <f aca="false">COUNTIFS('سجل الأكشنات'!$B$2:$B$539,$B225,'سجل الأكشنات'!$D$2:$D$539,$C225,'سجل الأكشنات'!$H$2:$H$539,"تفصيلي")</f>
        <v>0</v>
      </c>
      <c r="H225" s="12" t="n">
        <f aca="false">F225-G225</f>
        <v>0</v>
      </c>
      <c r="I225" s="12" t="str">
        <f aca="false">IF($B225&gt;"2026-08-29","لا توجد بيانات بعد",IF(AND(D225=0,F225=0),"بدون نشاط","نشِط"))</f>
        <v>بدون نشاط</v>
      </c>
    </row>
    <row r="226" customFormat="false" ht="15" hidden="false" customHeight="false" outlineLevel="0" collapsed="false">
      <c r="A226" s="12" t="s">
        <v>61</v>
      </c>
      <c r="B226" s="12" t="s">
        <v>83</v>
      </c>
      <c r="C226" s="13" t="s">
        <v>30</v>
      </c>
      <c r="D226" s="12" t="n">
        <f aca="false">COUNTIFS('تفاصيل الفرص'!$B$2:$B$282,$B226,'تفاصيل الفرص'!$D$2:$D$282,$C226)</f>
        <v>0</v>
      </c>
      <c r="E226" s="12" t="n">
        <f aca="false">COUNTIFS('تفاصيل الفرص'!$B$2:$B$282,$B226,'تفاصيل الفرص'!$D$2:$D$282,$C226,'تفاصيل الفرص'!$X$2:$X$282,0)</f>
        <v>0</v>
      </c>
      <c r="F226" s="12" t="n">
        <f aca="false">COUNTIFS('سجل الأكشنات'!$B$2:$B$539,$B226,'سجل الأكشنات'!$D$2:$D$539,$C226)</f>
        <v>0</v>
      </c>
      <c r="G226" s="12" t="n">
        <f aca="false">COUNTIFS('سجل الأكشنات'!$B$2:$B$539,$B226,'سجل الأكشنات'!$D$2:$D$539,$C226,'سجل الأكشنات'!$H$2:$H$539,"تفصيلي")</f>
        <v>0</v>
      </c>
      <c r="H226" s="12" t="n">
        <f aca="false">F226-G226</f>
        <v>0</v>
      </c>
      <c r="I226" s="12" t="str">
        <f aca="false">IF($B226&gt;"2026-08-29","لا توجد بيانات بعد",IF(AND(D226=0,F226=0),"بدون نشاط","نشِط"))</f>
        <v>بدون نشاط</v>
      </c>
    </row>
    <row r="227" customFormat="false" ht="15" hidden="false" customHeight="false" outlineLevel="0" collapsed="false">
      <c r="A227" s="12" t="s">
        <v>61</v>
      </c>
      <c r="B227" s="12" t="s">
        <v>83</v>
      </c>
      <c r="C227" s="13" t="s">
        <v>32</v>
      </c>
      <c r="D227" s="12" t="n">
        <f aca="false">COUNTIFS('تفاصيل الفرص'!$B$2:$B$282,$B227,'تفاصيل الفرص'!$D$2:$D$282,$C227)</f>
        <v>0</v>
      </c>
      <c r="E227" s="12" t="n">
        <f aca="false">COUNTIFS('تفاصيل الفرص'!$B$2:$B$282,$B227,'تفاصيل الفرص'!$D$2:$D$282,$C227,'تفاصيل الفرص'!$X$2:$X$282,0)</f>
        <v>0</v>
      </c>
      <c r="F227" s="12" t="n">
        <f aca="false">COUNTIFS('سجل الأكشنات'!$B$2:$B$539,$B227,'سجل الأكشنات'!$D$2:$D$539,$C227)</f>
        <v>0</v>
      </c>
      <c r="G227" s="12" t="n">
        <f aca="false">COUNTIFS('سجل الأكشنات'!$B$2:$B$539,$B227,'سجل الأكشنات'!$D$2:$D$539,$C227,'سجل الأكشنات'!$H$2:$H$539,"تفصيلي")</f>
        <v>0</v>
      </c>
      <c r="H227" s="12" t="n">
        <f aca="false">F227-G227</f>
        <v>0</v>
      </c>
      <c r="I227" s="12" t="str">
        <f aca="false">IF($B227&gt;"2026-08-29","لا توجد بيانات بعد",IF(AND(D227=0,F227=0),"بدون نشاط","نشِط"))</f>
        <v>بدون نشاط</v>
      </c>
    </row>
    <row r="228" customFormat="false" ht="15" hidden="false" customHeight="false" outlineLevel="0" collapsed="false">
      <c r="A228" s="5" t="s">
        <v>49</v>
      </c>
      <c r="B228" s="5" t="s">
        <v>84</v>
      </c>
      <c r="C228" s="4" t="s">
        <v>18</v>
      </c>
      <c r="D228" s="5" t="n">
        <f aca="false">COUNTIFS('تفاصيل الفرص'!$B$2:$B$282,$B228,'تفاصيل الفرص'!$D$2:$D$282,$C228)</f>
        <v>0</v>
      </c>
      <c r="E228" s="5" t="n">
        <f aca="false">COUNTIFS('تفاصيل الفرص'!$B$2:$B$282,$B228,'تفاصيل الفرص'!$D$2:$D$282,$C228,'تفاصيل الفرص'!$X$2:$X$282,0)</f>
        <v>0</v>
      </c>
      <c r="F228" s="5" t="n">
        <f aca="false">COUNTIFS('سجل الأكشنات'!$B$2:$B$539,$B228,'سجل الأكشنات'!$D$2:$D$539,$C228)</f>
        <v>0</v>
      </c>
      <c r="G228" s="5" t="n">
        <f aca="false">COUNTIFS('سجل الأكشنات'!$B$2:$B$539,$B228,'سجل الأكشنات'!$D$2:$D$539,$C228,'سجل الأكشنات'!$H$2:$H$539,"تفصيلي")</f>
        <v>0</v>
      </c>
      <c r="H228" s="5" t="n">
        <f aca="false">F228-G228</f>
        <v>0</v>
      </c>
      <c r="I228" s="5" t="str">
        <f aca="false">IF($B228&gt;"2026-08-29","لا توجد بيانات بعد",IF(AND(D228=0,F228=0),"بدون نشاط","نشِط"))</f>
        <v>بدون نشاط</v>
      </c>
    </row>
    <row r="229" customFormat="false" ht="15" hidden="false" customHeight="false" outlineLevel="0" collapsed="false">
      <c r="A229" s="5" t="s">
        <v>49</v>
      </c>
      <c r="B229" s="5" t="s">
        <v>84</v>
      </c>
      <c r="C229" s="4" t="s">
        <v>20</v>
      </c>
      <c r="D229" s="5" t="n">
        <f aca="false">COUNTIFS('تفاصيل الفرص'!$B$2:$B$282,$B229,'تفاصيل الفرص'!$D$2:$D$282,$C229)</f>
        <v>0</v>
      </c>
      <c r="E229" s="5" t="n">
        <f aca="false">COUNTIFS('تفاصيل الفرص'!$B$2:$B$282,$B229,'تفاصيل الفرص'!$D$2:$D$282,$C229,'تفاصيل الفرص'!$X$2:$X$282,0)</f>
        <v>0</v>
      </c>
      <c r="F229" s="5" t="n">
        <f aca="false">COUNTIFS('سجل الأكشنات'!$B$2:$B$539,$B229,'سجل الأكشنات'!$D$2:$D$539,$C229)</f>
        <v>0</v>
      </c>
      <c r="G229" s="5" t="n">
        <f aca="false">COUNTIFS('سجل الأكشنات'!$B$2:$B$539,$B229,'سجل الأكشنات'!$D$2:$D$539,$C229,'سجل الأكشنات'!$H$2:$H$539,"تفصيلي")</f>
        <v>0</v>
      </c>
      <c r="H229" s="5" t="n">
        <f aca="false">F229-G229</f>
        <v>0</v>
      </c>
      <c r="I229" s="5" t="str">
        <f aca="false">IF($B229&gt;"2026-08-29","لا توجد بيانات بعد",IF(AND(D229=0,F229=0),"بدون نشاط","نشِط"))</f>
        <v>بدون نشاط</v>
      </c>
    </row>
    <row r="230" customFormat="false" ht="15" hidden="false" customHeight="false" outlineLevel="0" collapsed="false">
      <c r="A230" s="5" t="s">
        <v>49</v>
      </c>
      <c r="B230" s="5" t="s">
        <v>84</v>
      </c>
      <c r="C230" s="4" t="s">
        <v>22</v>
      </c>
      <c r="D230" s="5" t="n">
        <f aca="false">COUNTIFS('تفاصيل الفرص'!$B$2:$B$282,$B230,'تفاصيل الفرص'!$D$2:$D$282,$C230)</f>
        <v>0</v>
      </c>
      <c r="E230" s="5" t="n">
        <f aca="false">COUNTIFS('تفاصيل الفرص'!$B$2:$B$282,$B230,'تفاصيل الفرص'!$D$2:$D$282,$C230,'تفاصيل الفرص'!$X$2:$X$282,0)</f>
        <v>0</v>
      </c>
      <c r="F230" s="5" t="n">
        <f aca="false">COUNTIFS('سجل الأكشنات'!$B$2:$B$539,$B230,'سجل الأكشنات'!$D$2:$D$539,$C230)</f>
        <v>2</v>
      </c>
      <c r="G230" s="5" t="n">
        <f aca="false">COUNTIFS('سجل الأكشنات'!$B$2:$B$539,$B230,'سجل الأكشنات'!$D$2:$D$539,$C230,'سجل الأكشنات'!$H$2:$H$539,"تفصيلي")</f>
        <v>2</v>
      </c>
      <c r="H230" s="5" t="n">
        <f aca="false">F230-G230</f>
        <v>0</v>
      </c>
      <c r="I230" s="5" t="str">
        <f aca="false">IF($B230&gt;"2026-08-29","لا توجد بيانات بعد",IF(AND(D230=0,F230=0),"بدون نشاط","نشِط"))</f>
        <v>نشِط</v>
      </c>
    </row>
    <row r="231" customFormat="false" ht="15" hidden="false" customHeight="false" outlineLevel="0" collapsed="false">
      <c r="A231" s="5" t="s">
        <v>49</v>
      </c>
      <c r="B231" s="5" t="s">
        <v>84</v>
      </c>
      <c r="C231" s="4" t="s">
        <v>24</v>
      </c>
      <c r="D231" s="5" t="n">
        <f aca="false">COUNTIFS('تفاصيل الفرص'!$B$2:$B$282,$B231,'تفاصيل الفرص'!$D$2:$D$282,$C231)</f>
        <v>0</v>
      </c>
      <c r="E231" s="5" t="n">
        <f aca="false">COUNTIFS('تفاصيل الفرص'!$B$2:$B$282,$B231,'تفاصيل الفرص'!$D$2:$D$282,$C231,'تفاصيل الفرص'!$X$2:$X$282,0)</f>
        <v>0</v>
      </c>
      <c r="F231" s="5" t="n">
        <f aca="false">COUNTIFS('سجل الأكشنات'!$B$2:$B$539,$B231,'سجل الأكشنات'!$D$2:$D$539,$C231)</f>
        <v>0</v>
      </c>
      <c r="G231" s="5" t="n">
        <f aca="false">COUNTIFS('سجل الأكشنات'!$B$2:$B$539,$B231,'سجل الأكشنات'!$D$2:$D$539,$C231,'سجل الأكشنات'!$H$2:$H$539,"تفصيلي")</f>
        <v>0</v>
      </c>
      <c r="H231" s="5" t="n">
        <f aca="false">F231-G231</f>
        <v>0</v>
      </c>
      <c r="I231" s="5" t="str">
        <f aca="false">IF($B231&gt;"2026-08-29","لا توجد بيانات بعد",IF(AND(D231=0,F231=0),"بدون نشاط","نشِط"))</f>
        <v>بدون نشاط</v>
      </c>
    </row>
    <row r="232" customFormat="false" ht="15" hidden="false" customHeight="false" outlineLevel="0" collapsed="false">
      <c r="A232" s="5" t="s">
        <v>49</v>
      </c>
      <c r="B232" s="5" t="s">
        <v>84</v>
      </c>
      <c r="C232" s="4" t="s">
        <v>26</v>
      </c>
      <c r="D232" s="5" t="n">
        <f aca="false">COUNTIFS('تفاصيل الفرص'!$B$2:$B$282,$B232,'تفاصيل الفرص'!$D$2:$D$282,$C232)</f>
        <v>0</v>
      </c>
      <c r="E232" s="5" t="n">
        <f aca="false">COUNTIFS('تفاصيل الفرص'!$B$2:$B$282,$B232,'تفاصيل الفرص'!$D$2:$D$282,$C232,'تفاصيل الفرص'!$X$2:$X$282,0)</f>
        <v>0</v>
      </c>
      <c r="F232" s="5" t="n">
        <f aca="false">COUNTIFS('سجل الأكشنات'!$B$2:$B$539,$B232,'سجل الأكشنات'!$D$2:$D$539,$C232)</f>
        <v>0</v>
      </c>
      <c r="G232" s="5" t="n">
        <f aca="false">COUNTIFS('سجل الأكشنات'!$B$2:$B$539,$B232,'سجل الأكشنات'!$D$2:$D$539,$C232,'سجل الأكشنات'!$H$2:$H$539,"تفصيلي")</f>
        <v>0</v>
      </c>
      <c r="H232" s="5" t="n">
        <f aca="false">F232-G232</f>
        <v>0</v>
      </c>
      <c r="I232" s="5" t="str">
        <f aca="false">IF($B232&gt;"2026-08-29","لا توجد بيانات بعد",IF(AND(D232=0,F232=0),"بدون نشاط","نشِط"))</f>
        <v>بدون نشاط</v>
      </c>
    </row>
    <row r="233" customFormat="false" ht="15" hidden="false" customHeight="false" outlineLevel="0" collapsed="false">
      <c r="A233" s="5" t="s">
        <v>49</v>
      </c>
      <c r="B233" s="5" t="s">
        <v>84</v>
      </c>
      <c r="C233" s="4" t="s">
        <v>28</v>
      </c>
      <c r="D233" s="5" t="n">
        <f aca="false">COUNTIFS('تفاصيل الفرص'!$B$2:$B$282,$B233,'تفاصيل الفرص'!$D$2:$D$282,$C233)</f>
        <v>0</v>
      </c>
      <c r="E233" s="5" t="n">
        <f aca="false">COUNTIFS('تفاصيل الفرص'!$B$2:$B$282,$B233,'تفاصيل الفرص'!$D$2:$D$282,$C233,'تفاصيل الفرص'!$X$2:$X$282,0)</f>
        <v>0</v>
      </c>
      <c r="F233" s="5" t="n">
        <f aca="false">COUNTIFS('سجل الأكشنات'!$B$2:$B$539,$B233,'سجل الأكشنات'!$D$2:$D$539,$C233)</f>
        <v>0</v>
      </c>
      <c r="G233" s="5" t="n">
        <f aca="false">COUNTIFS('سجل الأكشنات'!$B$2:$B$539,$B233,'سجل الأكشنات'!$D$2:$D$539,$C233,'سجل الأكشنات'!$H$2:$H$539,"تفصيلي")</f>
        <v>0</v>
      </c>
      <c r="H233" s="5" t="n">
        <f aca="false">F233-G233</f>
        <v>0</v>
      </c>
      <c r="I233" s="5" t="str">
        <f aca="false">IF($B233&gt;"2026-08-29","لا توجد بيانات بعد",IF(AND(D233=0,F233=0),"بدون نشاط","نشِط"))</f>
        <v>بدون نشاط</v>
      </c>
    </row>
    <row r="234" customFormat="false" ht="15" hidden="false" customHeight="false" outlineLevel="0" collapsed="false">
      <c r="A234" s="5" t="s">
        <v>49</v>
      </c>
      <c r="B234" s="5" t="s">
        <v>84</v>
      </c>
      <c r="C234" s="4" t="s">
        <v>30</v>
      </c>
      <c r="D234" s="5" t="n">
        <f aca="false">COUNTIFS('تفاصيل الفرص'!$B$2:$B$282,$B234,'تفاصيل الفرص'!$D$2:$D$282,$C234)</f>
        <v>0</v>
      </c>
      <c r="E234" s="5" t="n">
        <f aca="false">COUNTIFS('تفاصيل الفرص'!$B$2:$B$282,$B234,'تفاصيل الفرص'!$D$2:$D$282,$C234,'تفاصيل الفرص'!$X$2:$X$282,0)</f>
        <v>0</v>
      </c>
      <c r="F234" s="5" t="n">
        <f aca="false">COUNTIFS('سجل الأكشنات'!$B$2:$B$539,$B234,'سجل الأكشنات'!$D$2:$D$539,$C234)</f>
        <v>0</v>
      </c>
      <c r="G234" s="5" t="n">
        <f aca="false">COUNTIFS('سجل الأكشنات'!$B$2:$B$539,$B234,'سجل الأكشنات'!$D$2:$D$539,$C234,'سجل الأكشنات'!$H$2:$H$539,"تفصيلي")</f>
        <v>0</v>
      </c>
      <c r="H234" s="5" t="n">
        <f aca="false">F234-G234</f>
        <v>0</v>
      </c>
      <c r="I234" s="5" t="str">
        <f aca="false">IF($B234&gt;"2026-08-29","لا توجد بيانات بعد",IF(AND(D234=0,F234=0),"بدون نشاط","نشِط"))</f>
        <v>بدون نشاط</v>
      </c>
    </row>
    <row r="235" customFormat="false" ht="15" hidden="false" customHeight="false" outlineLevel="0" collapsed="false">
      <c r="A235" s="5" t="s">
        <v>49</v>
      </c>
      <c r="B235" s="5" t="s">
        <v>84</v>
      </c>
      <c r="C235" s="4" t="s">
        <v>32</v>
      </c>
      <c r="D235" s="5" t="n">
        <f aca="false">COUNTIFS('تفاصيل الفرص'!$B$2:$B$282,$B235,'تفاصيل الفرص'!$D$2:$D$282,$C235)</f>
        <v>1</v>
      </c>
      <c r="E235" s="5" t="n">
        <f aca="false">COUNTIFS('تفاصيل الفرص'!$B$2:$B$282,$B235,'تفاصيل الفرص'!$D$2:$D$282,$C235,'تفاصيل الفرص'!$X$2:$X$282,0)</f>
        <v>0</v>
      </c>
      <c r="F235" s="5" t="n">
        <f aca="false">COUNTIFS('سجل الأكشنات'!$B$2:$B$539,$B235,'سجل الأكشنات'!$D$2:$D$539,$C235)</f>
        <v>5</v>
      </c>
      <c r="G235" s="5" t="n">
        <f aca="false">COUNTIFS('سجل الأكشنات'!$B$2:$B$539,$B235,'سجل الأكشنات'!$D$2:$D$539,$C235,'سجل الأكشنات'!$H$2:$H$539,"تفصيلي")</f>
        <v>5</v>
      </c>
      <c r="H235" s="5" t="n">
        <f aca="false">F235-G235</f>
        <v>0</v>
      </c>
      <c r="I235" s="5" t="str">
        <f aca="false">IF($B235&gt;"2026-08-29","لا توجد بيانات بعد",IF(AND(D235=0,F235=0),"بدون نشاط","نشِط"))</f>
        <v>نشِط</v>
      </c>
    </row>
    <row r="236" customFormat="false" ht="15" hidden="false" customHeight="false" outlineLevel="0" collapsed="false">
      <c r="A236" s="12" t="s">
        <v>51</v>
      </c>
      <c r="B236" s="12" t="s">
        <v>85</v>
      </c>
      <c r="C236" s="13" t="s">
        <v>18</v>
      </c>
      <c r="D236" s="12" t="n">
        <f aca="false">COUNTIFS('تفاصيل الفرص'!$B$2:$B$282,$B236,'تفاصيل الفرص'!$D$2:$D$282,$C236)</f>
        <v>0</v>
      </c>
      <c r="E236" s="12" t="n">
        <f aca="false">COUNTIFS('تفاصيل الفرص'!$B$2:$B$282,$B236,'تفاصيل الفرص'!$D$2:$D$282,$C236,'تفاصيل الفرص'!$X$2:$X$282,0)</f>
        <v>0</v>
      </c>
      <c r="F236" s="12" t="n">
        <f aca="false">COUNTIFS('سجل الأكشنات'!$B$2:$B$539,$B236,'سجل الأكشنات'!$D$2:$D$539,$C236)</f>
        <v>0</v>
      </c>
      <c r="G236" s="12" t="n">
        <f aca="false">COUNTIFS('سجل الأكشنات'!$B$2:$B$539,$B236,'سجل الأكشنات'!$D$2:$D$539,$C236,'سجل الأكشنات'!$H$2:$H$539,"تفصيلي")</f>
        <v>0</v>
      </c>
      <c r="H236" s="12" t="n">
        <f aca="false">F236-G236</f>
        <v>0</v>
      </c>
      <c r="I236" s="12" t="str">
        <f aca="false">IF($B236&gt;"2026-08-29","لا توجد بيانات بعد",IF(AND(D236=0,F236=0),"بدون نشاط","نشِط"))</f>
        <v>لا توجد بيانات بعد</v>
      </c>
    </row>
    <row r="237" customFormat="false" ht="15" hidden="false" customHeight="false" outlineLevel="0" collapsed="false">
      <c r="A237" s="12" t="s">
        <v>51</v>
      </c>
      <c r="B237" s="12" t="s">
        <v>85</v>
      </c>
      <c r="C237" s="13" t="s">
        <v>20</v>
      </c>
      <c r="D237" s="12" t="n">
        <f aca="false">COUNTIFS('تفاصيل الفرص'!$B$2:$B$282,$B237,'تفاصيل الفرص'!$D$2:$D$282,$C237)</f>
        <v>0</v>
      </c>
      <c r="E237" s="12" t="n">
        <f aca="false">COUNTIFS('تفاصيل الفرص'!$B$2:$B$282,$B237,'تفاصيل الفرص'!$D$2:$D$282,$C237,'تفاصيل الفرص'!$X$2:$X$282,0)</f>
        <v>0</v>
      </c>
      <c r="F237" s="12" t="n">
        <f aca="false">COUNTIFS('سجل الأكشنات'!$B$2:$B$539,$B237,'سجل الأكشنات'!$D$2:$D$539,$C237)</f>
        <v>0</v>
      </c>
      <c r="G237" s="12" t="n">
        <f aca="false">COUNTIFS('سجل الأكشنات'!$B$2:$B$539,$B237,'سجل الأكشنات'!$D$2:$D$539,$C237,'سجل الأكشنات'!$H$2:$H$539,"تفصيلي")</f>
        <v>0</v>
      </c>
      <c r="H237" s="12" t="n">
        <f aca="false">F237-G237</f>
        <v>0</v>
      </c>
      <c r="I237" s="12" t="str">
        <f aca="false">IF($B237&gt;"2026-08-29","لا توجد بيانات بعد",IF(AND(D237=0,F237=0),"بدون نشاط","نشِط"))</f>
        <v>لا توجد بيانات بعد</v>
      </c>
    </row>
    <row r="238" customFormat="false" ht="15" hidden="false" customHeight="false" outlineLevel="0" collapsed="false">
      <c r="A238" s="12" t="s">
        <v>51</v>
      </c>
      <c r="B238" s="12" t="s">
        <v>85</v>
      </c>
      <c r="C238" s="13" t="s">
        <v>22</v>
      </c>
      <c r="D238" s="12" t="n">
        <f aca="false">COUNTIFS('تفاصيل الفرص'!$B$2:$B$282,$B238,'تفاصيل الفرص'!$D$2:$D$282,$C238)</f>
        <v>0</v>
      </c>
      <c r="E238" s="12" t="n">
        <f aca="false">COUNTIFS('تفاصيل الفرص'!$B$2:$B$282,$B238,'تفاصيل الفرص'!$D$2:$D$282,$C238,'تفاصيل الفرص'!$X$2:$X$282,0)</f>
        <v>0</v>
      </c>
      <c r="F238" s="12" t="n">
        <f aca="false">COUNTIFS('سجل الأكشنات'!$B$2:$B$539,$B238,'سجل الأكشنات'!$D$2:$D$539,$C238)</f>
        <v>0</v>
      </c>
      <c r="G238" s="12" t="n">
        <f aca="false">COUNTIFS('سجل الأكشنات'!$B$2:$B$539,$B238,'سجل الأكشنات'!$D$2:$D$539,$C238,'سجل الأكشنات'!$H$2:$H$539,"تفصيلي")</f>
        <v>0</v>
      </c>
      <c r="H238" s="12" t="n">
        <f aca="false">F238-G238</f>
        <v>0</v>
      </c>
      <c r="I238" s="12" t="str">
        <f aca="false">IF($B238&gt;"2026-08-29","لا توجد بيانات بعد",IF(AND(D238=0,F238=0),"بدون نشاط","نشِط"))</f>
        <v>لا توجد بيانات بعد</v>
      </c>
    </row>
    <row r="239" customFormat="false" ht="15" hidden="false" customHeight="false" outlineLevel="0" collapsed="false">
      <c r="A239" s="12" t="s">
        <v>51</v>
      </c>
      <c r="B239" s="12" t="s">
        <v>85</v>
      </c>
      <c r="C239" s="13" t="s">
        <v>24</v>
      </c>
      <c r="D239" s="12" t="n">
        <f aca="false">COUNTIFS('تفاصيل الفرص'!$B$2:$B$282,$B239,'تفاصيل الفرص'!$D$2:$D$282,$C239)</f>
        <v>0</v>
      </c>
      <c r="E239" s="12" t="n">
        <f aca="false">COUNTIFS('تفاصيل الفرص'!$B$2:$B$282,$B239,'تفاصيل الفرص'!$D$2:$D$282,$C239,'تفاصيل الفرص'!$X$2:$X$282,0)</f>
        <v>0</v>
      </c>
      <c r="F239" s="12" t="n">
        <f aca="false">COUNTIFS('سجل الأكشنات'!$B$2:$B$539,$B239,'سجل الأكشنات'!$D$2:$D$539,$C239)</f>
        <v>0</v>
      </c>
      <c r="G239" s="12" t="n">
        <f aca="false">COUNTIFS('سجل الأكشنات'!$B$2:$B$539,$B239,'سجل الأكشنات'!$D$2:$D$539,$C239,'سجل الأكشنات'!$H$2:$H$539,"تفصيلي")</f>
        <v>0</v>
      </c>
      <c r="H239" s="12" t="n">
        <f aca="false">F239-G239</f>
        <v>0</v>
      </c>
      <c r="I239" s="12" t="str">
        <f aca="false">IF($B239&gt;"2026-08-29","لا توجد بيانات بعد",IF(AND(D239=0,F239=0),"بدون نشاط","نشِط"))</f>
        <v>لا توجد بيانات بعد</v>
      </c>
    </row>
    <row r="240" customFormat="false" ht="15" hidden="false" customHeight="false" outlineLevel="0" collapsed="false">
      <c r="A240" s="12" t="s">
        <v>51</v>
      </c>
      <c r="B240" s="12" t="s">
        <v>85</v>
      </c>
      <c r="C240" s="13" t="s">
        <v>26</v>
      </c>
      <c r="D240" s="12" t="n">
        <f aca="false">COUNTIFS('تفاصيل الفرص'!$B$2:$B$282,$B240,'تفاصيل الفرص'!$D$2:$D$282,$C240)</f>
        <v>0</v>
      </c>
      <c r="E240" s="12" t="n">
        <f aca="false">COUNTIFS('تفاصيل الفرص'!$B$2:$B$282,$B240,'تفاصيل الفرص'!$D$2:$D$282,$C240,'تفاصيل الفرص'!$X$2:$X$282,0)</f>
        <v>0</v>
      </c>
      <c r="F240" s="12" t="n">
        <f aca="false">COUNTIFS('سجل الأكشنات'!$B$2:$B$539,$B240,'سجل الأكشنات'!$D$2:$D$539,$C240)</f>
        <v>0</v>
      </c>
      <c r="G240" s="12" t="n">
        <f aca="false">COUNTIFS('سجل الأكشنات'!$B$2:$B$539,$B240,'سجل الأكشنات'!$D$2:$D$539,$C240,'سجل الأكشنات'!$H$2:$H$539,"تفصيلي")</f>
        <v>0</v>
      </c>
      <c r="H240" s="12" t="n">
        <f aca="false">F240-G240</f>
        <v>0</v>
      </c>
      <c r="I240" s="12" t="str">
        <f aca="false">IF($B240&gt;"2026-08-29","لا توجد بيانات بعد",IF(AND(D240=0,F240=0),"بدون نشاط","نشِط"))</f>
        <v>لا توجد بيانات بعد</v>
      </c>
    </row>
    <row r="241" customFormat="false" ht="15" hidden="false" customHeight="false" outlineLevel="0" collapsed="false">
      <c r="A241" s="12" t="s">
        <v>51</v>
      </c>
      <c r="B241" s="12" t="s">
        <v>85</v>
      </c>
      <c r="C241" s="13" t="s">
        <v>28</v>
      </c>
      <c r="D241" s="12" t="n">
        <f aca="false">COUNTIFS('تفاصيل الفرص'!$B$2:$B$282,$B241,'تفاصيل الفرص'!$D$2:$D$282,$C241)</f>
        <v>0</v>
      </c>
      <c r="E241" s="12" t="n">
        <f aca="false">COUNTIFS('تفاصيل الفرص'!$B$2:$B$282,$B241,'تفاصيل الفرص'!$D$2:$D$282,$C241,'تفاصيل الفرص'!$X$2:$X$282,0)</f>
        <v>0</v>
      </c>
      <c r="F241" s="12" t="n">
        <f aca="false">COUNTIFS('سجل الأكشنات'!$B$2:$B$539,$B241,'سجل الأكشنات'!$D$2:$D$539,$C241)</f>
        <v>0</v>
      </c>
      <c r="G241" s="12" t="n">
        <f aca="false">COUNTIFS('سجل الأكشنات'!$B$2:$B$539,$B241,'سجل الأكشنات'!$D$2:$D$539,$C241,'سجل الأكشنات'!$H$2:$H$539,"تفصيلي")</f>
        <v>0</v>
      </c>
      <c r="H241" s="12" t="n">
        <f aca="false">F241-G241</f>
        <v>0</v>
      </c>
      <c r="I241" s="12" t="str">
        <f aca="false">IF($B241&gt;"2026-08-29","لا توجد بيانات بعد",IF(AND(D241=0,F241=0),"بدون نشاط","نشِط"))</f>
        <v>لا توجد بيانات بعد</v>
      </c>
    </row>
    <row r="242" customFormat="false" ht="15" hidden="false" customHeight="false" outlineLevel="0" collapsed="false">
      <c r="A242" s="12" t="s">
        <v>51</v>
      </c>
      <c r="B242" s="12" t="s">
        <v>85</v>
      </c>
      <c r="C242" s="13" t="s">
        <v>30</v>
      </c>
      <c r="D242" s="12" t="n">
        <f aca="false">COUNTIFS('تفاصيل الفرص'!$B$2:$B$282,$B242,'تفاصيل الفرص'!$D$2:$D$282,$C242)</f>
        <v>0</v>
      </c>
      <c r="E242" s="12" t="n">
        <f aca="false">COUNTIFS('تفاصيل الفرص'!$B$2:$B$282,$B242,'تفاصيل الفرص'!$D$2:$D$282,$C242,'تفاصيل الفرص'!$X$2:$X$282,0)</f>
        <v>0</v>
      </c>
      <c r="F242" s="12" t="n">
        <f aca="false">COUNTIFS('سجل الأكشنات'!$B$2:$B$539,$B242,'سجل الأكشنات'!$D$2:$D$539,$C242)</f>
        <v>0</v>
      </c>
      <c r="G242" s="12" t="n">
        <f aca="false">COUNTIFS('سجل الأكشنات'!$B$2:$B$539,$B242,'سجل الأكشنات'!$D$2:$D$539,$C242,'سجل الأكشنات'!$H$2:$H$539,"تفصيلي")</f>
        <v>0</v>
      </c>
      <c r="H242" s="12" t="n">
        <f aca="false">F242-G242</f>
        <v>0</v>
      </c>
      <c r="I242" s="12" t="str">
        <f aca="false">IF($B242&gt;"2026-08-29","لا توجد بيانات بعد",IF(AND(D242=0,F242=0),"بدون نشاط","نشِط"))</f>
        <v>لا توجد بيانات بعد</v>
      </c>
    </row>
    <row r="243" customFormat="false" ht="15" hidden="false" customHeight="false" outlineLevel="0" collapsed="false">
      <c r="A243" s="12" t="s">
        <v>51</v>
      </c>
      <c r="B243" s="12" t="s">
        <v>85</v>
      </c>
      <c r="C243" s="13" t="s">
        <v>32</v>
      </c>
      <c r="D243" s="12" t="n">
        <f aca="false">COUNTIFS('تفاصيل الفرص'!$B$2:$B$282,$B243,'تفاصيل الفرص'!$D$2:$D$282,$C243)</f>
        <v>0</v>
      </c>
      <c r="E243" s="12" t="n">
        <f aca="false">COUNTIFS('تفاصيل الفرص'!$B$2:$B$282,$B243,'تفاصيل الفرص'!$D$2:$D$282,$C243,'تفاصيل الفرص'!$X$2:$X$282,0)</f>
        <v>0</v>
      </c>
      <c r="F243" s="12" t="n">
        <f aca="false">COUNTIFS('سجل الأكشنات'!$B$2:$B$539,$B243,'سجل الأكشنات'!$D$2:$D$539,$C243)</f>
        <v>0</v>
      </c>
      <c r="G243" s="12" t="n">
        <f aca="false">COUNTIFS('سجل الأكشنات'!$B$2:$B$539,$B243,'سجل الأكشنات'!$D$2:$D$539,$C243,'سجل الأكشنات'!$H$2:$H$539,"تفصيلي")</f>
        <v>0</v>
      </c>
      <c r="H243" s="12" t="n">
        <f aca="false">F243-G243</f>
        <v>0</v>
      </c>
      <c r="I243" s="12" t="str">
        <f aca="false">IF($B243&gt;"2026-08-29","لا توجد بيانات بعد",IF(AND(D243=0,F243=0),"بدون نشاط","نشِط"))</f>
        <v>لا توجد بيانات بعد</v>
      </c>
    </row>
    <row r="244" customFormat="false" ht="15" hidden="false" customHeight="false" outlineLevel="0" collapsed="false">
      <c r="A244" s="5" t="s">
        <v>53</v>
      </c>
      <c r="B244" s="5" t="s">
        <v>86</v>
      </c>
      <c r="C244" s="4" t="s">
        <v>18</v>
      </c>
      <c r="D244" s="5" t="n">
        <f aca="false">COUNTIFS('تفاصيل الفرص'!$B$2:$B$282,$B244,'تفاصيل الفرص'!$D$2:$D$282,$C244)</f>
        <v>0</v>
      </c>
      <c r="E244" s="5" t="n">
        <f aca="false">COUNTIFS('تفاصيل الفرص'!$B$2:$B$282,$B244,'تفاصيل الفرص'!$D$2:$D$282,$C244,'تفاصيل الفرص'!$X$2:$X$282,0)</f>
        <v>0</v>
      </c>
      <c r="F244" s="5" t="n">
        <f aca="false">COUNTIFS('سجل الأكشنات'!$B$2:$B$539,$B244,'سجل الأكشنات'!$D$2:$D$539,$C244)</f>
        <v>0</v>
      </c>
      <c r="G244" s="5" t="n">
        <f aca="false">COUNTIFS('سجل الأكشنات'!$B$2:$B$539,$B244,'سجل الأكشنات'!$D$2:$D$539,$C244,'سجل الأكشنات'!$H$2:$H$539,"تفصيلي")</f>
        <v>0</v>
      </c>
      <c r="H244" s="5" t="n">
        <f aca="false">F244-G244</f>
        <v>0</v>
      </c>
      <c r="I244" s="5" t="str">
        <f aca="false">IF($B244&gt;"2026-08-29","لا توجد بيانات بعد",IF(AND(D244=0,F244=0),"بدون نشاط","نشِط"))</f>
        <v>لا توجد بيانات بعد</v>
      </c>
    </row>
    <row r="245" customFormat="false" ht="15" hidden="false" customHeight="false" outlineLevel="0" collapsed="false">
      <c r="A245" s="5" t="s">
        <v>53</v>
      </c>
      <c r="B245" s="5" t="s">
        <v>86</v>
      </c>
      <c r="C245" s="4" t="s">
        <v>20</v>
      </c>
      <c r="D245" s="5" t="n">
        <f aca="false">COUNTIFS('تفاصيل الفرص'!$B$2:$B$282,$B245,'تفاصيل الفرص'!$D$2:$D$282,$C245)</f>
        <v>0</v>
      </c>
      <c r="E245" s="5" t="n">
        <f aca="false">COUNTIFS('تفاصيل الفرص'!$B$2:$B$282,$B245,'تفاصيل الفرص'!$D$2:$D$282,$C245,'تفاصيل الفرص'!$X$2:$X$282,0)</f>
        <v>0</v>
      </c>
      <c r="F245" s="5" t="n">
        <f aca="false">COUNTIFS('سجل الأكشنات'!$B$2:$B$539,$B245,'سجل الأكشنات'!$D$2:$D$539,$C245)</f>
        <v>0</v>
      </c>
      <c r="G245" s="5" t="n">
        <f aca="false">COUNTIFS('سجل الأكشنات'!$B$2:$B$539,$B245,'سجل الأكشنات'!$D$2:$D$539,$C245,'سجل الأكشنات'!$H$2:$H$539,"تفصيلي")</f>
        <v>0</v>
      </c>
      <c r="H245" s="5" t="n">
        <f aca="false">F245-G245</f>
        <v>0</v>
      </c>
      <c r="I245" s="5" t="str">
        <f aca="false">IF($B245&gt;"2026-08-29","لا توجد بيانات بعد",IF(AND(D245=0,F245=0),"بدون نشاط","نشِط"))</f>
        <v>لا توجد بيانات بعد</v>
      </c>
    </row>
    <row r="246" customFormat="false" ht="15" hidden="false" customHeight="false" outlineLevel="0" collapsed="false">
      <c r="A246" s="5" t="s">
        <v>53</v>
      </c>
      <c r="B246" s="5" t="s">
        <v>86</v>
      </c>
      <c r="C246" s="4" t="s">
        <v>22</v>
      </c>
      <c r="D246" s="5" t="n">
        <f aca="false">COUNTIFS('تفاصيل الفرص'!$B$2:$B$282,$B246,'تفاصيل الفرص'!$D$2:$D$282,$C246)</f>
        <v>0</v>
      </c>
      <c r="E246" s="5" t="n">
        <f aca="false">COUNTIFS('تفاصيل الفرص'!$B$2:$B$282,$B246,'تفاصيل الفرص'!$D$2:$D$282,$C246,'تفاصيل الفرص'!$X$2:$X$282,0)</f>
        <v>0</v>
      </c>
      <c r="F246" s="5" t="n">
        <f aca="false">COUNTIFS('سجل الأكشنات'!$B$2:$B$539,$B246,'سجل الأكشنات'!$D$2:$D$539,$C246)</f>
        <v>0</v>
      </c>
      <c r="G246" s="5" t="n">
        <f aca="false">COUNTIFS('سجل الأكشنات'!$B$2:$B$539,$B246,'سجل الأكشنات'!$D$2:$D$539,$C246,'سجل الأكشنات'!$H$2:$H$539,"تفصيلي")</f>
        <v>0</v>
      </c>
      <c r="H246" s="5" t="n">
        <f aca="false">F246-G246</f>
        <v>0</v>
      </c>
      <c r="I246" s="5" t="str">
        <f aca="false">IF($B246&gt;"2026-08-29","لا توجد بيانات بعد",IF(AND(D246=0,F246=0),"بدون نشاط","نشِط"))</f>
        <v>لا توجد بيانات بعد</v>
      </c>
    </row>
    <row r="247" customFormat="false" ht="15" hidden="false" customHeight="false" outlineLevel="0" collapsed="false">
      <c r="A247" s="5" t="s">
        <v>53</v>
      </c>
      <c r="B247" s="5" t="s">
        <v>86</v>
      </c>
      <c r="C247" s="4" t="s">
        <v>24</v>
      </c>
      <c r="D247" s="5" t="n">
        <f aca="false">COUNTIFS('تفاصيل الفرص'!$B$2:$B$282,$B247,'تفاصيل الفرص'!$D$2:$D$282,$C247)</f>
        <v>0</v>
      </c>
      <c r="E247" s="5" t="n">
        <f aca="false">COUNTIFS('تفاصيل الفرص'!$B$2:$B$282,$B247,'تفاصيل الفرص'!$D$2:$D$282,$C247,'تفاصيل الفرص'!$X$2:$X$282,0)</f>
        <v>0</v>
      </c>
      <c r="F247" s="5" t="n">
        <f aca="false">COUNTIFS('سجل الأكشنات'!$B$2:$B$539,$B247,'سجل الأكشنات'!$D$2:$D$539,$C247)</f>
        <v>0</v>
      </c>
      <c r="G247" s="5" t="n">
        <f aca="false">COUNTIFS('سجل الأكشنات'!$B$2:$B$539,$B247,'سجل الأكشنات'!$D$2:$D$539,$C247,'سجل الأكشنات'!$H$2:$H$539,"تفصيلي")</f>
        <v>0</v>
      </c>
      <c r="H247" s="5" t="n">
        <f aca="false">F247-G247</f>
        <v>0</v>
      </c>
      <c r="I247" s="5" t="str">
        <f aca="false">IF($B247&gt;"2026-08-29","لا توجد بيانات بعد",IF(AND(D247=0,F247=0),"بدون نشاط","نشِط"))</f>
        <v>لا توجد بيانات بعد</v>
      </c>
    </row>
    <row r="248" customFormat="false" ht="15" hidden="false" customHeight="false" outlineLevel="0" collapsed="false">
      <c r="A248" s="5" t="s">
        <v>53</v>
      </c>
      <c r="B248" s="5" t="s">
        <v>86</v>
      </c>
      <c r="C248" s="4" t="s">
        <v>26</v>
      </c>
      <c r="D248" s="5" t="n">
        <f aca="false">COUNTIFS('تفاصيل الفرص'!$B$2:$B$282,$B248,'تفاصيل الفرص'!$D$2:$D$282,$C248)</f>
        <v>0</v>
      </c>
      <c r="E248" s="5" t="n">
        <f aca="false">COUNTIFS('تفاصيل الفرص'!$B$2:$B$282,$B248,'تفاصيل الفرص'!$D$2:$D$282,$C248,'تفاصيل الفرص'!$X$2:$X$282,0)</f>
        <v>0</v>
      </c>
      <c r="F248" s="5" t="n">
        <f aca="false">COUNTIFS('سجل الأكشنات'!$B$2:$B$539,$B248,'سجل الأكشنات'!$D$2:$D$539,$C248)</f>
        <v>0</v>
      </c>
      <c r="G248" s="5" t="n">
        <f aca="false">COUNTIFS('سجل الأكشنات'!$B$2:$B$539,$B248,'سجل الأكشنات'!$D$2:$D$539,$C248,'سجل الأكشنات'!$H$2:$H$539,"تفصيلي")</f>
        <v>0</v>
      </c>
      <c r="H248" s="5" t="n">
        <f aca="false">F248-G248</f>
        <v>0</v>
      </c>
      <c r="I248" s="5" t="str">
        <f aca="false">IF($B248&gt;"2026-08-29","لا توجد بيانات بعد",IF(AND(D248=0,F248=0),"بدون نشاط","نشِط"))</f>
        <v>لا توجد بيانات بعد</v>
      </c>
    </row>
    <row r="249" customFormat="false" ht="15" hidden="false" customHeight="false" outlineLevel="0" collapsed="false">
      <c r="A249" s="5" t="s">
        <v>53</v>
      </c>
      <c r="B249" s="5" t="s">
        <v>86</v>
      </c>
      <c r="C249" s="4" t="s">
        <v>28</v>
      </c>
      <c r="D249" s="5" t="n">
        <f aca="false">COUNTIFS('تفاصيل الفرص'!$B$2:$B$282,$B249,'تفاصيل الفرص'!$D$2:$D$282,$C249)</f>
        <v>0</v>
      </c>
      <c r="E249" s="5" t="n">
        <f aca="false">COUNTIFS('تفاصيل الفرص'!$B$2:$B$282,$B249,'تفاصيل الفرص'!$D$2:$D$282,$C249,'تفاصيل الفرص'!$X$2:$X$282,0)</f>
        <v>0</v>
      </c>
      <c r="F249" s="5" t="n">
        <f aca="false">COUNTIFS('سجل الأكشنات'!$B$2:$B$539,$B249,'سجل الأكشنات'!$D$2:$D$539,$C249)</f>
        <v>0</v>
      </c>
      <c r="G249" s="5" t="n">
        <f aca="false">COUNTIFS('سجل الأكشنات'!$B$2:$B$539,$B249,'سجل الأكشنات'!$D$2:$D$539,$C249,'سجل الأكشنات'!$H$2:$H$539,"تفصيلي")</f>
        <v>0</v>
      </c>
      <c r="H249" s="5" t="n">
        <f aca="false">F249-G249</f>
        <v>0</v>
      </c>
      <c r="I249" s="5" t="str">
        <f aca="false">IF($B249&gt;"2026-08-29","لا توجد بيانات بعد",IF(AND(D249=0,F249=0),"بدون نشاط","نشِط"))</f>
        <v>لا توجد بيانات بعد</v>
      </c>
    </row>
    <row r="250" customFormat="false" ht="15" hidden="false" customHeight="false" outlineLevel="0" collapsed="false">
      <c r="A250" s="5" t="s">
        <v>53</v>
      </c>
      <c r="B250" s="5" t="s">
        <v>86</v>
      </c>
      <c r="C250" s="4" t="s">
        <v>30</v>
      </c>
      <c r="D250" s="5" t="n">
        <f aca="false">COUNTIFS('تفاصيل الفرص'!$B$2:$B$282,$B250,'تفاصيل الفرص'!$D$2:$D$282,$C250)</f>
        <v>0</v>
      </c>
      <c r="E250" s="5" t="n">
        <f aca="false">COUNTIFS('تفاصيل الفرص'!$B$2:$B$282,$B250,'تفاصيل الفرص'!$D$2:$D$282,$C250,'تفاصيل الفرص'!$X$2:$X$282,0)</f>
        <v>0</v>
      </c>
      <c r="F250" s="5" t="n">
        <f aca="false">COUNTIFS('سجل الأكشنات'!$B$2:$B$539,$B250,'سجل الأكشنات'!$D$2:$D$539,$C250)</f>
        <v>0</v>
      </c>
      <c r="G250" s="5" t="n">
        <f aca="false">COUNTIFS('سجل الأكشنات'!$B$2:$B$539,$B250,'سجل الأكشنات'!$D$2:$D$539,$C250,'سجل الأكشنات'!$H$2:$H$539,"تفصيلي")</f>
        <v>0</v>
      </c>
      <c r="H250" s="5" t="n">
        <f aca="false">F250-G250</f>
        <v>0</v>
      </c>
      <c r="I250" s="5" t="str">
        <f aca="false">IF($B250&gt;"2026-08-29","لا توجد بيانات بعد",IF(AND(D250=0,F250=0),"بدون نشاط","نشِط"))</f>
        <v>لا توجد بيانات بعد</v>
      </c>
    </row>
    <row r="251" customFormat="false" ht="15" hidden="false" customHeight="false" outlineLevel="0" collapsed="false">
      <c r="A251" s="5" t="s">
        <v>53</v>
      </c>
      <c r="B251" s="5" t="s">
        <v>86</v>
      </c>
      <c r="C251" s="4" t="s">
        <v>32</v>
      </c>
      <c r="D251" s="5" t="n">
        <f aca="false">COUNTIFS('تفاصيل الفرص'!$B$2:$B$282,$B251,'تفاصيل الفرص'!$D$2:$D$282,$C251)</f>
        <v>0</v>
      </c>
      <c r="E251" s="5" t="n">
        <f aca="false">COUNTIFS('تفاصيل الفرص'!$B$2:$B$282,$B251,'تفاصيل الفرص'!$D$2:$D$282,$C251,'تفاصيل الفرص'!$X$2:$X$282,0)</f>
        <v>0</v>
      </c>
      <c r="F251" s="5" t="n">
        <f aca="false">COUNTIFS('سجل الأكشنات'!$B$2:$B$539,$B251,'سجل الأكشنات'!$D$2:$D$539,$C251)</f>
        <v>0</v>
      </c>
      <c r="G251" s="5" t="n">
        <f aca="false">COUNTIFS('سجل الأكشنات'!$B$2:$B$539,$B251,'سجل الأكشنات'!$D$2:$D$539,$C251,'سجل الأكشنات'!$H$2:$H$539,"تفصيلي")</f>
        <v>0</v>
      </c>
      <c r="H251" s="5" t="n">
        <f aca="false">F251-G251</f>
        <v>0</v>
      </c>
      <c r="I251" s="5" t="str">
        <f aca="false">IF($B251&gt;"2026-08-29","لا توجد بيانات بعد",IF(AND(D251=0,F251=0),"بدون نشاط","نشِط"))</f>
        <v>لا توجد بيانات بعد</v>
      </c>
    </row>
  </sheetData>
  <autoFilter ref="A3:I251"/>
  <mergeCells count="1">
    <mergeCell ref="A1:F1"/>
  </mergeCells>
  <conditionalFormatting sqref="I4:I251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251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3" min="7" style="0" width="16"/>
  </cols>
  <sheetData>
    <row r="1" customFormat="false" ht="17.35" hidden="false" customHeight="false" outlineLevel="0" collapsed="false">
      <c r="A1" s="14" t="s">
        <v>87</v>
      </c>
    </row>
    <row r="2" customFormat="false" ht="15" hidden="false" customHeight="false" outlineLevel="0" collapsed="false">
      <c r="A2" s="15" t="s">
        <v>88</v>
      </c>
    </row>
    <row r="4" customFormat="false" ht="15" hidden="false" customHeight="false" outlineLevel="0" collapsed="false">
      <c r="A4" s="16" t="s">
        <v>89</v>
      </c>
    </row>
    <row r="5" customFormat="false" ht="51.75" hidden="false" customHeight="true" outlineLevel="0" collapsed="false">
      <c r="A5" s="3" t="s">
        <v>90</v>
      </c>
      <c r="B5" s="3" t="s">
        <v>91</v>
      </c>
      <c r="C5" s="3" t="s">
        <v>92</v>
      </c>
      <c r="D5" s="3" t="s">
        <v>93</v>
      </c>
      <c r="E5" s="3" t="s">
        <v>94</v>
      </c>
      <c r="F5" s="3" t="s">
        <v>95</v>
      </c>
      <c r="G5" s="3" t="s">
        <v>18</v>
      </c>
      <c r="H5" s="3" t="s">
        <v>22</v>
      </c>
      <c r="I5" s="3" t="s">
        <v>24</v>
      </c>
      <c r="J5" s="3" t="s">
        <v>26</v>
      </c>
      <c r="K5" s="3" t="s">
        <v>28</v>
      </c>
      <c r="L5" s="3" t="s">
        <v>30</v>
      </c>
      <c r="M5" s="3" t="s">
        <v>32</v>
      </c>
    </row>
    <row r="6" customFormat="false" ht="15" hidden="false" customHeight="false" outlineLevel="0" collapsed="false">
      <c r="A6" s="4" t="s">
        <v>96</v>
      </c>
      <c r="B6" s="4" t="s">
        <v>97</v>
      </c>
      <c r="C6" s="5" t="n">
        <f aca="false">COUNTIF('تفاصيل الفرص'!$I$2:$I$282,"لا")</f>
        <v>18</v>
      </c>
      <c r="D6" s="6" t="n">
        <f aca="false">IF(281=0,0,C6/281)</f>
        <v>0.0640569395017794</v>
      </c>
      <c r="E6" s="5" t="n">
        <v>4</v>
      </c>
      <c r="F6" s="4" t="s">
        <v>98</v>
      </c>
      <c r="G6" s="5" t="n">
        <f aca="false">COUNTIFS('تفاصيل الفرص'!$D$2:$D$282,G$5,'تفاصيل الفرص'!$I$2:$I$282,"لا")</f>
        <v>1</v>
      </c>
      <c r="H6" s="5" t="n">
        <f aca="false">COUNTIFS('تفاصيل الفرص'!$D$2:$D$282,H$5,'تفاصيل الفرص'!$I$2:$I$282,"لا")</f>
        <v>0</v>
      </c>
      <c r="I6" s="5" t="n">
        <f aca="false">COUNTIFS('تفاصيل الفرص'!$D$2:$D$282,I$5,'تفاصيل الفرص'!$I$2:$I$282,"لا")</f>
        <v>13</v>
      </c>
      <c r="J6" s="5" t="n">
        <f aca="false">COUNTIFS('تفاصيل الفرص'!$D$2:$D$282,J$5,'تفاصيل الفرص'!$I$2:$I$282,"لا")</f>
        <v>0</v>
      </c>
      <c r="K6" s="5" t="n">
        <f aca="false">COUNTIFS('تفاصيل الفرص'!$D$2:$D$282,K$5,'تفاصيل الفرص'!$I$2:$I$282,"لا")</f>
        <v>1</v>
      </c>
      <c r="L6" s="5" t="n">
        <f aca="false">COUNTIFS('تفاصيل الفرص'!$D$2:$D$282,L$5,'تفاصيل الفرص'!$I$2:$I$282,"لا")</f>
        <v>0</v>
      </c>
      <c r="M6" s="5" t="n">
        <f aca="false">COUNTIFS('تفاصيل الفرص'!$D$2:$D$282,M$5,'تفاصيل الفرص'!$I$2:$I$282,"لا")</f>
        <v>3</v>
      </c>
    </row>
    <row r="7" customFormat="false" ht="15" hidden="false" customHeight="false" outlineLevel="0" collapsed="false">
      <c r="A7" s="4" t="s">
        <v>99</v>
      </c>
      <c r="B7" s="4" t="s">
        <v>5</v>
      </c>
      <c r="C7" s="5" t="n">
        <f aca="false">COUNTIF('تفاصيل الفرص'!$K$2:$K$282,"لا")</f>
        <v>256</v>
      </c>
      <c r="D7" s="6" t="n">
        <f aca="false">IF(281=0,0,C7/281)</f>
        <v>0.911032028469751</v>
      </c>
      <c r="E7" s="5" t="n">
        <v>7</v>
      </c>
      <c r="F7" s="4" t="s">
        <v>100</v>
      </c>
      <c r="G7" s="5" t="n">
        <f aca="false">COUNTIFS('تفاصيل الفرص'!$D$2:$D$282,G$5,'تفاصيل الفرص'!$K$2:$K$282,"لا")</f>
        <v>9</v>
      </c>
      <c r="H7" s="5" t="n">
        <f aca="false">COUNTIFS('تفاصيل الفرص'!$D$2:$D$282,H$5,'تفاصيل الفرص'!$K$2:$K$282,"لا")</f>
        <v>38</v>
      </c>
      <c r="I7" s="5" t="n">
        <f aca="false">COUNTIFS('تفاصيل الفرص'!$D$2:$D$282,I$5,'تفاصيل الفرص'!$K$2:$K$282,"لا")</f>
        <v>12</v>
      </c>
      <c r="J7" s="5" t="n">
        <f aca="false">COUNTIFS('تفاصيل الفرص'!$D$2:$D$282,J$5,'تفاصيل الفرص'!$K$2:$K$282,"لا")</f>
        <v>8</v>
      </c>
      <c r="K7" s="5" t="n">
        <f aca="false">COUNTIFS('تفاصيل الفرص'!$D$2:$D$282,K$5,'تفاصيل الفرص'!$K$2:$K$282,"لا")</f>
        <v>134</v>
      </c>
      <c r="L7" s="5" t="n">
        <f aca="false">COUNTIFS('تفاصيل الفرص'!$D$2:$D$282,L$5,'تفاصيل الفرص'!$K$2:$K$282,"لا")</f>
        <v>30</v>
      </c>
      <c r="M7" s="5" t="n">
        <f aca="false">COUNTIFS('تفاصيل الفرص'!$D$2:$D$282,M$5,'تفاصيل الفرص'!$K$2:$K$282,"لا")</f>
        <v>25</v>
      </c>
    </row>
    <row r="8" customFormat="false" ht="15" hidden="false" customHeight="false" outlineLevel="0" collapsed="false">
      <c r="A8" s="4" t="s">
        <v>101</v>
      </c>
      <c r="B8" s="4" t="s">
        <v>6</v>
      </c>
      <c r="C8" s="5" t="n">
        <f aca="false">COUNTIF('تفاصيل الفرص'!$M$2:$M$282,"لا")</f>
        <v>91</v>
      </c>
      <c r="D8" s="6" t="n">
        <f aca="false">IF(281=0,0,C8/281)</f>
        <v>0.323843416370107</v>
      </c>
      <c r="E8" s="5" t="n">
        <v>7</v>
      </c>
      <c r="F8" s="4" t="s">
        <v>102</v>
      </c>
      <c r="G8" s="5" t="n">
        <f aca="false">COUNTIFS('تفاصيل الفرص'!$D$2:$D$282,G$5,'تفاصيل الفرص'!$M$2:$M$282,"لا")</f>
        <v>5</v>
      </c>
      <c r="H8" s="5" t="n">
        <f aca="false">COUNTIFS('تفاصيل الفرص'!$D$2:$D$282,H$5,'تفاصيل الفرص'!$M$2:$M$282,"لا")</f>
        <v>21</v>
      </c>
      <c r="I8" s="5" t="n">
        <f aca="false">COUNTIFS('تفاصيل الفرص'!$D$2:$D$282,I$5,'تفاصيل الفرص'!$M$2:$M$282,"لا")</f>
        <v>5</v>
      </c>
      <c r="J8" s="5" t="n">
        <f aca="false">COUNTIFS('تفاصيل الفرص'!$D$2:$D$282,J$5,'تفاصيل الفرص'!$M$2:$M$282,"لا")</f>
        <v>9</v>
      </c>
      <c r="K8" s="5" t="n">
        <f aca="false">COUNTIFS('تفاصيل الفرص'!$D$2:$D$282,K$5,'تفاصيل الفرص'!$M$2:$M$282,"لا")</f>
        <v>29</v>
      </c>
      <c r="L8" s="5" t="n">
        <f aca="false">COUNTIFS('تفاصيل الفرص'!$D$2:$D$282,L$5,'تفاصيل الفرص'!$M$2:$M$282,"لا")</f>
        <v>19</v>
      </c>
      <c r="M8" s="5" t="n">
        <f aca="false">COUNTIFS('تفاصيل الفرص'!$D$2:$D$282,M$5,'تفاصيل الفرص'!$M$2:$M$282,"لا")</f>
        <v>3</v>
      </c>
    </row>
    <row r="9" customFormat="false" ht="15" hidden="false" customHeight="false" outlineLevel="0" collapsed="false">
      <c r="A9" s="4" t="s">
        <v>103</v>
      </c>
      <c r="B9" s="4" t="s">
        <v>7</v>
      </c>
      <c r="C9" s="5" t="n">
        <f aca="false">COUNTIF('تفاصيل الفرص'!$O$2:$O$282,"لا")</f>
        <v>113</v>
      </c>
      <c r="D9" s="6" t="n">
        <f aca="false">IF(281=0,0,C9/281)</f>
        <v>0.402135231316726</v>
      </c>
      <c r="E9" s="5" t="n">
        <v>7</v>
      </c>
      <c r="F9" s="4" t="s">
        <v>104</v>
      </c>
      <c r="G9" s="5" t="n">
        <f aca="false">COUNTIFS('تفاصيل الفرص'!$D$2:$D$282,G$5,'تفاصيل الفرص'!$O$2:$O$282,"لا")</f>
        <v>4</v>
      </c>
      <c r="H9" s="5" t="n">
        <f aca="false">COUNTIFS('تفاصيل الفرص'!$D$2:$D$282,H$5,'تفاصيل الفرص'!$O$2:$O$282,"لا")</f>
        <v>17</v>
      </c>
      <c r="I9" s="5" t="n">
        <f aca="false">COUNTIFS('تفاصيل الفرص'!$D$2:$D$282,I$5,'تفاصيل الفرص'!$O$2:$O$282,"لا")</f>
        <v>11</v>
      </c>
      <c r="J9" s="5" t="n">
        <f aca="false">COUNTIFS('تفاصيل الفرص'!$D$2:$D$282,J$5,'تفاصيل الفرص'!$O$2:$O$282,"لا")</f>
        <v>11</v>
      </c>
      <c r="K9" s="5" t="n">
        <f aca="false">COUNTIFS('تفاصيل الفرص'!$D$2:$D$282,K$5,'تفاصيل الفرص'!$O$2:$O$282,"لا")</f>
        <v>50</v>
      </c>
      <c r="L9" s="5" t="n">
        <f aca="false">COUNTIFS('تفاصيل الفرص'!$D$2:$D$282,L$5,'تفاصيل الفرص'!$O$2:$O$282,"لا")</f>
        <v>18</v>
      </c>
      <c r="M9" s="5" t="n">
        <f aca="false">COUNTIFS('تفاصيل الفرص'!$D$2:$D$282,M$5,'تفاصيل الفرص'!$O$2:$O$282,"لا")</f>
        <v>2</v>
      </c>
    </row>
    <row r="10" customFormat="false" ht="15" hidden="false" customHeight="false" outlineLevel="0" collapsed="false">
      <c r="A10" s="4" t="s">
        <v>105</v>
      </c>
      <c r="B10" s="4" t="s">
        <v>8</v>
      </c>
      <c r="C10" s="5" t="n">
        <f aca="false">COUNTIF('تفاصيل الفرص'!$Q$2:$Q$282,"لا")</f>
        <v>43</v>
      </c>
      <c r="D10" s="6" t="n">
        <f aca="false">IF(281=0,0,C10/281)</f>
        <v>0.153024911032028</v>
      </c>
      <c r="E10" s="5" t="n">
        <v>6</v>
      </c>
      <c r="F10" s="4" t="s">
        <v>106</v>
      </c>
      <c r="G10" s="5" t="n">
        <f aca="false">COUNTIFS('تفاصيل الفرص'!$D$2:$D$282,G$5,'تفاصيل الفرص'!$Q$2:$Q$282,"لا")</f>
        <v>1</v>
      </c>
      <c r="H10" s="5" t="n">
        <f aca="false">COUNTIFS('تفاصيل الفرص'!$D$2:$D$282,H$5,'تفاصيل الفرص'!$Q$2:$Q$282,"لا")</f>
        <v>2</v>
      </c>
      <c r="I10" s="5" t="n">
        <f aca="false">COUNTIFS('تفاصيل الفرص'!$D$2:$D$282,I$5,'تفاصيل الفرص'!$Q$2:$Q$282,"لا")</f>
        <v>9</v>
      </c>
      <c r="J10" s="5" t="n">
        <f aca="false">COUNTIFS('تفاصيل الفرص'!$D$2:$D$282,J$5,'تفاصيل الفرص'!$Q$2:$Q$282,"لا")</f>
        <v>2</v>
      </c>
      <c r="K10" s="5" t="n">
        <f aca="false">COUNTIFS('تفاصيل الفرص'!$D$2:$D$282,K$5,'تفاصيل الفرص'!$Q$2:$Q$282,"لا")</f>
        <v>10</v>
      </c>
      <c r="L10" s="5" t="n">
        <f aca="false">COUNTIFS('تفاصيل الفرص'!$D$2:$D$282,L$5,'تفاصيل الفرص'!$Q$2:$Q$282,"لا")</f>
        <v>19</v>
      </c>
      <c r="M10" s="5" t="n">
        <f aca="false">COUNTIFS('تفاصيل الفرص'!$D$2:$D$282,M$5,'تفاصيل الفرص'!$Q$2:$Q$282,"لا")</f>
        <v>0</v>
      </c>
    </row>
    <row r="11" customFormat="false" ht="15" hidden="false" customHeight="false" outlineLevel="0" collapsed="false">
      <c r="A11" s="4" t="s">
        <v>107</v>
      </c>
      <c r="B11" s="4" t="s">
        <v>9</v>
      </c>
      <c r="C11" s="5" t="n">
        <f aca="false">COUNTIF('تفاصيل الفرص'!$S$2:$S$282,"لا")</f>
        <v>272</v>
      </c>
      <c r="D11" s="6" t="n">
        <f aca="false">IF(281=0,0,C11/281)</f>
        <v>0.96797153024911</v>
      </c>
      <c r="E11" s="5" t="n">
        <v>7</v>
      </c>
      <c r="F11" s="4" t="s">
        <v>108</v>
      </c>
      <c r="G11" s="5" t="n">
        <f aca="false">COUNTIFS('تفاصيل الفرص'!$D$2:$D$282,G$5,'تفاصيل الفرص'!$S$2:$S$282,"لا")</f>
        <v>12</v>
      </c>
      <c r="H11" s="5" t="n">
        <f aca="false">COUNTIFS('تفاصيل الفرص'!$D$2:$D$282,H$5,'تفاصيل الفرص'!$S$2:$S$282,"لا")</f>
        <v>41</v>
      </c>
      <c r="I11" s="5" t="n">
        <f aca="false">COUNTIFS('تفاصيل الفرص'!$D$2:$D$282,I$5,'تفاصيل الفرص'!$S$2:$S$282,"لا")</f>
        <v>15</v>
      </c>
      <c r="J11" s="5" t="n">
        <f aca="false">COUNTIFS('تفاصيل الفرص'!$D$2:$D$282,J$5,'تفاصيل الفرص'!$S$2:$S$282,"لا")</f>
        <v>7</v>
      </c>
      <c r="K11" s="5" t="n">
        <f aca="false">COUNTIFS('تفاصيل الفرص'!$D$2:$D$282,K$5,'تفاصيل الفرص'!$S$2:$S$282,"لا")</f>
        <v>135</v>
      </c>
      <c r="L11" s="5" t="n">
        <f aca="false">COUNTIFS('تفاصيل الفرص'!$D$2:$D$282,L$5,'تفاصيل الفرص'!$S$2:$S$282,"لا")</f>
        <v>36</v>
      </c>
      <c r="M11" s="5" t="n">
        <f aca="false">COUNTIFS('تفاصيل الفرص'!$D$2:$D$282,M$5,'تفاصيل الفرص'!$S$2:$S$282,"لا")</f>
        <v>26</v>
      </c>
    </row>
    <row r="12" customFormat="false" ht="15" hidden="false" customHeight="false" outlineLevel="0" collapsed="false">
      <c r="A12" s="4" t="s">
        <v>109</v>
      </c>
      <c r="B12" s="4" t="s">
        <v>10</v>
      </c>
      <c r="C12" s="5" t="n">
        <f aca="false">COUNTIF('تفاصيل الفرص'!$U$2:$U$282,"لا")</f>
        <v>179</v>
      </c>
      <c r="D12" s="6" t="n">
        <f aca="false">IF(281=0,0,C12/281)</f>
        <v>0.637010676156584</v>
      </c>
      <c r="E12" s="5" t="n">
        <v>6</v>
      </c>
      <c r="F12" s="4" t="s">
        <v>110</v>
      </c>
      <c r="G12" s="5" t="n">
        <f aca="false">COUNTIFS('تفاصيل الفرص'!$D$2:$D$282,G$5,'تفاصيل الفرص'!$U$2:$U$282,"لا")</f>
        <v>12</v>
      </c>
      <c r="H12" s="5" t="n">
        <f aca="false">COUNTIFS('تفاصيل الفرص'!$D$2:$D$282,H$5,'تفاصيل الفرص'!$U$2:$U$282,"لا")</f>
        <v>30</v>
      </c>
      <c r="I12" s="5" t="n">
        <f aca="false">COUNTIFS('تفاصيل الفرص'!$D$2:$D$282,I$5,'تفاصيل الفرص'!$U$2:$U$282,"لا")</f>
        <v>11</v>
      </c>
      <c r="J12" s="5" t="n">
        <f aca="false">COUNTIFS('تفاصيل الفرص'!$D$2:$D$282,J$5,'تفاصيل الفرص'!$U$2:$U$282,"لا")</f>
        <v>0</v>
      </c>
      <c r="K12" s="5" t="n">
        <f aca="false">COUNTIFS('تفاصيل الفرص'!$D$2:$D$282,K$5,'تفاصيل الفرص'!$U$2:$U$282,"لا")</f>
        <v>101</v>
      </c>
      <c r="L12" s="5" t="n">
        <f aca="false">COUNTIFS('تفاصيل الفرص'!$D$2:$D$282,L$5,'تفاصيل الفرص'!$U$2:$U$282,"لا")</f>
        <v>20</v>
      </c>
      <c r="M12" s="5" t="n">
        <f aca="false">COUNTIFS('تفاصيل الفرص'!$D$2:$D$282,M$5,'تفاصيل الفرص'!$U$2:$U$282,"لا")</f>
        <v>5</v>
      </c>
    </row>
    <row r="13" customFormat="false" ht="15" hidden="false" customHeight="false" outlineLevel="0" collapsed="false">
      <c r="A13" s="4" t="s">
        <v>111</v>
      </c>
      <c r="B13" s="4" t="s">
        <v>11</v>
      </c>
      <c r="C13" s="5" t="n">
        <f aca="false">COUNTIF('تفاصيل الفرص'!$W$2:$W$282,"لا")</f>
        <v>258</v>
      </c>
      <c r="D13" s="6" t="n">
        <f aca="false">IF(281=0,0,C13/281)</f>
        <v>0.918149466192171</v>
      </c>
      <c r="E13" s="5" t="n">
        <v>7</v>
      </c>
      <c r="F13" s="4" t="s">
        <v>108</v>
      </c>
      <c r="G13" s="5" t="n">
        <f aca="false">COUNTIFS('تفاصيل الفرص'!$D$2:$D$282,G$5,'تفاصيل الفرص'!$W$2:$W$282,"لا")</f>
        <v>7</v>
      </c>
      <c r="H13" s="5" t="n">
        <f aca="false">COUNTIFS('تفاصيل الفرص'!$D$2:$D$282,H$5,'تفاصيل الفرص'!$W$2:$W$282,"لا")</f>
        <v>33</v>
      </c>
      <c r="I13" s="5" t="n">
        <f aca="false">COUNTIFS('تفاصيل الفرص'!$D$2:$D$282,I$5,'تفاصيل الفرص'!$W$2:$W$282,"لا")</f>
        <v>16</v>
      </c>
      <c r="J13" s="5" t="n">
        <f aca="false">COUNTIFS('تفاصيل الفرص'!$D$2:$D$282,J$5,'تفاصيل الفرص'!$W$2:$W$282,"لا")</f>
        <v>9</v>
      </c>
      <c r="K13" s="5" t="n">
        <f aca="false">COUNTIFS('تفاصيل الفرص'!$D$2:$D$282,K$5,'تفاصيل الفرص'!$W$2:$W$282,"لا")</f>
        <v>135</v>
      </c>
      <c r="L13" s="5" t="n">
        <f aca="false">COUNTIFS('تفاصيل الفرص'!$D$2:$D$282,L$5,'تفاصيل الفرص'!$W$2:$W$282,"لا")</f>
        <v>35</v>
      </c>
      <c r="M13" s="5" t="n">
        <f aca="false">COUNTIFS('تفاصيل الفرص'!$D$2:$D$282,M$5,'تفاصيل الفرص'!$W$2:$W$282,"لا")</f>
        <v>23</v>
      </c>
    </row>
    <row r="16" customFormat="false" ht="15" hidden="false" customHeight="false" outlineLevel="0" collapsed="false">
      <c r="A16" s="16" t="s">
        <v>112</v>
      </c>
    </row>
    <row r="17" customFormat="false" ht="31.5" hidden="false" customHeight="true" outlineLevel="0" collapsed="false">
      <c r="A17" s="3" t="s">
        <v>113</v>
      </c>
      <c r="B17" s="3" t="s">
        <v>3</v>
      </c>
      <c r="C17" s="3" t="s">
        <v>114</v>
      </c>
    </row>
    <row r="18" customFormat="false" ht="15" hidden="false" customHeight="false" outlineLevel="0" collapsed="false">
      <c r="A18" s="4" t="s">
        <v>115</v>
      </c>
      <c r="B18" s="5" t="n">
        <v>72</v>
      </c>
      <c r="C18" s="6" t="n">
        <f aca="false">IF(281=0,0,B18/281)</f>
        <v>0.256227758007117</v>
      </c>
    </row>
    <row r="19" customFormat="false" ht="15" hidden="false" customHeight="false" outlineLevel="0" collapsed="false">
      <c r="A19" s="4" t="s">
        <v>116</v>
      </c>
      <c r="B19" s="5" t="n">
        <v>38</v>
      </c>
      <c r="C19" s="6" t="n">
        <f aca="false">IF(281=0,0,B19/281)</f>
        <v>0.135231316725979</v>
      </c>
    </row>
    <row r="20" customFormat="false" ht="15" hidden="false" customHeight="false" outlineLevel="0" collapsed="false">
      <c r="A20" s="4" t="s">
        <v>117</v>
      </c>
      <c r="B20" s="5" t="n">
        <v>24</v>
      </c>
      <c r="C20" s="6" t="n">
        <f aca="false">IF(281=0,0,B20/281)</f>
        <v>0.0854092526690392</v>
      </c>
    </row>
    <row r="21" customFormat="false" ht="23.85" hidden="false" customHeight="false" outlineLevel="0" collapsed="false">
      <c r="A21" s="4" t="s">
        <v>118</v>
      </c>
      <c r="B21" s="5" t="n">
        <v>23</v>
      </c>
      <c r="C21" s="6" t="n">
        <f aca="false">IF(281=0,0,B21/281)</f>
        <v>0.0818505338078292</v>
      </c>
    </row>
    <row r="22" customFormat="false" ht="23.85" hidden="false" customHeight="false" outlineLevel="0" collapsed="false">
      <c r="A22" s="4" t="s">
        <v>119</v>
      </c>
      <c r="B22" s="5" t="n">
        <v>16</v>
      </c>
      <c r="C22" s="6" t="n">
        <f aca="false">IF(281=0,0,B22/281)</f>
        <v>0.0569395017793594</v>
      </c>
    </row>
    <row r="23" customFormat="false" ht="23.85" hidden="false" customHeight="false" outlineLevel="0" collapsed="false">
      <c r="A23" s="4" t="s">
        <v>120</v>
      </c>
      <c r="B23" s="5" t="n">
        <v>15</v>
      </c>
      <c r="C23" s="6" t="n">
        <f aca="false">IF(281=0,0,B23/281)</f>
        <v>0.0533807829181495</v>
      </c>
    </row>
    <row r="24" customFormat="false" ht="23.85" hidden="false" customHeight="false" outlineLevel="0" collapsed="false">
      <c r="A24" s="4" t="s">
        <v>121</v>
      </c>
      <c r="B24" s="5" t="n">
        <v>10</v>
      </c>
      <c r="C24" s="6" t="n">
        <f aca="false">IF(281=0,0,B24/281)</f>
        <v>0.0355871886120997</v>
      </c>
    </row>
    <row r="25" customFormat="false" ht="15" hidden="false" customHeight="false" outlineLevel="0" collapsed="false">
      <c r="A25" s="4" t="s">
        <v>122</v>
      </c>
      <c r="B25" s="5" t="n">
        <v>10</v>
      </c>
      <c r="C25" s="6" t="n">
        <f aca="false">IF(281=0,0,B25/281)</f>
        <v>0.0355871886120997</v>
      </c>
    </row>
    <row r="26" customFormat="false" ht="15" hidden="false" customHeight="false" outlineLevel="0" collapsed="false">
      <c r="A26" s="4" t="s">
        <v>123</v>
      </c>
      <c r="B26" s="5" t="n">
        <v>9</v>
      </c>
      <c r="C26" s="6" t="n">
        <f aca="false">IF(281=0,0,B26/281)</f>
        <v>0.0320284697508897</v>
      </c>
    </row>
    <row r="27" customFormat="false" ht="15" hidden="false" customHeight="false" outlineLevel="0" collapsed="false">
      <c r="A27" s="4" t="s">
        <v>124</v>
      </c>
      <c r="B27" s="5" t="n">
        <v>6</v>
      </c>
      <c r="C27" s="6" t="n">
        <f aca="false">IF(281=0,0,B27/281)</f>
        <v>0.0213523131672598</v>
      </c>
    </row>
    <row r="28" customFormat="false" ht="15" hidden="false" customHeight="false" outlineLevel="0" collapsed="false">
      <c r="A28" s="4" t="s">
        <v>125</v>
      </c>
      <c r="B28" s="5" t="n">
        <v>5</v>
      </c>
      <c r="C28" s="6" t="n">
        <f aca="false">IF(281=0,0,B28/281)</f>
        <v>0.0177935943060498</v>
      </c>
    </row>
    <row r="29" customFormat="false" ht="15" hidden="false" customHeight="false" outlineLevel="0" collapsed="false">
      <c r="A29" s="4" t="s">
        <v>126</v>
      </c>
      <c r="B29" s="5" t="n">
        <v>5</v>
      </c>
      <c r="C29" s="6" t="n">
        <f aca="false">IF(281=0,0,B29/281)</f>
        <v>0.0177935943060498</v>
      </c>
    </row>
    <row r="32" customFormat="false" ht="15" hidden="false" customHeight="false" outlineLevel="0" collapsed="false">
      <c r="A32" s="16" t="s">
        <v>127</v>
      </c>
    </row>
    <row r="33" customFormat="false" ht="51.75" hidden="false" customHeight="true" outlineLevel="0" collapsed="false">
      <c r="A33" s="3" t="s">
        <v>128</v>
      </c>
      <c r="B33" s="3" t="s">
        <v>13</v>
      </c>
      <c r="C33" s="3" t="s">
        <v>129</v>
      </c>
      <c r="D33" s="3" t="s">
        <v>18</v>
      </c>
      <c r="E33" s="3" t="s">
        <v>22</v>
      </c>
      <c r="F33" s="3" t="s">
        <v>24</v>
      </c>
      <c r="G33" s="3" t="s">
        <v>26</v>
      </c>
      <c r="H33" s="3" t="s">
        <v>28</v>
      </c>
      <c r="I33" s="3" t="s">
        <v>30</v>
      </c>
      <c r="J33" s="3" t="s">
        <v>32</v>
      </c>
    </row>
    <row r="34" customFormat="false" ht="15" hidden="false" customHeight="false" outlineLevel="0" collapsed="false">
      <c r="A34" s="4" t="s">
        <v>130</v>
      </c>
      <c r="B34" s="5" t="n">
        <f aca="false">COUNTIF('سجل الأكشنات'!$J$2:$J$539,$A34)</f>
        <v>451</v>
      </c>
      <c r="C34" s="6" t="n">
        <f aca="false">IF(538=0,0,B34/538)</f>
        <v>0.838289962825279</v>
      </c>
      <c r="D34" s="5" t="n">
        <f aca="false">COUNTIFS('سجل الأكشنات'!$D$2:$D$539,D$33,'سجل الأكشنات'!$J$2:$J$539,$A34)</f>
        <v>31</v>
      </c>
      <c r="E34" s="5" t="n">
        <f aca="false">COUNTIFS('سجل الأكشنات'!$D$2:$D$539,E$33,'سجل الأكشنات'!$J$2:$J$539,$A34)</f>
        <v>43</v>
      </c>
      <c r="F34" s="5" t="n">
        <f aca="false">COUNTIFS('سجل الأكشنات'!$D$2:$D$539,F$33,'سجل الأكشنات'!$J$2:$J$539,$A34)</f>
        <v>51</v>
      </c>
      <c r="G34" s="5" t="n">
        <f aca="false">COUNTIFS('سجل الأكشنات'!$D$2:$D$539,G$33,'سجل الأكشنات'!$J$2:$J$539,$A34)</f>
        <v>68</v>
      </c>
      <c r="H34" s="5" t="n">
        <f aca="false">COUNTIFS('سجل الأكشنات'!$D$2:$D$539,H$33,'سجل الأكشنات'!$J$2:$J$539,$A34)</f>
        <v>115</v>
      </c>
      <c r="I34" s="5" t="n">
        <f aca="false">COUNTIFS('سجل الأكشنات'!$D$2:$D$539,I$33,'سجل الأكشنات'!$J$2:$J$539,$A34)</f>
        <v>69</v>
      </c>
      <c r="J34" s="5" t="n">
        <f aca="false">COUNTIFS('سجل الأكشنات'!$D$2:$D$539,J$33,'سجل الأكشنات'!$J$2:$J$539,$A34)</f>
        <v>73</v>
      </c>
    </row>
    <row r="35" customFormat="false" ht="15" hidden="false" customHeight="false" outlineLevel="0" collapsed="false">
      <c r="A35" s="4" t="s">
        <v>131</v>
      </c>
      <c r="B35" s="5" t="n">
        <f aca="false">COUNTIF('سجل الأكشنات'!$J$2:$J$539,$A35)</f>
        <v>52</v>
      </c>
      <c r="C35" s="6" t="n">
        <f aca="false">IF(538=0,0,B35/538)</f>
        <v>0.0966542750929368</v>
      </c>
      <c r="D35" s="5" t="n">
        <f aca="false">COUNTIFS('سجل الأكشنات'!$D$2:$D$539,D$33,'سجل الأكشنات'!$J$2:$J$539,$A35)</f>
        <v>1</v>
      </c>
      <c r="E35" s="5" t="n">
        <f aca="false">COUNTIFS('سجل الأكشنات'!$D$2:$D$539,E$33,'سجل الأكشنات'!$J$2:$J$539,$A35)</f>
        <v>18</v>
      </c>
      <c r="F35" s="5" t="n">
        <f aca="false">COUNTIFS('سجل الأكشنات'!$D$2:$D$539,F$33,'سجل الأكشنات'!$J$2:$J$539,$A35)</f>
        <v>2</v>
      </c>
      <c r="G35" s="5" t="n">
        <f aca="false">COUNTIFS('سجل الأكشنات'!$D$2:$D$539,G$33,'سجل الأكشنات'!$J$2:$J$539,$A35)</f>
        <v>3</v>
      </c>
      <c r="H35" s="5" t="n">
        <f aca="false">COUNTIFS('سجل الأكشنات'!$D$2:$D$539,H$33,'سجل الأكشنات'!$J$2:$J$539,$A35)</f>
        <v>14</v>
      </c>
      <c r="I35" s="5" t="n">
        <f aca="false">COUNTIFS('سجل الأكشنات'!$D$2:$D$539,I$33,'سجل الأكشنات'!$J$2:$J$539,$A35)</f>
        <v>14</v>
      </c>
      <c r="J35" s="5" t="n">
        <f aca="false">COUNTIFS('سجل الأكشنات'!$D$2:$D$539,J$33,'سجل الأكشنات'!$J$2:$J$539,$A35)</f>
        <v>0</v>
      </c>
    </row>
    <row r="36" customFormat="false" ht="23.85" hidden="false" customHeight="false" outlineLevel="0" collapsed="false">
      <c r="A36" s="4" t="s">
        <v>132</v>
      </c>
      <c r="B36" s="5" t="n">
        <f aca="false">COUNTIF('سجل الأكشنات'!$J$2:$J$539,$A36)</f>
        <v>18</v>
      </c>
      <c r="C36" s="6" t="n">
        <f aca="false">IF(538=0,0,B36/538)</f>
        <v>0.033457249070632</v>
      </c>
      <c r="D36" s="5" t="n">
        <f aca="false">COUNTIFS('سجل الأكشنات'!$D$2:$D$539,D$33,'سجل الأكشنات'!$J$2:$J$539,$A36)</f>
        <v>0</v>
      </c>
      <c r="E36" s="5" t="n">
        <f aca="false">COUNTIFS('سجل الأكشنات'!$D$2:$D$539,E$33,'سجل الأكشنات'!$J$2:$J$539,$A36)</f>
        <v>1</v>
      </c>
      <c r="F36" s="5" t="n">
        <f aca="false">COUNTIFS('سجل الأكشنات'!$D$2:$D$539,F$33,'سجل الأكشنات'!$J$2:$J$539,$A36)</f>
        <v>0</v>
      </c>
      <c r="G36" s="5" t="n">
        <f aca="false">COUNTIFS('سجل الأكشنات'!$D$2:$D$539,G$33,'سجل الأكشنات'!$J$2:$J$539,$A36)</f>
        <v>2</v>
      </c>
      <c r="H36" s="5" t="n">
        <f aca="false">COUNTIFS('سجل الأكشنات'!$D$2:$D$539,H$33,'سجل الأكشنات'!$J$2:$J$539,$A36)</f>
        <v>5</v>
      </c>
      <c r="I36" s="5" t="n">
        <f aca="false">COUNTIFS('سجل الأكشنات'!$D$2:$D$539,I$33,'سجل الأكشنات'!$J$2:$J$539,$A36)</f>
        <v>10</v>
      </c>
      <c r="J36" s="5" t="n">
        <f aca="false">COUNTIFS('سجل الأكشنات'!$D$2:$D$539,J$33,'سجل الأكشنات'!$J$2:$J$539,$A36)</f>
        <v>0</v>
      </c>
    </row>
    <row r="37" customFormat="false" ht="15" hidden="false" customHeight="false" outlineLevel="0" collapsed="false">
      <c r="A37" s="4" t="s">
        <v>133</v>
      </c>
      <c r="B37" s="5" t="n">
        <f aca="false">COUNTIF('سجل الأكشنات'!$J$2:$J$539,$A37)</f>
        <v>17</v>
      </c>
      <c r="C37" s="6" t="n">
        <f aca="false">IF(538=0,0,B37/538)</f>
        <v>0.0315985130111524</v>
      </c>
      <c r="D37" s="5" t="n">
        <f aca="false">COUNTIFS('سجل الأكشنات'!$D$2:$D$539,D$33,'سجل الأكشنات'!$J$2:$J$539,$A37)</f>
        <v>1</v>
      </c>
      <c r="E37" s="5" t="n">
        <f aca="false">COUNTIFS('سجل الأكشنات'!$D$2:$D$539,E$33,'سجل الأكشنات'!$J$2:$J$539,$A37)</f>
        <v>0</v>
      </c>
      <c r="F37" s="5" t="n">
        <f aca="false">COUNTIFS('سجل الأكشنات'!$D$2:$D$539,F$33,'سجل الأكشنات'!$J$2:$J$539,$A37)</f>
        <v>2</v>
      </c>
      <c r="G37" s="5" t="n">
        <f aca="false">COUNTIFS('سجل الأكشنات'!$D$2:$D$539,G$33,'سجل الأكشنات'!$J$2:$J$539,$A37)</f>
        <v>11</v>
      </c>
      <c r="H37" s="5" t="n">
        <f aca="false">COUNTIFS('سجل الأكشنات'!$D$2:$D$539,H$33,'سجل الأكشنات'!$J$2:$J$539,$A37)</f>
        <v>0</v>
      </c>
      <c r="I37" s="5" t="n">
        <f aca="false">COUNTIFS('سجل الأكشنات'!$D$2:$D$539,I$33,'سجل الأكشنات'!$J$2:$J$539,$A37)</f>
        <v>0</v>
      </c>
      <c r="J37" s="5" t="n">
        <f aca="false">COUNTIFS('سجل الأكشنات'!$D$2:$D$539,J$33,'سجل الأكشنات'!$J$2:$J$539,$A37)</f>
        <v>3</v>
      </c>
    </row>
    <row r="40" customFormat="false" ht="15" hidden="false" customHeight="false" outlineLevel="0" collapsed="false">
      <c r="A40" s="16" t="s">
        <v>134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135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18</v>
      </c>
      <c r="B42" s="5" t="n">
        <v>12</v>
      </c>
      <c r="C42" s="5" t="n">
        <v>33</v>
      </c>
      <c r="D42" s="4"/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20</v>
      </c>
      <c r="B43" s="5" t="n">
        <v>0</v>
      </c>
      <c r="C43" s="5" t="n">
        <v>1</v>
      </c>
      <c r="D43" s="4"/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22</v>
      </c>
      <c r="B44" s="5" t="n">
        <v>41</v>
      </c>
      <c r="C44" s="5" t="n">
        <v>62</v>
      </c>
      <c r="D44" s="4"/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24</v>
      </c>
      <c r="B45" s="5" t="n">
        <v>16</v>
      </c>
      <c r="C45" s="5" t="n">
        <v>55</v>
      </c>
      <c r="D45" s="4"/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26</v>
      </c>
      <c r="B46" s="5" t="n">
        <v>15</v>
      </c>
      <c r="C46" s="5" t="n">
        <v>84</v>
      </c>
      <c r="D46" s="4"/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28</v>
      </c>
      <c r="B47" s="5" t="n">
        <v>135</v>
      </c>
      <c r="C47" s="5" t="n">
        <v>134</v>
      </c>
      <c r="D47" s="4"/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30</v>
      </c>
      <c r="B48" s="5" t="n">
        <v>36</v>
      </c>
      <c r="C48" s="5" t="n">
        <v>93</v>
      </c>
      <c r="D48" s="4"/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32</v>
      </c>
      <c r="B49" s="5" t="n">
        <v>26</v>
      </c>
      <c r="C49" s="5" t="n">
        <v>76</v>
      </c>
      <c r="D49" s="4"/>
      <c r="E49" s="4"/>
      <c r="F49" s="4"/>
      <c r="G49" s="4"/>
      <c r="H49" s="4"/>
      <c r="I49" s="4"/>
      <c r="J49" s="4"/>
    </row>
  </sheetData>
  <mergeCells count="9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138</v>
      </c>
      <c r="F1" s="3" t="s">
        <v>139</v>
      </c>
      <c r="G1" s="3" t="s">
        <v>140</v>
      </c>
      <c r="H1" s="3" t="s">
        <v>97</v>
      </c>
      <c r="I1" s="3" t="s">
        <v>141</v>
      </c>
      <c r="J1" s="3" t="s">
        <v>5</v>
      </c>
      <c r="K1" s="3" t="s">
        <v>142</v>
      </c>
      <c r="L1" s="3" t="s">
        <v>6</v>
      </c>
      <c r="M1" s="3" t="s">
        <v>143</v>
      </c>
      <c r="N1" s="3" t="s">
        <v>7</v>
      </c>
      <c r="O1" s="3" t="s">
        <v>144</v>
      </c>
      <c r="P1" s="3" t="s">
        <v>8</v>
      </c>
      <c r="Q1" s="3" t="s">
        <v>145</v>
      </c>
      <c r="R1" s="3" t="s">
        <v>146</v>
      </c>
      <c r="S1" s="3" t="s">
        <v>147</v>
      </c>
      <c r="T1" s="3" t="s">
        <v>10</v>
      </c>
      <c r="U1" s="3" t="s">
        <v>148</v>
      </c>
      <c r="V1" s="3" t="s">
        <v>149</v>
      </c>
      <c r="W1" s="3" t="s">
        <v>150</v>
      </c>
      <c r="X1" s="3" t="s">
        <v>151</v>
      </c>
      <c r="Y1" s="3" t="s">
        <v>135</v>
      </c>
    </row>
    <row r="2" customFormat="false" ht="23.85" hidden="false" customHeight="false" outlineLevel="0" collapsed="false">
      <c r="A2" s="5" t="n">
        <v>42314</v>
      </c>
      <c r="B2" s="5" t="s">
        <v>50</v>
      </c>
      <c r="C2" s="5" t="s">
        <v>152</v>
      </c>
      <c r="D2" s="4" t="s">
        <v>28</v>
      </c>
      <c r="E2" s="4" t="s">
        <v>153</v>
      </c>
      <c r="F2" s="4" t="s">
        <v>154</v>
      </c>
      <c r="G2" s="4" t="s">
        <v>155</v>
      </c>
      <c r="H2" s="4" t="s">
        <v>156</v>
      </c>
      <c r="I2" s="5" t="s">
        <v>157</v>
      </c>
      <c r="J2" s="4"/>
      <c r="K2" s="5" t="s">
        <v>158</v>
      </c>
      <c r="L2" s="4" t="s">
        <v>159</v>
      </c>
      <c r="M2" s="5" t="s">
        <v>157</v>
      </c>
      <c r="N2" s="4" t="s">
        <v>156</v>
      </c>
      <c r="O2" s="5" t="s">
        <v>157</v>
      </c>
      <c r="P2" s="4" t="s">
        <v>160</v>
      </c>
      <c r="Q2" s="5" t="s">
        <v>157</v>
      </c>
      <c r="R2" s="5" t="n">
        <v>0</v>
      </c>
      <c r="S2" s="5" t="s">
        <v>158</v>
      </c>
      <c r="T2" s="4"/>
      <c r="U2" s="5" t="s">
        <v>158</v>
      </c>
      <c r="V2" s="5" t="n">
        <v>0</v>
      </c>
      <c r="W2" s="5" t="s">
        <v>158</v>
      </c>
      <c r="X2" s="5" t="n">
        <v>4</v>
      </c>
      <c r="Y2" s="4" t="s">
        <v>161</v>
      </c>
    </row>
    <row r="3" customFormat="false" ht="23.85" hidden="false" customHeight="false" outlineLevel="0" collapsed="false">
      <c r="A3" s="5" t="n">
        <v>42315</v>
      </c>
      <c r="B3" s="5" t="s">
        <v>50</v>
      </c>
      <c r="C3" s="5" t="s">
        <v>162</v>
      </c>
      <c r="D3" s="4" t="s">
        <v>28</v>
      </c>
      <c r="E3" s="4" t="s">
        <v>153</v>
      </c>
      <c r="F3" s="4" t="s">
        <v>154</v>
      </c>
      <c r="G3" s="4" t="s">
        <v>163</v>
      </c>
      <c r="H3" s="4" t="s">
        <v>164</v>
      </c>
      <c r="I3" s="5" t="s">
        <v>157</v>
      </c>
      <c r="J3" s="4"/>
      <c r="K3" s="5" t="s">
        <v>158</v>
      </c>
      <c r="L3" s="4" t="s">
        <v>165</v>
      </c>
      <c r="M3" s="5" t="s">
        <v>157</v>
      </c>
      <c r="N3" s="4" t="s">
        <v>164</v>
      </c>
      <c r="O3" s="5" t="s">
        <v>157</v>
      </c>
      <c r="P3" s="4" t="s">
        <v>160</v>
      </c>
      <c r="Q3" s="5" t="s">
        <v>157</v>
      </c>
      <c r="R3" s="5" t="n">
        <v>0</v>
      </c>
      <c r="S3" s="5" t="s">
        <v>158</v>
      </c>
      <c r="T3" s="4"/>
      <c r="U3" s="5" t="s">
        <v>158</v>
      </c>
      <c r="V3" s="5" t="n">
        <v>0</v>
      </c>
      <c r="W3" s="5" t="s">
        <v>158</v>
      </c>
      <c r="X3" s="5" t="n">
        <v>4</v>
      </c>
      <c r="Y3" s="4" t="s">
        <v>161</v>
      </c>
    </row>
    <row r="4" customFormat="false" ht="23.85" hidden="false" customHeight="false" outlineLevel="0" collapsed="false">
      <c r="A4" s="5" t="n">
        <v>42316</v>
      </c>
      <c r="B4" s="5" t="s">
        <v>50</v>
      </c>
      <c r="C4" s="5" t="s">
        <v>166</v>
      </c>
      <c r="D4" s="4" t="s">
        <v>28</v>
      </c>
      <c r="E4" s="4" t="s">
        <v>153</v>
      </c>
      <c r="F4" s="4" t="s">
        <v>154</v>
      </c>
      <c r="G4" s="4" t="s">
        <v>167</v>
      </c>
      <c r="H4" s="4" t="s">
        <v>168</v>
      </c>
      <c r="I4" s="5" t="s">
        <v>157</v>
      </c>
      <c r="J4" s="4"/>
      <c r="K4" s="5" t="s">
        <v>158</v>
      </c>
      <c r="L4" s="4" t="s">
        <v>169</v>
      </c>
      <c r="M4" s="5" t="s">
        <v>157</v>
      </c>
      <c r="N4" s="4" t="s">
        <v>168</v>
      </c>
      <c r="O4" s="5" t="s">
        <v>157</v>
      </c>
      <c r="P4" s="4" t="s">
        <v>160</v>
      </c>
      <c r="Q4" s="5" t="s">
        <v>157</v>
      </c>
      <c r="R4" s="5" t="n">
        <v>0</v>
      </c>
      <c r="S4" s="5" t="s">
        <v>158</v>
      </c>
      <c r="T4" s="4"/>
      <c r="U4" s="5" t="s">
        <v>158</v>
      </c>
      <c r="V4" s="5" t="n">
        <v>0</v>
      </c>
      <c r="W4" s="5" t="s">
        <v>158</v>
      </c>
      <c r="X4" s="5" t="n">
        <v>4</v>
      </c>
      <c r="Y4" s="4" t="s">
        <v>161</v>
      </c>
    </row>
    <row r="5" customFormat="false" ht="23.85" hidden="false" customHeight="false" outlineLevel="0" collapsed="false">
      <c r="A5" s="5" t="n">
        <v>42317</v>
      </c>
      <c r="B5" s="5" t="s">
        <v>50</v>
      </c>
      <c r="C5" s="5" t="s">
        <v>170</v>
      </c>
      <c r="D5" s="4" t="s">
        <v>28</v>
      </c>
      <c r="E5" s="4" t="s">
        <v>153</v>
      </c>
      <c r="F5" s="4" t="s">
        <v>154</v>
      </c>
      <c r="G5" s="4" t="s">
        <v>171</v>
      </c>
      <c r="H5" s="4" t="s">
        <v>172</v>
      </c>
      <c r="I5" s="5" t="s">
        <v>157</v>
      </c>
      <c r="J5" s="4"/>
      <c r="K5" s="5" t="s">
        <v>158</v>
      </c>
      <c r="L5" s="4" t="s">
        <v>165</v>
      </c>
      <c r="M5" s="5" t="s">
        <v>157</v>
      </c>
      <c r="N5" s="4" t="s">
        <v>173</v>
      </c>
      <c r="O5" s="5" t="s">
        <v>157</v>
      </c>
      <c r="P5" s="4" t="s">
        <v>160</v>
      </c>
      <c r="Q5" s="5" t="s">
        <v>157</v>
      </c>
      <c r="R5" s="5" t="n">
        <v>0</v>
      </c>
      <c r="S5" s="5" t="s">
        <v>158</v>
      </c>
      <c r="T5" s="4"/>
      <c r="U5" s="5" t="s">
        <v>158</v>
      </c>
      <c r="V5" s="5" t="n">
        <v>0</v>
      </c>
      <c r="W5" s="5" t="s">
        <v>158</v>
      </c>
      <c r="X5" s="5" t="n">
        <v>4</v>
      </c>
      <c r="Y5" s="4" t="s">
        <v>161</v>
      </c>
    </row>
    <row r="6" customFormat="false" ht="23.85" hidden="false" customHeight="false" outlineLevel="0" collapsed="false">
      <c r="A6" s="5" t="n">
        <v>42318</v>
      </c>
      <c r="B6" s="5" t="s">
        <v>50</v>
      </c>
      <c r="C6" s="5" t="s">
        <v>174</v>
      </c>
      <c r="D6" s="4" t="s">
        <v>28</v>
      </c>
      <c r="E6" s="4" t="s">
        <v>153</v>
      </c>
      <c r="F6" s="4" t="s">
        <v>154</v>
      </c>
      <c r="G6" s="4" t="s">
        <v>175</v>
      </c>
      <c r="H6" s="4" t="s">
        <v>176</v>
      </c>
      <c r="I6" s="5" t="s">
        <v>157</v>
      </c>
      <c r="J6" s="4"/>
      <c r="K6" s="5" t="s">
        <v>158</v>
      </c>
      <c r="L6" s="4" t="s">
        <v>177</v>
      </c>
      <c r="M6" s="5" t="s">
        <v>157</v>
      </c>
      <c r="N6" s="4" t="s">
        <v>178</v>
      </c>
      <c r="O6" s="5" t="s">
        <v>157</v>
      </c>
      <c r="P6" s="4" t="s">
        <v>160</v>
      </c>
      <c r="Q6" s="5" t="s">
        <v>157</v>
      </c>
      <c r="R6" s="5" t="n">
        <v>0</v>
      </c>
      <c r="S6" s="5" t="s">
        <v>158</v>
      </c>
      <c r="T6" s="4"/>
      <c r="U6" s="5" t="s">
        <v>158</v>
      </c>
      <c r="V6" s="5" t="n">
        <v>0</v>
      </c>
      <c r="W6" s="5" t="s">
        <v>158</v>
      </c>
      <c r="X6" s="5" t="n">
        <v>4</v>
      </c>
      <c r="Y6" s="4" t="s">
        <v>161</v>
      </c>
    </row>
    <row r="7" customFormat="false" ht="23.85" hidden="false" customHeight="false" outlineLevel="0" collapsed="false">
      <c r="A7" s="5" t="n">
        <v>42319</v>
      </c>
      <c r="B7" s="5" t="s">
        <v>50</v>
      </c>
      <c r="C7" s="5" t="s">
        <v>179</v>
      </c>
      <c r="D7" s="4" t="s">
        <v>28</v>
      </c>
      <c r="E7" s="4" t="s">
        <v>153</v>
      </c>
      <c r="F7" s="4" t="s">
        <v>154</v>
      </c>
      <c r="G7" s="4" t="s">
        <v>180</v>
      </c>
      <c r="H7" s="4" t="s">
        <v>181</v>
      </c>
      <c r="I7" s="5" t="s">
        <v>157</v>
      </c>
      <c r="J7" s="4"/>
      <c r="K7" s="5" t="s">
        <v>158</v>
      </c>
      <c r="L7" s="4"/>
      <c r="M7" s="5" t="s">
        <v>158</v>
      </c>
      <c r="N7" s="4"/>
      <c r="O7" s="5" t="s">
        <v>158</v>
      </c>
      <c r="P7" s="4" t="s">
        <v>182</v>
      </c>
      <c r="Q7" s="5" t="s">
        <v>157</v>
      </c>
      <c r="R7" s="5" t="n">
        <v>0</v>
      </c>
      <c r="S7" s="5" t="s">
        <v>158</v>
      </c>
      <c r="T7" s="4"/>
      <c r="U7" s="5" t="s">
        <v>158</v>
      </c>
      <c r="V7" s="5" t="n">
        <v>0</v>
      </c>
      <c r="W7" s="5" t="s">
        <v>158</v>
      </c>
      <c r="X7" s="5" t="n">
        <v>6</v>
      </c>
      <c r="Y7" s="4" t="s">
        <v>183</v>
      </c>
    </row>
    <row r="8" customFormat="false" ht="23.85" hidden="false" customHeight="false" outlineLevel="0" collapsed="false">
      <c r="A8" s="5" t="n">
        <v>42322</v>
      </c>
      <c r="B8" s="5" t="s">
        <v>50</v>
      </c>
      <c r="C8" s="5" t="s">
        <v>184</v>
      </c>
      <c r="D8" s="4" t="s">
        <v>22</v>
      </c>
      <c r="E8" s="4" t="s">
        <v>185</v>
      </c>
      <c r="F8" s="4" t="s">
        <v>154</v>
      </c>
      <c r="G8" s="4" t="s">
        <v>186</v>
      </c>
      <c r="H8" s="4" t="s">
        <v>187</v>
      </c>
      <c r="I8" s="5" t="s">
        <v>157</v>
      </c>
      <c r="J8" s="4" t="s">
        <v>188</v>
      </c>
      <c r="K8" s="5" t="s">
        <v>157</v>
      </c>
      <c r="L8" s="4" t="s">
        <v>189</v>
      </c>
      <c r="M8" s="5" t="s">
        <v>157</v>
      </c>
      <c r="N8" s="4" t="s">
        <v>190</v>
      </c>
      <c r="O8" s="5" t="s">
        <v>157</v>
      </c>
      <c r="P8" s="4" t="s">
        <v>191</v>
      </c>
      <c r="Q8" s="5" t="s">
        <v>157</v>
      </c>
      <c r="R8" s="5" t="n">
        <v>0</v>
      </c>
      <c r="S8" s="5" t="s">
        <v>158</v>
      </c>
      <c r="T8" s="4" t="s">
        <v>160</v>
      </c>
      <c r="U8" s="5" t="s">
        <v>157</v>
      </c>
      <c r="V8" s="5" t="n">
        <v>0</v>
      </c>
      <c r="W8" s="5" t="s">
        <v>158</v>
      </c>
      <c r="X8" s="5" t="n">
        <v>2</v>
      </c>
      <c r="Y8" s="4" t="s">
        <v>192</v>
      </c>
    </row>
    <row r="9" customFormat="false" ht="23.85" hidden="false" customHeight="false" outlineLevel="0" collapsed="false">
      <c r="A9" s="5" t="n">
        <v>42329</v>
      </c>
      <c r="B9" s="5" t="s">
        <v>52</v>
      </c>
      <c r="C9" s="5" t="s">
        <v>193</v>
      </c>
      <c r="D9" s="4" t="s">
        <v>26</v>
      </c>
      <c r="E9" s="4" t="s">
        <v>194</v>
      </c>
      <c r="F9" s="4" t="s">
        <v>195</v>
      </c>
      <c r="G9" s="4" t="s">
        <v>196</v>
      </c>
      <c r="H9" s="4" t="s">
        <v>197</v>
      </c>
      <c r="I9" s="5" t="s">
        <v>157</v>
      </c>
      <c r="J9" s="4" t="s">
        <v>198</v>
      </c>
      <c r="K9" s="5" t="s">
        <v>157</v>
      </c>
      <c r="L9" s="4" t="s">
        <v>199</v>
      </c>
      <c r="M9" s="5" t="s">
        <v>157</v>
      </c>
      <c r="N9" s="4" t="s">
        <v>200</v>
      </c>
      <c r="O9" s="5" t="s">
        <v>157</v>
      </c>
      <c r="P9" s="4" t="s">
        <v>201</v>
      </c>
      <c r="Q9" s="5" t="s">
        <v>157</v>
      </c>
      <c r="R9" s="5" t="n">
        <v>3</v>
      </c>
      <c r="S9" s="5" t="s">
        <v>157</v>
      </c>
      <c r="T9" s="4" t="s">
        <v>202</v>
      </c>
      <c r="U9" s="5" t="s">
        <v>157</v>
      </c>
      <c r="V9" s="5" t="n">
        <v>73</v>
      </c>
      <c r="W9" s="5" t="s">
        <v>157</v>
      </c>
      <c r="X9" s="5" t="n">
        <v>0</v>
      </c>
      <c r="Y9" s="4" t="s">
        <v>203</v>
      </c>
    </row>
    <row r="10" customFormat="false" ht="23.85" hidden="false" customHeight="false" outlineLevel="0" collapsed="false">
      <c r="A10" s="5" t="n">
        <v>42339</v>
      </c>
      <c r="B10" s="5" t="s">
        <v>52</v>
      </c>
      <c r="C10" s="5" t="s">
        <v>204</v>
      </c>
      <c r="D10" s="4" t="s">
        <v>30</v>
      </c>
      <c r="E10" s="4" t="s">
        <v>153</v>
      </c>
      <c r="F10" s="4" t="s">
        <v>154</v>
      </c>
      <c r="G10" s="4" t="s">
        <v>205</v>
      </c>
      <c r="H10" s="4" t="s">
        <v>205</v>
      </c>
      <c r="I10" s="5" t="s">
        <v>157</v>
      </c>
      <c r="J10" s="4"/>
      <c r="K10" s="5" t="s">
        <v>158</v>
      </c>
      <c r="L10" s="4" t="s">
        <v>206</v>
      </c>
      <c r="M10" s="5" t="s">
        <v>157</v>
      </c>
      <c r="N10" s="4" t="s">
        <v>207</v>
      </c>
      <c r="O10" s="5" t="s">
        <v>157</v>
      </c>
      <c r="P10" s="4" t="s">
        <v>208</v>
      </c>
      <c r="Q10" s="5" t="s">
        <v>157</v>
      </c>
      <c r="R10" s="5" t="n">
        <v>0</v>
      </c>
      <c r="S10" s="5" t="s">
        <v>158</v>
      </c>
      <c r="T10" s="4" t="s">
        <v>160</v>
      </c>
      <c r="U10" s="5" t="s">
        <v>157</v>
      </c>
      <c r="V10" s="5" t="n">
        <v>0</v>
      </c>
      <c r="W10" s="5" t="s">
        <v>158</v>
      </c>
      <c r="X10" s="5" t="n">
        <v>3</v>
      </c>
      <c r="Y10" s="4" t="s">
        <v>209</v>
      </c>
    </row>
    <row r="11" customFormat="false" ht="23.85" hidden="false" customHeight="false" outlineLevel="0" collapsed="false">
      <c r="A11" s="5" t="n">
        <v>42345</v>
      </c>
      <c r="B11" s="5" t="s">
        <v>52</v>
      </c>
      <c r="C11" s="5" t="s">
        <v>210</v>
      </c>
      <c r="D11" s="4" t="s">
        <v>32</v>
      </c>
      <c r="E11" s="4" t="s">
        <v>194</v>
      </c>
      <c r="F11" s="4" t="s">
        <v>154</v>
      </c>
      <c r="G11" s="4" t="s">
        <v>211</v>
      </c>
      <c r="H11" s="4" t="s">
        <v>212</v>
      </c>
      <c r="I11" s="5" t="s">
        <v>157</v>
      </c>
      <c r="J11" s="4"/>
      <c r="K11" s="5" t="s">
        <v>158</v>
      </c>
      <c r="L11" s="4" t="s">
        <v>213</v>
      </c>
      <c r="M11" s="5" t="s">
        <v>157</v>
      </c>
      <c r="N11" s="4" t="s">
        <v>212</v>
      </c>
      <c r="O11" s="5" t="s">
        <v>157</v>
      </c>
      <c r="P11" s="4" t="s">
        <v>208</v>
      </c>
      <c r="Q11" s="5" t="s">
        <v>157</v>
      </c>
      <c r="R11" s="5" t="n">
        <v>0</v>
      </c>
      <c r="S11" s="5" t="s">
        <v>158</v>
      </c>
      <c r="T11" s="4"/>
      <c r="U11" s="5" t="s">
        <v>158</v>
      </c>
      <c r="V11" s="5" t="n">
        <v>0</v>
      </c>
      <c r="W11" s="5" t="s">
        <v>158</v>
      </c>
      <c r="X11" s="5" t="n">
        <v>4</v>
      </c>
      <c r="Y11" s="4" t="s">
        <v>161</v>
      </c>
    </row>
    <row r="12" customFormat="false" ht="23.85" hidden="false" customHeight="false" outlineLevel="0" collapsed="false">
      <c r="A12" s="5" t="n">
        <v>42359</v>
      </c>
      <c r="B12" s="5" t="s">
        <v>52</v>
      </c>
      <c r="C12" s="5" t="s">
        <v>174</v>
      </c>
      <c r="D12" s="4" t="s">
        <v>28</v>
      </c>
      <c r="E12" s="4" t="s">
        <v>153</v>
      </c>
      <c r="F12" s="4" t="s">
        <v>154</v>
      </c>
      <c r="G12" s="4" t="s">
        <v>214</v>
      </c>
      <c r="H12" s="4" t="s">
        <v>215</v>
      </c>
      <c r="I12" s="5" t="s">
        <v>157</v>
      </c>
      <c r="J12" s="4" t="s">
        <v>216</v>
      </c>
      <c r="K12" s="5" t="s">
        <v>157</v>
      </c>
      <c r="L12" s="4" t="s">
        <v>177</v>
      </c>
      <c r="M12" s="5" t="s">
        <v>157</v>
      </c>
      <c r="N12" s="4" t="s">
        <v>215</v>
      </c>
      <c r="O12" s="5" t="s">
        <v>157</v>
      </c>
      <c r="P12" s="4" t="s">
        <v>160</v>
      </c>
      <c r="Q12" s="5" t="s">
        <v>157</v>
      </c>
      <c r="R12" s="5" t="n">
        <v>0</v>
      </c>
      <c r="S12" s="5" t="s">
        <v>158</v>
      </c>
      <c r="T12" s="4"/>
      <c r="U12" s="5" t="s">
        <v>158</v>
      </c>
      <c r="V12" s="5" t="n">
        <v>0</v>
      </c>
      <c r="W12" s="5" t="s">
        <v>158</v>
      </c>
      <c r="X12" s="5" t="n">
        <v>3</v>
      </c>
      <c r="Y12" s="4" t="s">
        <v>217</v>
      </c>
    </row>
    <row r="13" customFormat="false" ht="23.85" hidden="false" customHeight="false" outlineLevel="0" collapsed="false">
      <c r="A13" s="5" t="n">
        <v>42360</v>
      </c>
      <c r="B13" s="5" t="s">
        <v>52</v>
      </c>
      <c r="C13" s="5" t="s">
        <v>179</v>
      </c>
      <c r="D13" s="4" t="s">
        <v>28</v>
      </c>
      <c r="E13" s="4" t="s">
        <v>153</v>
      </c>
      <c r="F13" s="4" t="s">
        <v>154</v>
      </c>
      <c r="G13" s="4" t="s">
        <v>218</v>
      </c>
      <c r="H13" s="4" t="s">
        <v>219</v>
      </c>
      <c r="I13" s="5" t="s">
        <v>157</v>
      </c>
      <c r="J13" s="4"/>
      <c r="K13" s="5" t="s">
        <v>158</v>
      </c>
      <c r="L13" s="4" t="s">
        <v>220</v>
      </c>
      <c r="M13" s="5" t="s">
        <v>157</v>
      </c>
      <c r="N13" s="4" t="s">
        <v>221</v>
      </c>
      <c r="O13" s="5" t="s">
        <v>157</v>
      </c>
      <c r="P13" s="4" t="s">
        <v>160</v>
      </c>
      <c r="Q13" s="5" t="s">
        <v>157</v>
      </c>
      <c r="R13" s="5" t="n">
        <v>0</v>
      </c>
      <c r="S13" s="5" t="s">
        <v>158</v>
      </c>
      <c r="T13" s="4"/>
      <c r="U13" s="5" t="s">
        <v>158</v>
      </c>
      <c r="V13" s="5" t="n">
        <v>0</v>
      </c>
      <c r="W13" s="5" t="s">
        <v>158</v>
      </c>
      <c r="X13" s="5" t="n">
        <v>4</v>
      </c>
      <c r="Y13" s="4" t="s">
        <v>161</v>
      </c>
    </row>
    <row r="14" customFormat="false" ht="35.05" hidden="false" customHeight="false" outlineLevel="0" collapsed="false">
      <c r="A14" s="5" t="n">
        <v>42361</v>
      </c>
      <c r="B14" s="5" t="s">
        <v>52</v>
      </c>
      <c r="C14" s="5" t="s">
        <v>222</v>
      </c>
      <c r="D14" s="4" t="s">
        <v>28</v>
      </c>
      <c r="E14" s="4" t="s">
        <v>153</v>
      </c>
      <c r="F14" s="4" t="s">
        <v>154</v>
      </c>
      <c r="G14" s="4" t="s">
        <v>223</v>
      </c>
      <c r="H14" s="4"/>
      <c r="I14" s="5" t="s">
        <v>158</v>
      </c>
      <c r="J14" s="4"/>
      <c r="K14" s="5" t="s">
        <v>158</v>
      </c>
      <c r="L14" s="4"/>
      <c r="M14" s="5" t="s">
        <v>158</v>
      </c>
      <c r="N14" s="4"/>
      <c r="O14" s="5" t="s">
        <v>158</v>
      </c>
      <c r="P14" s="4"/>
      <c r="Q14" s="5" t="s">
        <v>158</v>
      </c>
      <c r="R14" s="5" t="n">
        <v>0</v>
      </c>
      <c r="S14" s="5" t="s">
        <v>158</v>
      </c>
      <c r="T14" s="4"/>
      <c r="U14" s="5" t="s">
        <v>158</v>
      </c>
      <c r="V14" s="5" t="n">
        <v>0</v>
      </c>
      <c r="W14" s="5" t="s">
        <v>158</v>
      </c>
      <c r="X14" s="5" t="n">
        <v>8</v>
      </c>
      <c r="Y14" s="4" t="s">
        <v>224</v>
      </c>
    </row>
    <row r="15" customFormat="false" ht="23.85" hidden="false" customHeight="false" outlineLevel="0" collapsed="false">
      <c r="A15" s="5" t="n">
        <v>42362</v>
      </c>
      <c r="B15" s="5" t="s">
        <v>52</v>
      </c>
      <c r="C15" s="5" t="s">
        <v>225</v>
      </c>
      <c r="D15" s="4" t="s">
        <v>28</v>
      </c>
      <c r="E15" s="4" t="s">
        <v>153</v>
      </c>
      <c r="F15" s="4" t="s">
        <v>154</v>
      </c>
      <c r="G15" s="4" t="s">
        <v>226</v>
      </c>
      <c r="H15" s="4" t="s">
        <v>223</v>
      </c>
      <c r="I15" s="5" t="s">
        <v>157</v>
      </c>
      <c r="J15" s="4"/>
      <c r="K15" s="5" t="s">
        <v>158</v>
      </c>
      <c r="L15" s="4" t="s">
        <v>227</v>
      </c>
      <c r="M15" s="5" t="s">
        <v>157</v>
      </c>
      <c r="N15" s="4" t="s">
        <v>223</v>
      </c>
      <c r="O15" s="5" t="s">
        <v>157</v>
      </c>
      <c r="P15" s="4" t="s">
        <v>160</v>
      </c>
      <c r="Q15" s="5" t="s">
        <v>157</v>
      </c>
      <c r="R15" s="5" t="n">
        <v>0</v>
      </c>
      <c r="S15" s="5" t="s">
        <v>158</v>
      </c>
      <c r="T15" s="4"/>
      <c r="U15" s="5" t="s">
        <v>158</v>
      </c>
      <c r="V15" s="5" t="n">
        <v>0</v>
      </c>
      <c r="W15" s="5" t="s">
        <v>158</v>
      </c>
      <c r="X15" s="5" t="n">
        <v>4</v>
      </c>
      <c r="Y15" s="4" t="s">
        <v>161</v>
      </c>
    </row>
    <row r="16" customFormat="false" ht="23.85" hidden="false" customHeight="false" outlineLevel="0" collapsed="false">
      <c r="A16" s="5" t="n">
        <v>42363</v>
      </c>
      <c r="B16" s="5" t="s">
        <v>52</v>
      </c>
      <c r="C16" s="5" t="s">
        <v>228</v>
      </c>
      <c r="D16" s="4" t="s">
        <v>28</v>
      </c>
      <c r="E16" s="4" t="s">
        <v>153</v>
      </c>
      <c r="F16" s="4" t="s">
        <v>154</v>
      </c>
      <c r="G16" s="4" t="s">
        <v>229</v>
      </c>
      <c r="H16" s="4" t="s">
        <v>230</v>
      </c>
      <c r="I16" s="5" t="s">
        <v>157</v>
      </c>
      <c r="J16" s="4"/>
      <c r="K16" s="5" t="s">
        <v>158</v>
      </c>
      <c r="L16" s="4" t="s">
        <v>231</v>
      </c>
      <c r="M16" s="5" t="s">
        <v>157</v>
      </c>
      <c r="N16" s="4" t="s">
        <v>230</v>
      </c>
      <c r="O16" s="5" t="s">
        <v>157</v>
      </c>
      <c r="P16" s="4" t="s">
        <v>160</v>
      </c>
      <c r="Q16" s="5" t="s">
        <v>157</v>
      </c>
      <c r="R16" s="5" t="n">
        <v>0</v>
      </c>
      <c r="S16" s="5" t="s">
        <v>158</v>
      </c>
      <c r="T16" s="4"/>
      <c r="U16" s="5" t="s">
        <v>158</v>
      </c>
      <c r="V16" s="5" t="n">
        <v>0</v>
      </c>
      <c r="W16" s="5" t="s">
        <v>158</v>
      </c>
      <c r="X16" s="5" t="n">
        <v>4</v>
      </c>
      <c r="Y16" s="4" t="s">
        <v>161</v>
      </c>
    </row>
    <row r="17" customFormat="false" ht="23.85" hidden="false" customHeight="false" outlineLevel="0" collapsed="false">
      <c r="A17" s="5" t="n">
        <v>42364</v>
      </c>
      <c r="B17" s="5" t="s">
        <v>52</v>
      </c>
      <c r="C17" s="5" t="s">
        <v>232</v>
      </c>
      <c r="D17" s="4" t="s">
        <v>28</v>
      </c>
      <c r="E17" s="4" t="s">
        <v>153</v>
      </c>
      <c r="F17" s="4" t="s">
        <v>154</v>
      </c>
      <c r="G17" s="4" t="s">
        <v>233</v>
      </c>
      <c r="H17" s="4" t="s">
        <v>234</v>
      </c>
      <c r="I17" s="5" t="s">
        <v>157</v>
      </c>
      <c r="J17" s="4"/>
      <c r="K17" s="5" t="s">
        <v>158</v>
      </c>
      <c r="L17" s="4" t="s">
        <v>235</v>
      </c>
      <c r="M17" s="5" t="s">
        <v>157</v>
      </c>
      <c r="N17" s="4" t="s">
        <v>236</v>
      </c>
      <c r="O17" s="5" t="s">
        <v>157</v>
      </c>
      <c r="P17" s="4" t="s">
        <v>160</v>
      </c>
      <c r="Q17" s="5" t="s">
        <v>157</v>
      </c>
      <c r="R17" s="5" t="n">
        <v>0</v>
      </c>
      <c r="S17" s="5" t="s">
        <v>158</v>
      </c>
      <c r="T17" s="4"/>
      <c r="U17" s="5" t="s">
        <v>158</v>
      </c>
      <c r="V17" s="5" t="n">
        <v>0</v>
      </c>
      <c r="W17" s="5" t="s">
        <v>158</v>
      </c>
      <c r="X17" s="5" t="n">
        <v>4</v>
      </c>
      <c r="Y17" s="4" t="s">
        <v>161</v>
      </c>
    </row>
    <row r="18" customFormat="false" ht="23.85" hidden="false" customHeight="false" outlineLevel="0" collapsed="false">
      <c r="A18" s="5" t="n">
        <v>42365</v>
      </c>
      <c r="B18" s="5" t="s">
        <v>52</v>
      </c>
      <c r="C18" s="5" t="s">
        <v>237</v>
      </c>
      <c r="D18" s="4" t="s">
        <v>28</v>
      </c>
      <c r="E18" s="4" t="s">
        <v>153</v>
      </c>
      <c r="F18" s="4" t="s">
        <v>154</v>
      </c>
      <c r="G18" s="4" t="s">
        <v>238</v>
      </c>
      <c r="H18" s="4" t="s">
        <v>239</v>
      </c>
      <c r="I18" s="5" t="s">
        <v>157</v>
      </c>
      <c r="J18" s="4"/>
      <c r="K18" s="5" t="s">
        <v>158</v>
      </c>
      <c r="L18" s="4" t="s">
        <v>240</v>
      </c>
      <c r="M18" s="5" t="s">
        <v>157</v>
      </c>
      <c r="N18" s="4" t="s">
        <v>239</v>
      </c>
      <c r="O18" s="5" t="s">
        <v>157</v>
      </c>
      <c r="P18" s="4" t="s">
        <v>160</v>
      </c>
      <c r="Q18" s="5" t="s">
        <v>157</v>
      </c>
      <c r="R18" s="5" t="n">
        <v>0</v>
      </c>
      <c r="S18" s="5" t="s">
        <v>158</v>
      </c>
      <c r="T18" s="4"/>
      <c r="U18" s="5" t="s">
        <v>158</v>
      </c>
      <c r="V18" s="5" t="n">
        <v>0</v>
      </c>
      <c r="W18" s="5" t="s">
        <v>158</v>
      </c>
      <c r="X18" s="5" t="n">
        <v>4</v>
      </c>
      <c r="Y18" s="4" t="s">
        <v>161</v>
      </c>
    </row>
    <row r="19" customFormat="false" ht="23.85" hidden="false" customHeight="false" outlineLevel="0" collapsed="false">
      <c r="A19" s="5" t="n">
        <v>42366</v>
      </c>
      <c r="B19" s="5" t="s">
        <v>52</v>
      </c>
      <c r="C19" s="5" t="s">
        <v>241</v>
      </c>
      <c r="D19" s="4" t="s">
        <v>28</v>
      </c>
      <c r="E19" s="4" t="s">
        <v>153</v>
      </c>
      <c r="F19" s="4" t="s">
        <v>154</v>
      </c>
      <c r="G19" s="4" t="s">
        <v>242</v>
      </c>
      <c r="H19" s="4" t="s">
        <v>181</v>
      </c>
      <c r="I19" s="5" t="s">
        <v>157</v>
      </c>
      <c r="J19" s="4"/>
      <c r="K19" s="5" t="s">
        <v>158</v>
      </c>
      <c r="L19" s="4"/>
      <c r="M19" s="5" t="s">
        <v>158</v>
      </c>
      <c r="N19" s="4"/>
      <c r="O19" s="5" t="s">
        <v>158</v>
      </c>
      <c r="P19" s="4" t="s">
        <v>182</v>
      </c>
      <c r="Q19" s="5" t="s">
        <v>157</v>
      </c>
      <c r="R19" s="5" t="n">
        <v>0</v>
      </c>
      <c r="S19" s="5" t="s">
        <v>158</v>
      </c>
      <c r="T19" s="4"/>
      <c r="U19" s="5" t="s">
        <v>158</v>
      </c>
      <c r="V19" s="5" t="n">
        <v>0</v>
      </c>
      <c r="W19" s="5" t="s">
        <v>158</v>
      </c>
      <c r="X19" s="5" t="n">
        <v>6</v>
      </c>
      <c r="Y19" s="4" t="s">
        <v>183</v>
      </c>
    </row>
    <row r="20" customFormat="false" ht="23.85" hidden="false" customHeight="false" outlineLevel="0" collapsed="false">
      <c r="A20" s="5" t="n">
        <v>42367</v>
      </c>
      <c r="B20" s="5" t="s">
        <v>52</v>
      </c>
      <c r="C20" s="5" t="s">
        <v>243</v>
      </c>
      <c r="D20" s="4" t="s">
        <v>22</v>
      </c>
      <c r="E20" s="4" t="s">
        <v>185</v>
      </c>
      <c r="F20" s="4" t="s">
        <v>244</v>
      </c>
      <c r="G20" s="4" t="s">
        <v>245</v>
      </c>
      <c r="H20" s="4" t="s">
        <v>246</v>
      </c>
      <c r="I20" s="5" t="s">
        <v>157</v>
      </c>
      <c r="J20" s="4"/>
      <c r="K20" s="5" t="s">
        <v>158</v>
      </c>
      <c r="L20" s="4" t="s">
        <v>246</v>
      </c>
      <c r="M20" s="5" t="s">
        <v>157</v>
      </c>
      <c r="N20" s="4"/>
      <c r="O20" s="5" t="s">
        <v>158</v>
      </c>
      <c r="P20" s="4" t="s">
        <v>247</v>
      </c>
      <c r="Q20" s="5" t="s">
        <v>157</v>
      </c>
      <c r="R20" s="5" t="n">
        <v>0</v>
      </c>
      <c r="S20" s="5" t="s">
        <v>158</v>
      </c>
      <c r="T20" s="4"/>
      <c r="U20" s="5" t="s">
        <v>158</v>
      </c>
      <c r="V20" s="5" t="n">
        <v>0</v>
      </c>
      <c r="W20" s="5" t="s">
        <v>158</v>
      </c>
      <c r="X20" s="5" t="n">
        <v>5</v>
      </c>
      <c r="Y20" s="4" t="s">
        <v>248</v>
      </c>
    </row>
    <row r="21" customFormat="false" ht="23.85" hidden="false" customHeight="false" outlineLevel="0" collapsed="false">
      <c r="A21" s="5" t="n">
        <v>42368</v>
      </c>
      <c r="B21" s="5" t="s">
        <v>52</v>
      </c>
      <c r="C21" s="5" t="s">
        <v>249</v>
      </c>
      <c r="D21" s="4" t="s">
        <v>22</v>
      </c>
      <c r="E21" s="4" t="s">
        <v>185</v>
      </c>
      <c r="F21" s="4" t="s">
        <v>244</v>
      </c>
      <c r="G21" s="4" t="s">
        <v>250</v>
      </c>
      <c r="H21" s="4" t="s">
        <v>251</v>
      </c>
      <c r="I21" s="5" t="s">
        <v>157</v>
      </c>
      <c r="J21" s="4"/>
      <c r="K21" s="5" t="s">
        <v>158</v>
      </c>
      <c r="L21" s="4"/>
      <c r="M21" s="5" t="s">
        <v>158</v>
      </c>
      <c r="N21" s="4" t="s">
        <v>252</v>
      </c>
      <c r="O21" s="5" t="s">
        <v>157</v>
      </c>
      <c r="P21" s="4" t="s">
        <v>253</v>
      </c>
      <c r="Q21" s="5" t="s">
        <v>157</v>
      </c>
      <c r="R21" s="5" t="n">
        <v>0</v>
      </c>
      <c r="S21" s="5" t="s">
        <v>158</v>
      </c>
      <c r="T21" s="4"/>
      <c r="U21" s="5" t="s">
        <v>158</v>
      </c>
      <c r="V21" s="5" t="n">
        <v>0</v>
      </c>
      <c r="W21" s="5" t="s">
        <v>158</v>
      </c>
      <c r="X21" s="5" t="n">
        <v>5</v>
      </c>
      <c r="Y21" s="4" t="s">
        <v>254</v>
      </c>
    </row>
    <row r="22" customFormat="false" ht="23.85" hidden="false" customHeight="false" outlineLevel="0" collapsed="false">
      <c r="A22" s="5" t="n">
        <v>42369</v>
      </c>
      <c r="B22" s="5" t="s">
        <v>52</v>
      </c>
      <c r="C22" s="5" t="s">
        <v>255</v>
      </c>
      <c r="D22" s="4" t="s">
        <v>22</v>
      </c>
      <c r="E22" s="4" t="s">
        <v>185</v>
      </c>
      <c r="F22" s="4" t="s">
        <v>244</v>
      </c>
      <c r="G22" s="4" t="s">
        <v>256</v>
      </c>
      <c r="H22" s="4" t="s">
        <v>257</v>
      </c>
      <c r="I22" s="5" t="s">
        <v>157</v>
      </c>
      <c r="J22" s="4"/>
      <c r="K22" s="5" t="s">
        <v>158</v>
      </c>
      <c r="L22" s="4" t="s">
        <v>258</v>
      </c>
      <c r="M22" s="5" t="s">
        <v>157</v>
      </c>
      <c r="N22" s="4"/>
      <c r="O22" s="5" t="s">
        <v>158</v>
      </c>
      <c r="P22" s="4" t="s">
        <v>247</v>
      </c>
      <c r="Q22" s="5" t="s">
        <v>157</v>
      </c>
      <c r="R22" s="5" t="n">
        <v>0</v>
      </c>
      <c r="S22" s="5" t="s">
        <v>158</v>
      </c>
      <c r="T22" s="4"/>
      <c r="U22" s="5" t="s">
        <v>158</v>
      </c>
      <c r="V22" s="5" t="n">
        <v>0</v>
      </c>
      <c r="W22" s="5" t="s">
        <v>158</v>
      </c>
      <c r="X22" s="5" t="n">
        <v>5</v>
      </c>
      <c r="Y22" s="4" t="s">
        <v>248</v>
      </c>
    </row>
    <row r="23" customFormat="false" ht="23.85" hidden="false" customHeight="false" outlineLevel="0" collapsed="false">
      <c r="A23" s="5" t="n">
        <v>42374</v>
      </c>
      <c r="B23" s="5" t="s">
        <v>54</v>
      </c>
      <c r="C23" s="5" t="s">
        <v>259</v>
      </c>
      <c r="D23" s="4" t="s">
        <v>24</v>
      </c>
      <c r="E23" s="4" t="s">
        <v>194</v>
      </c>
      <c r="F23" s="4" t="s">
        <v>154</v>
      </c>
      <c r="G23" s="4" t="s">
        <v>260</v>
      </c>
      <c r="H23" s="4"/>
      <c r="I23" s="5" t="s">
        <v>158</v>
      </c>
      <c r="J23" s="4"/>
      <c r="K23" s="5" t="s">
        <v>158</v>
      </c>
      <c r="L23" s="4" t="s">
        <v>260</v>
      </c>
      <c r="M23" s="5" t="s">
        <v>157</v>
      </c>
      <c r="N23" s="4"/>
      <c r="O23" s="5" t="s">
        <v>158</v>
      </c>
      <c r="P23" s="4"/>
      <c r="Q23" s="5" t="s">
        <v>158</v>
      </c>
      <c r="R23" s="5" t="n">
        <v>0</v>
      </c>
      <c r="S23" s="5" t="s">
        <v>158</v>
      </c>
      <c r="T23" s="4"/>
      <c r="U23" s="5" t="s">
        <v>158</v>
      </c>
      <c r="V23" s="5" t="n">
        <v>0</v>
      </c>
      <c r="W23" s="5" t="s">
        <v>158</v>
      </c>
      <c r="X23" s="5" t="n">
        <v>7</v>
      </c>
      <c r="Y23" s="4" t="s">
        <v>261</v>
      </c>
    </row>
    <row r="24" customFormat="false" ht="23.85" hidden="false" customHeight="false" outlineLevel="0" collapsed="false">
      <c r="A24" s="5" t="n">
        <v>42375</v>
      </c>
      <c r="B24" s="5" t="s">
        <v>54</v>
      </c>
      <c r="C24" s="5" t="s">
        <v>259</v>
      </c>
      <c r="D24" s="4" t="s">
        <v>24</v>
      </c>
      <c r="E24" s="4" t="s">
        <v>194</v>
      </c>
      <c r="F24" s="4" t="s">
        <v>154</v>
      </c>
      <c r="G24" s="4" t="s">
        <v>262</v>
      </c>
      <c r="H24" s="4" t="s">
        <v>263</v>
      </c>
      <c r="I24" s="5" t="s">
        <v>157</v>
      </c>
      <c r="J24" s="4"/>
      <c r="K24" s="5" t="s">
        <v>158</v>
      </c>
      <c r="L24" s="4" t="s">
        <v>264</v>
      </c>
      <c r="M24" s="5" t="s">
        <v>157</v>
      </c>
      <c r="N24" s="4"/>
      <c r="O24" s="5" t="s">
        <v>158</v>
      </c>
      <c r="P24" s="4"/>
      <c r="Q24" s="5" t="s">
        <v>158</v>
      </c>
      <c r="R24" s="5" t="n">
        <v>0</v>
      </c>
      <c r="S24" s="5" t="s">
        <v>158</v>
      </c>
      <c r="T24" s="4"/>
      <c r="U24" s="5" t="s">
        <v>158</v>
      </c>
      <c r="V24" s="5" t="n">
        <v>0</v>
      </c>
      <c r="W24" s="5" t="s">
        <v>158</v>
      </c>
      <c r="X24" s="5" t="n">
        <v>6</v>
      </c>
      <c r="Y24" s="4" t="s">
        <v>265</v>
      </c>
    </row>
    <row r="25" customFormat="false" ht="35.05" hidden="false" customHeight="false" outlineLevel="0" collapsed="false">
      <c r="A25" s="5" t="n">
        <v>42376</v>
      </c>
      <c r="B25" s="5" t="s">
        <v>54</v>
      </c>
      <c r="C25" s="5" t="s">
        <v>266</v>
      </c>
      <c r="D25" s="4" t="s">
        <v>24</v>
      </c>
      <c r="E25" s="4" t="s">
        <v>194</v>
      </c>
      <c r="F25" s="4" t="s">
        <v>154</v>
      </c>
      <c r="G25" s="4" t="s">
        <v>267</v>
      </c>
      <c r="H25" s="4"/>
      <c r="I25" s="5" t="s">
        <v>158</v>
      </c>
      <c r="J25" s="4"/>
      <c r="K25" s="5" t="s">
        <v>158</v>
      </c>
      <c r="L25" s="4"/>
      <c r="M25" s="5" t="s">
        <v>158</v>
      </c>
      <c r="N25" s="4" t="s">
        <v>267</v>
      </c>
      <c r="O25" s="5" t="s">
        <v>157</v>
      </c>
      <c r="P25" s="4"/>
      <c r="Q25" s="5" t="s">
        <v>158</v>
      </c>
      <c r="R25" s="5" t="n">
        <v>0</v>
      </c>
      <c r="S25" s="5" t="s">
        <v>158</v>
      </c>
      <c r="T25" s="4"/>
      <c r="U25" s="5" t="s">
        <v>158</v>
      </c>
      <c r="V25" s="5" t="n">
        <v>0</v>
      </c>
      <c r="W25" s="5" t="s">
        <v>158</v>
      </c>
      <c r="X25" s="5" t="n">
        <v>7</v>
      </c>
      <c r="Y25" s="4" t="s">
        <v>268</v>
      </c>
    </row>
    <row r="26" customFormat="false" ht="23.85" hidden="false" customHeight="false" outlineLevel="0" collapsed="false">
      <c r="A26" s="5" t="n">
        <v>42380</v>
      </c>
      <c r="B26" s="5" t="s">
        <v>54</v>
      </c>
      <c r="C26" s="5" t="s">
        <v>269</v>
      </c>
      <c r="D26" s="4" t="s">
        <v>24</v>
      </c>
      <c r="E26" s="4" t="s">
        <v>194</v>
      </c>
      <c r="F26" s="4" t="s">
        <v>154</v>
      </c>
      <c r="G26" s="4" t="s">
        <v>270</v>
      </c>
      <c r="H26" s="4"/>
      <c r="I26" s="5" t="s">
        <v>158</v>
      </c>
      <c r="J26" s="4"/>
      <c r="K26" s="5" t="s">
        <v>158</v>
      </c>
      <c r="L26" s="4" t="s">
        <v>270</v>
      </c>
      <c r="M26" s="5" t="s">
        <v>157</v>
      </c>
      <c r="N26" s="4"/>
      <c r="O26" s="5" t="s">
        <v>158</v>
      </c>
      <c r="P26" s="4"/>
      <c r="Q26" s="5" t="s">
        <v>158</v>
      </c>
      <c r="R26" s="5" t="n">
        <v>0</v>
      </c>
      <c r="S26" s="5" t="s">
        <v>158</v>
      </c>
      <c r="T26" s="4"/>
      <c r="U26" s="5" t="s">
        <v>158</v>
      </c>
      <c r="V26" s="5" t="n">
        <v>0</v>
      </c>
      <c r="W26" s="5" t="s">
        <v>158</v>
      </c>
      <c r="X26" s="5" t="n">
        <v>7</v>
      </c>
      <c r="Y26" s="4" t="s">
        <v>261</v>
      </c>
    </row>
    <row r="27" customFormat="false" ht="23.85" hidden="false" customHeight="false" outlineLevel="0" collapsed="false">
      <c r="A27" s="5" t="n">
        <v>42385</v>
      </c>
      <c r="B27" s="5" t="s">
        <v>54</v>
      </c>
      <c r="C27" s="5" t="s">
        <v>271</v>
      </c>
      <c r="D27" s="4" t="s">
        <v>18</v>
      </c>
      <c r="E27" s="4" t="s">
        <v>194</v>
      </c>
      <c r="F27" s="4" t="s">
        <v>154</v>
      </c>
      <c r="G27" s="4" t="s">
        <v>272</v>
      </c>
      <c r="H27" s="4" t="s">
        <v>273</v>
      </c>
      <c r="I27" s="5" t="s">
        <v>157</v>
      </c>
      <c r="J27" s="4" t="s">
        <v>274</v>
      </c>
      <c r="K27" s="5" t="s">
        <v>157</v>
      </c>
      <c r="L27" s="4" t="s">
        <v>275</v>
      </c>
      <c r="M27" s="5" t="s">
        <v>157</v>
      </c>
      <c r="N27" s="4" t="s">
        <v>276</v>
      </c>
      <c r="O27" s="5" t="s">
        <v>157</v>
      </c>
      <c r="P27" s="4" t="s">
        <v>277</v>
      </c>
      <c r="Q27" s="5" t="s">
        <v>157</v>
      </c>
      <c r="R27" s="5" t="n">
        <v>0</v>
      </c>
      <c r="S27" s="5" t="s">
        <v>158</v>
      </c>
      <c r="T27" s="4"/>
      <c r="U27" s="5" t="s">
        <v>158</v>
      </c>
      <c r="V27" s="5" t="n">
        <v>0</v>
      </c>
      <c r="W27" s="5" t="s">
        <v>158</v>
      </c>
      <c r="X27" s="5" t="n">
        <v>3</v>
      </c>
      <c r="Y27" s="4" t="s">
        <v>217</v>
      </c>
    </row>
    <row r="28" customFormat="false" ht="23.85" hidden="false" customHeight="false" outlineLevel="0" collapsed="false">
      <c r="A28" s="5" t="n">
        <v>42387</v>
      </c>
      <c r="B28" s="5" t="s">
        <v>54</v>
      </c>
      <c r="C28" s="5" t="s">
        <v>278</v>
      </c>
      <c r="D28" s="4" t="s">
        <v>18</v>
      </c>
      <c r="E28" s="4" t="s">
        <v>194</v>
      </c>
      <c r="F28" s="4" t="s">
        <v>154</v>
      </c>
      <c r="G28" s="4" t="s">
        <v>279</v>
      </c>
      <c r="H28" s="4" t="s">
        <v>279</v>
      </c>
      <c r="I28" s="5" t="s">
        <v>157</v>
      </c>
      <c r="J28" s="4"/>
      <c r="K28" s="5" t="s">
        <v>158</v>
      </c>
      <c r="L28" s="4" t="s">
        <v>280</v>
      </c>
      <c r="M28" s="5" t="s">
        <v>157</v>
      </c>
      <c r="N28" s="4" t="s">
        <v>281</v>
      </c>
      <c r="O28" s="5" t="s">
        <v>157</v>
      </c>
      <c r="P28" s="4" t="s">
        <v>282</v>
      </c>
      <c r="Q28" s="5" t="s">
        <v>157</v>
      </c>
      <c r="R28" s="5" t="n">
        <v>0</v>
      </c>
      <c r="S28" s="5" t="s">
        <v>158</v>
      </c>
      <c r="T28" s="4"/>
      <c r="U28" s="5" t="s">
        <v>158</v>
      </c>
      <c r="V28" s="5" t="n">
        <v>0</v>
      </c>
      <c r="W28" s="5" t="s">
        <v>158</v>
      </c>
      <c r="X28" s="5" t="n">
        <v>4</v>
      </c>
      <c r="Y28" s="4" t="s">
        <v>161</v>
      </c>
    </row>
    <row r="29" customFormat="false" ht="23.85" hidden="false" customHeight="false" outlineLevel="0" collapsed="false">
      <c r="A29" s="5" t="n">
        <v>42392</v>
      </c>
      <c r="B29" s="5" t="s">
        <v>54</v>
      </c>
      <c r="C29" s="5" t="s">
        <v>283</v>
      </c>
      <c r="D29" s="4" t="s">
        <v>22</v>
      </c>
      <c r="E29" s="4" t="s">
        <v>185</v>
      </c>
      <c r="F29" s="4" t="s">
        <v>154</v>
      </c>
      <c r="G29" s="4" t="s">
        <v>284</v>
      </c>
      <c r="H29" s="4" t="s">
        <v>285</v>
      </c>
      <c r="I29" s="5" t="s">
        <v>157</v>
      </c>
      <c r="J29" s="4"/>
      <c r="K29" s="5" t="s">
        <v>158</v>
      </c>
      <c r="L29" s="4" t="s">
        <v>286</v>
      </c>
      <c r="M29" s="5" t="s">
        <v>157</v>
      </c>
      <c r="N29" s="4" t="s">
        <v>287</v>
      </c>
      <c r="O29" s="5" t="s">
        <v>157</v>
      </c>
      <c r="P29" s="4" t="s">
        <v>288</v>
      </c>
      <c r="Q29" s="5" t="s">
        <v>157</v>
      </c>
      <c r="R29" s="5" t="n">
        <v>0</v>
      </c>
      <c r="S29" s="5" t="s">
        <v>158</v>
      </c>
      <c r="T29" s="4" t="s">
        <v>289</v>
      </c>
      <c r="U29" s="5" t="s">
        <v>157</v>
      </c>
      <c r="V29" s="5" t="n">
        <v>18</v>
      </c>
      <c r="W29" s="5" t="s">
        <v>157</v>
      </c>
      <c r="X29" s="5" t="n">
        <v>2</v>
      </c>
      <c r="Y29" s="4" t="s">
        <v>290</v>
      </c>
    </row>
    <row r="30" customFormat="false" ht="23.85" hidden="false" customHeight="false" outlineLevel="0" collapsed="false">
      <c r="A30" s="5" t="n">
        <v>42397</v>
      </c>
      <c r="B30" s="5" t="s">
        <v>56</v>
      </c>
      <c r="C30" s="5" t="s">
        <v>291</v>
      </c>
      <c r="D30" s="4" t="s">
        <v>28</v>
      </c>
      <c r="E30" s="4" t="s">
        <v>153</v>
      </c>
      <c r="F30" s="4" t="s">
        <v>154</v>
      </c>
      <c r="G30" s="4" t="s">
        <v>292</v>
      </c>
      <c r="H30" s="4" t="s">
        <v>293</v>
      </c>
      <c r="I30" s="5" t="s">
        <v>157</v>
      </c>
      <c r="J30" s="4"/>
      <c r="K30" s="5" t="s">
        <v>158</v>
      </c>
      <c r="L30" s="4" t="s">
        <v>294</v>
      </c>
      <c r="M30" s="5" t="s">
        <v>157</v>
      </c>
      <c r="N30" s="4" t="s">
        <v>293</v>
      </c>
      <c r="O30" s="5" t="s">
        <v>157</v>
      </c>
      <c r="P30" s="4" t="s">
        <v>160</v>
      </c>
      <c r="Q30" s="5" t="s">
        <v>157</v>
      </c>
      <c r="R30" s="5" t="n">
        <v>0</v>
      </c>
      <c r="S30" s="5" t="s">
        <v>158</v>
      </c>
      <c r="T30" s="4"/>
      <c r="U30" s="5" t="s">
        <v>158</v>
      </c>
      <c r="V30" s="5" t="n">
        <v>0</v>
      </c>
      <c r="W30" s="5" t="s">
        <v>158</v>
      </c>
      <c r="X30" s="5" t="n">
        <v>4</v>
      </c>
      <c r="Y30" s="4" t="s">
        <v>161</v>
      </c>
    </row>
    <row r="31" customFormat="false" ht="23.85" hidden="false" customHeight="false" outlineLevel="0" collapsed="false">
      <c r="A31" s="5" t="n">
        <v>42398</v>
      </c>
      <c r="B31" s="5" t="s">
        <v>56</v>
      </c>
      <c r="C31" s="5" t="s">
        <v>295</v>
      </c>
      <c r="D31" s="4" t="s">
        <v>28</v>
      </c>
      <c r="E31" s="4" t="s">
        <v>153</v>
      </c>
      <c r="F31" s="4" t="s">
        <v>154</v>
      </c>
      <c r="G31" s="4" t="s">
        <v>296</v>
      </c>
      <c r="H31" s="4" t="s">
        <v>297</v>
      </c>
      <c r="I31" s="5" t="s">
        <v>157</v>
      </c>
      <c r="J31" s="4"/>
      <c r="K31" s="5" t="s">
        <v>158</v>
      </c>
      <c r="L31" s="4" t="s">
        <v>298</v>
      </c>
      <c r="M31" s="5" t="s">
        <v>157</v>
      </c>
      <c r="N31" s="4" t="s">
        <v>297</v>
      </c>
      <c r="O31" s="5" t="s">
        <v>157</v>
      </c>
      <c r="P31" s="4" t="s">
        <v>160</v>
      </c>
      <c r="Q31" s="5" t="s">
        <v>157</v>
      </c>
      <c r="R31" s="5" t="n">
        <v>0</v>
      </c>
      <c r="S31" s="5" t="s">
        <v>158</v>
      </c>
      <c r="T31" s="4"/>
      <c r="U31" s="5" t="s">
        <v>158</v>
      </c>
      <c r="V31" s="5" t="n">
        <v>0</v>
      </c>
      <c r="W31" s="5" t="s">
        <v>158</v>
      </c>
      <c r="X31" s="5" t="n">
        <v>4</v>
      </c>
      <c r="Y31" s="4" t="s">
        <v>161</v>
      </c>
    </row>
    <row r="32" customFormat="false" ht="23.85" hidden="false" customHeight="false" outlineLevel="0" collapsed="false">
      <c r="A32" s="5" t="n">
        <v>42399</v>
      </c>
      <c r="B32" s="5" t="s">
        <v>56</v>
      </c>
      <c r="C32" s="5" t="s">
        <v>299</v>
      </c>
      <c r="D32" s="4" t="s">
        <v>28</v>
      </c>
      <c r="E32" s="4" t="s">
        <v>153</v>
      </c>
      <c r="F32" s="4" t="s">
        <v>154</v>
      </c>
      <c r="G32" s="4" t="s">
        <v>300</v>
      </c>
      <c r="H32" s="4" t="s">
        <v>301</v>
      </c>
      <c r="I32" s="5" t="s">
        <v>157</v>
      </c>
      <c r="J32" s="4"/>
      <c r="K32" s="5" t="s">
        <v>158</v>
      </c>
      <c r="L32" s="4" t="s">
        <v>302</v>
      </c>
      <c r="M32" s="5" t="s">
        <v>157</v>
      </c>
      <c r="N32" s="4" t="s">
        <v>301</v>
      </c>
      <c r="O32" s="5" t="s">
        <v>157</v>
      </c>
      <c r="P32" s="4" t="s">
        <v>160</v>
      </c>
      <c r="Q32" s="5" t="s">
        <v>157</v>
      </c>
      <c r="R32" s="5" t="n">
        <v>0</v>
      </c>
      <c r="S32" s="5" t="s">
        <v>158</v>
      </c>
      <c r="T32" s="4"/>
      <c r="U32" s="5" t="s">
        <v>158</v>
      </c>
      <c r="V32" s="5" t="n">
        <v>0</v>
      </c>
      <c r="W32" s="5" t="s">
        <v>158</v>
      </c>
      <c r="X32" s="5" t="n">
        <v>4</v>
      </c>
      <c r="Y32" s="4" t="s">
        <v>161</v>
      </c>
    </row>
    <row r="33" customFormat="false" ht="23.85" hidden="false" customHeight="false" outlineLevel="0" collapsed="false">
      <c r="A33" s="5" t="n">
        <v>42400</v>
      </c>
      <c r="B33" s="5" t="s">
        <v>56</v>
      </c>
      <c r="C33" s="5" t="s">
        <v>303</v>
      </c>
      <c r="D33" s="4" t="s">
        <v>28</v>
      </c>
      <c r="E33" s="4" t="s">
        <v>153</v>
      </c>
      <c r="F33" s="4" t="s">
        <v>154</v>
      </c>
      <c r="G33" s="4" t="s">
        <v>304</v>
      </c>
      <c r="H33" s="4" t="s">
        <v>305</v>
      </c>
      <c r="I33" s="5" t="s">
        <v>157</v>
      </c>
      <c r="J33" s="4"/>
      <c r="K33" s="5" t="s">
        <v>158</v>
      </c>
      <c r="L33" s="4" t="s">
        <v>306</v>
      </c>
      <c r="M33" s="5" t="s">
        <v>157</v>
      </c>
      <c r="N33" s="4" t="s">
        <v>305</v>
      </c>
      <c r="O33" s="5" t="s">
        <v>157</v>
      </c>
      <c r="P33" s="4" t="s">
        <v>160</v>
      </c>
      <c r="Q33" s="5" t="s">
        <v>157</v>
      </c>
      <c r="R33" s="5" t="n">
        <v>0</v>
      </c>
      <c r="S33" s="5" t="s">
        <v>158</v>
      </c>
      <c r="T33" s="4"/>
      <c r="U33" s="5" t="s">
        <v>158</v>
      </c>
      <c r="V33" s="5" t="n">
        <v>0</v>
      </c>
      <c r="W33" s="5" t="s">
        <v>158</v>
      </c>
      <c r="X33" s="5" t="n">
        <v>4</v>
      </c>
      <c r="Y33" s="4" t="s">
        <v>161</v>
      </c>
    </row>
    <row r="34" customFormat="false" ht="23.85" hidden="false" customHeight="false" outlineLevel="0" collapsed="false">
      <c r="A34" s="5" t="n">
        <v>42401</v>
      </c>
      <c r="B34" s="5" t="s">
        <v>56</v>
      </c>
      <c r="C34" s="5" t="s">
        <v>307</v>
      </c>
      <c r="D34" s="4" t="s">
        <v>22</v>
      </c>
      <c r="E34" s="4" t="s">
        <v>185</v>
      </c>
      <c r="F34" s="4" t="s">
        <v>244</v>
      </c>
      <c r="G34" s="4" t="s">
        <v>308</v>
      </c>
      <c r="H34" s="4" t="s">
        <v>309</v>
      </c>
      <c r="I34" s="5" t="s">
        <v>157</v>
      </c>
      <c r="J34" s="4"/>
      <c r="K34" s="5" t="s">
        <v>158</v>
      </c>
      <c r="L34" s="4"/>
      <c r="M34" s="5" t="s">
        <v>158</v>
      </c>
      <c r="N34" s="4" t="s">
        <v>310</v>
      </c>
      <c r="O34" s="5" t="s">
        <v>157</v>
      </c>
      <c r="P34" s="4" t="s">
        <v>253</v>
      </c>
      <c r="Q34" s="5" t="s">
        <v>157</v>
      </c>
      <c r="R34" s="5" t="n">
        <v>0</v>
      </c>
      <c r="S34" s="5" t="s">
        <v>158</v>
      </c>
      <c r="T34" s="4"/>
      <c r="U34" s="5" t="s">
        <v>158</v>
      </c>
      <c r="V34" s="5" t="n">
        <v>0</v>
      </c>
      <c r="W34" s="5" t="s">
        <v>158</v>
      </c>
      <c r="X34" s="5" t="n">
        <v>5</v>
      </c>
      <c r="Y34" s="4" t="s">
        <v>254</v>
      </c>
    </row>
    <row r="35" customFormat="false" ht="23.85" hidden="false" customHeight="false" outlineLevel="0" collapsed="false">
      <c r="A35" s="5" t="n">
        <v>42402</v>
      </c>
      <c r="B35" s="5" t="s">
        <v>56</v>
      </c>
      <c r="C35" s="5" t="s">
        <v>311</v>
      </c>
      <c r="D35" s="4" t="s">
        <v>28</v>
      </c>
      <c r="E35" s="4" t="s">
        <v>153</v>
      </c>
      <c r="F35" s="4" t="s">
        <v>154</v>
      </c>
      <c r="G35" s="4" t="s">
        <v>312</v>
      </c>
      <c r="H35" s="4" t="s">
        <v>313</v>
      </c>
      <c r="I35" s="5" t="s">
        <v>157</v>
      </c>
      <c r="J35" s="4"/>
      <c r="K35" s="5" t="s">
        <v>158</v>
      </c>
      <c r="L35" s="4" t="s">
        <v>314</v>
      </c>
      <c r="M35" s="5" t="s">
        <v>157</v>
      </c>
      <c r="N35" s="4" t="s">
        <v>315</v>
      </c>
      <c r="O35" s="5" t="s">
        <v>157</v>
      </c>
      <c r="P35" s="4" t="s">
        <v>160</v>
      </c>
      <c r="Q35" s="5" t="s">
        <v>157</v>
      </c>
      <c r="R35" s="5" t="n">
        <v>0</v>
      </c>
      <c r="S35" s="5" t="s">
        <v>158</v>
      </c>
      <c r="T35" s="4"/>
      <c r="U35" s="5" t="s">
        <v>158</v>
      </c>
      <c r="V35" s="5" t="n">
        <v>0</v>
      </c>
      <c r="W35" s="5" t="s">
        <v>158</v>
      </c>
      <c r="X35" s="5" t="n">
        <v>4</v>
      </c>
      <c r="Y35" s="4" t="s">
        <v>161</v>
      </c>
    </row>
    <row r="36" customFormat="false" ht="23.85" hidden="false" customHeight="false" outlineLevel="0" collapsed="false">
      <c r="A36" s="5" t="n">
        <v>42403</v>
      </c>
      <c r="B36" s="5" t="s">
        <v>56</v>
      </c>
      <c r="C36" s="5" t="s">
        <v>316</v>
      </c>
      <c r="D36" s="4" t="s">
        <v>28</v>
      </c>
      <c r="E36" s="4" t="s">
        <v>153</v>
      </c>
      <c r="F36" s="4" t="s">
        <v>154</v>
      </c>
      <c r="G36" s="4" t="s">
        <v>317</v>
      </c>
      <c r="H36" s="4" t="s">
        <v>318</v>
      </c>
      <c r="I36" s="5" t="s">
        <v>157</v>
      </c>
      <c r="J36" s="4"/>
      <c r="K36" s="5" t="s">
        <v>158</v>
      </c>
      <c r="L36" s="4" t="s">
        <v>240</v>
      </c>
      <c r="M36" s="5" t="s">
        <v>157</v>
      </c>
      <c r="N36" s="4" t="s">
        <v>318</v>
      </c>
      <c r="O36" s="5" t="s">
        <v>157</v>
      </c>
      <c r="P36" s="4" t="s">
        <v>160</v>
      </c>
      <c r="Q36" s="5" t="s">
        <v>157</v>
      </c>
      <c r="R36" s="5" t="n">
        <v>0</v>
      </c>
      <c r="S36" s="5" t="s">
        <v>158</v>
      </c>
      <c r="T36" s="4"/>
      <c r="U36" s="5" t="s">
        <v>158</v>
      </c>
      <c r="V36" s="5" t="n">
        <v>0</v>
      </c>
      <c r="W36" s="5" t="s">
        <v>158</v>
      </c>
      <c r="X36" s="5" t="n">
        <v>4</v>
      </c>
      <c r="Y36" s="4" t="s">
        <v>161</v>
      </c>
    </row>
    <row r="37" customFormat="false" ht="23.85" hidden="false" customHeight="false" outlineLevel="0" collapsed="false">
      <c r="A37" s="5" t="n">
        <v>42404</v>
      </c>
      <c r="B37" s="5" t="s">
        <v>56</v>
      </c>
      <c r="C37" s="5" t="s">
        <v>319</v>
      </c>
      <c r="D37" s="4" t="s">
        <v>28</v>
      </c>
      <c r="E37" s="4" t="s">
        <v>153</v>
      </c>
      <c r="F37" s="4" t="s">
        <v>154</v>
      </c>
      <c r="G37" s="4" t="s">
        <v>242</v>
      </c>
      <c r="H37" s="4" t="s">
        <v>181</v>
      </c>
      <c r="I37" s="5" t="s">
        <v>157</v>
      </c>
      <c r="J37" s="4"/>
      <c r="K37" s="5" t="s">
        <v>158</v>
      </c>
      <c r="L37" s="4"/>
      <c r="M37" s="5" t="s">
        <v>158</v>
      </c>
      <c r="N37" s="4"/>
      <c r="O37" s="5" t="s">
        <v>158</v>
      </c>
      <c r="P37" s="4"/>
      <c r="Q37" s="5" t="s">
        <v>158</v>
      </c>
      <c r="R37" s="5" t="n">
        <v>0</v>
      </c>
      <c r="S37" s="5" t="s">
        <v>158</v>
      </c>
      <c r="T37" s="4"/>
      <c r="U37" s="5" t="s">
        <v>158</v>
      </c>
      <c r="V37" s="5" t="n">
        <v>0</v>
      </c>
      <c r="W37" s="5" t="s">
        <v>158</v>
      </c>
      <c r="X37" s="5" t="n">
        <v>7</v>
      </c>
      <c r="Y37" s="4" t="s">
        <v>320</v>
      </c>
    </row>
    <row r="38" customFormat="false" ht="15" hidden="false" customHeight="false" outlineLevel="0" collapsed="false">
      <c r="A38" s="5" t="n">
        <v>42445</v>
      </c>
      <c r="B38" s="5" t="s">
        <v>56</v>
      </c>
      <c r="C38" s="5" t="s">
        <v>321</v>
      </c>
      <c r="D38" s="4" t="s">
        <v>30</v>
      </c>
      <c r="E38" s="4" t="s">
        <v>153</v>
      </c>
      <c r="F38" s="4" t="s">
        <v>154</v>
      </c>
      <c r="G38" s="4" t="s">
        <v>322</v>
      </c>
      <c r="H38" s="4" t="s">
        <v>322</v>
      </c>
      <c r="I38" s="5" t="s">
        <v>157</v>
      </c>
      <c r="J38" s="4" t="s">
        <v>323</v>
      </c>
      <c r="K38" s="5" t="s">
        <v>157</v>
      </c>
      <c r="L38" s="4" t="s">
        <v>324</v>
      </c>
      <c r="M38" s="5" t="s">
        <v>157</v>
      </c>
      <c r="N38" s="4" t="s">
        <v>325</v>
      </c>
      <c r="O38" s="5" t="s">
        <v>157</v>
      </c>
      <c r="P38" s="4" t="s">
        <v>277</v>
      </c>
      <c r="Q38" s="5" t="s">
        <v>157</v>
      </c>
      <c r="R38" s="5" t="n">
        <v>0</v>
      </c>
      <c r="S38" s="5" t="s">
        <v>158</v>
      </c>
      <c r="T38" s="4" t="s">
        <v>289</v>
      </c>
      <c r="U38" s="5" t="s">
        <v>157</v>
      </c>
      <c r="V38" s="5" t="n">
        <v>0</v>
      </c>
      <c r="W38" s="5" t="s">
        <v>158</v>
      </c>
      <c r="X38" s="5" t="n">
        <v>2</v>
      </c>
      <c r="Y38" s="4" t="s">
        <v>192</v>
      </c>
    </row>
    <row r="39" customFormat="false" ht="15" hidden="false" customHeight="false" outlineLevel="0" collapsed="false">
      <c r="A39" s="5" t="n">
        <v>42446</v>
      </c>
      <c r="B39" s="5" t="s">
        <v>56</v>
      </c>
      <c r="C39" s="5" t="s">
        <v>326</v>
      </c>
      <c r="D39" s="4" t="s">
        <v>30</v>
      </c>
      <c r="E39" s="4" t="s">
        <v>153</v>
      </c>
      <c r="F39" s="4" t="s">
        <v>154</v>
      </c>
      <c r="G39" s="4" t="s">
        <v>327</v>
      </c>
      <c r="H39" s="4" t="s">
        <v>327</v>
      </c>
      <c r="I39" s="5" t="s">
        <v>157</v>
      </c>
      <c r="J39" s="4" t="s">
        <v>328</v>
      </c>
      <c r="K39" s="5" t="s">
        <v>157</v>
      </c>
      <c r="L39" s="4" t="s">
        <v>329</v>
      </c>
      <c r="M39" s="5" t="s">
        <v>157</v>
      </c>
      <c r="N39" s="4" t="s">
        <v>330</v>
      </c>
      <c r="O39" s="5" t="s">
        <v>157</v>
      </c>
      <c r="P39" s="4" t="s">
        <v>277</v>
      </c>
      <c r="Q39" s="5" t="s">
        <v>157</v>
      </c>
      <c r="R39" s="5" t="n">
        <v>0</v>
      </c>
      <c r="S39" s="5" t="s">
        <v>158</v>
      </c>
      <c r="T39" s="4" t="s">
        <v>160</v>
      </c>
      <c r="U39" s="5" t="s">
        <v>157</v>
      </c>
      <c r="V39" s="5" t="n">
        <v>0</v>
      </c>
      <c r="W39" s="5" t="s">
        <v>158</v>
      </c>
      <c r="X39" s="5" t="n">
        <v>2</v>
      </c>
      <c r="Y39" s="4" t="s">
        <v>192</v>
      </c>
    </row>
    <row r="40" customFormat="false" ht="15" hidden="false" customHeight="false" outlineLevel="0" collapsed="false">
      <c r="A40" s="5" t="n">
        <v>42447</v>
      </c>
      <c r="B40" s="5" t="s">
        <v>56</v>
      </c>
      <c r="C40" s="5" t="s">
        <v>331</v>
      </c>
      <c r="D40" s="4" t="s">
        <v>30</v>
      </c>
      <c r="E40" s="4" t="s">
        <v>153</v>
      </c>
      <c r="F40" s="4" t="s">
        <v>154</v>
      </c>
      <c r="G40" s="4" t="s">
        <v>332</v>
      </c>
      <c r="H40" s="4" t="s">
        <v>332</v>
      </c>
      <c r="I40" s="5" t="s">
        <v>157</v>
      </c>
      <c r="J40" s="4" t="s">
        <v>333</v>
      </c>
      <c r="K40" s="5" t="s">
        <v>157</v>
      </c>
      <c r="L40" s="4" t="s">
        <v>334</v>
      </c>
      <c r="M40" s="5" t="s">
        <v>157</v>
      </c>
      <c r="N40" s="4" t="s">
        <v>332</v>
      </c>
      <c r="O40" s="5" t="s">
        <v>157</v>
      </c>
      <c r="P40" s="4" t="s">
        <v>277</v>
      </c>
      <c r="Q40" s="5" t="s">
        <v>157</v>
      </c>
      <c r="R40" s="5" t="n">
        <v>0</v>
      </c>
      <c r="S40" s="5" t="s">
        <v>158</v>
      </c>
      <c r="T40" s="4" t="s">
        <v>160</v>
      </c>
      <c r="U40" s="5" t="s">
        <v>157</v>
      </c>
      <c r="V40" s="5" t="n">
        <v>0</v>
      </c>
      <c r="W40" s="5" t="s">
        <v>158</v>
      </c>
      <c r="X40" s="5" t="n">
        <v>2</v>
      </c>
      <c r="Y40" s="4" t="s">
        <v>192</v>
      </c>
    </row>
    <row r="41" customFormat="false" ht="23.85" hidden="false" customHeight="false" outlineLevel="0" collapsed="false">
      <c r="A41" s="5" t="n">
        <v>42448</v>
      </c>
      <c r="B41" s="5" t="s">
        <v>56</v>
      </c>
      <c r="C41" s="5" t="s">
        <v>335</v>
      </c>
      <c r="D41" s="4" t="s">
        <v>30</v>
      </c>
      <c r="E41" s="4" t="s">
        <v>153</v>
      </c>
      <c r="F41" s="4" t="s">
        <v>154</v>
      </c>
      <c r="G41" s="4" t="s">
        <v>336</v>
      </c>
      <c r="H41" s="4" t="s">
        <v>336</v>
      </c>
      <c r="I41" s="5" t="s">
        <v>157</v>
      </c>
      <c r="J41" s="4"/>
      <c r="K41" s="5" t="s">
        <v>158</v>
      </c>
      <c r="L41" s="4"/>
      <c r="M41" s="5" t="s">
        <v>158</v>
      </c>
      <c r="N41" s="4"/>
      <c r="O41" s="5" t="s">
        <v>158</v>
      </c>
      <c r="P41" s="4"/>
      <c r="Q41" s="5" t="s">
        <v>158</v>
      </c>
      <c r="R41" s="5" t="n">
        <v>0</v>
      </c>
      <c r="S41" s="5" t="s">
        <v>158</v>
      </c>
      <c r="T41" s="4"/>
      <c r="U41" s="5" t="s">
        <v>158</v>
      </c>
      <c r="V41" s="5" t="n">
        <v>0</v>
      </c>
      <c r="W41" s="5" t="s">
        <v>158</v>
      </c>
      <c r="X41" s="5" t="n">
        <v>7</v>
      </c>
      <c r="Y41" s="4" t="s">
        <v>320</v>
      </c>
    </row>
    <row r="42" customFormat="false" ht="23.85" hidden="false" customHeight="false" outlineLevel="0" collapsed="false">
      <c r="A42" s="5" t="n">
        <v>42449</v>
      </c>
      <c r="B42" s="5" t="s">
        <v>56</v>
      </c>
      <c r="C42" s="5" t="s">
        <v>337</v>
      </c>
      <c r="D42" s="4" t="s">
        <v>30</v>
      </c>
      <c r="E42" s="4" t="s">
        <v>153</v>
      </c>
      <c r="F42" s="4" t="s">
        <v>338</v>
      </c>
      <c r="G42" s="4" t="s">
        <v>339</v>
      </c>
      <c r="H42" s="4" t="s">
        <v>339</v>
      </c>
      <c r="I42" s="5" t="s">
        <v>157</v>
      </c>
      <c r="J42" s="4"/>
      <c r="K42" s="5" t="s">
        <v>158</v>
      </c>
      <c r="L42" s="4"/>
      <c r="M42" s="5" t="s">
        <v>158</v>
      </c>
      <c r="N42" s="4"/>
      <c r="O42" s="5" t="s">
        <v>158</v>
      </c>
      <c r="P42" s="4"/>
      <c r="Q42" s="5" t="s">
        <v>158</v>
      </c>
      <c r="R42" s="5" t="n">
        <v>0</v>
      </c>
      <c r="S42" s="5" t="s">
        <v>158</v>
      </c>
      <c r="T42" s="4"/>
      <c r="U42" s="5" t="s">
        <v>158</v>
      </c>
      <c r="V42" s="5" t="n">
        <v>0</v>
      </c>
      <c r="W42" s="5" t="s">
        <v>158</v>
      </c>
      <c r="X42" s="5" t="n">
        <v>7</v>
      </c>
      <c r="Y42" s="4" t="s">
        <v>320</v>
      </c>
    </row>
    <row r="43" customFormat="false" ht="23.85" hidden="false" customHeight="false" outlineLevel="0" collapsed="false">
      <c r="A43" s="5" t="n">
        <v>42450</v>
      </c>
      <c r="B43" s="5" t="s">
        <v>56</v>
      </c>
      <c r="C43" s="5" t="s">
        <v>340</v>
      </c>
      <c r="D43" s="4" t="s">
        <v>28</v>
      </c>
      <c r="E43" s="4" t="s">
        <v>153</v>
      </c>
      <c r="F43" s="4" t="s">
        <v>154</v>
      </c>
      <c r="G43" s="4" t="s">
        <v>341</v>
      </c>
      <c r="H43" s="4" t="s">
        <v>342</v>
      </c>
      <c r="I43" s="5" t="s">
        <v>157</v>
      </c>
      <c r="J43" s="4"/>
      <c r="K43" s="5" t="s">
        <v>158</v>
      </c>
      <c r="L43" s="4" t="s">
        <v>343</v>
      </c>
      <c r="M43" s="5" t="s">
        <v>157</v>
      </c>
      <c r="N43" s="4" t="s">
        <v>342</v>
      </c>
      <c r="O43" s="5" t="s">
        <v>157</v>
      </c>
      <c r="P43" s="4" t="s">
        <v>160</v>
      </c>
      <c r="Q43" s="5" t="s">
        <v>157</v>
      </c>
      <c r="R43" s="5" t="n">
        <v>0</v>
      </c>
      <c r="S43" s="5" t="s">
        <v>158</v>
      </c>
      <c r="T43" s="4"/>
      <c r="U43" s="5" t="s">
        <v>158</v>
      </c>
      <c r="V43" s="5" t="n">
        <v>0</v>
      </c>
      <c r="W43" s="5" t="s">
        <v>158</v>
      </c>
      <c r="X43" s="5" t="n">
        <v>4</v>
      </c>
      <c r="Y43" s="4" t="s">
        <v>161</v>
      </c>
    </row>
    <row r="44" customFormat="false" ht="23.85" hidden="false" customHeight="false" outlineLevel="0" collapsed="false">
      <c r="A44" s="5" t="n">
        <v>42451</v>
      </c>
      <c r="B44" s="5" t="s">
        <v>56</v>
      </c>
      <c r="C44" s="5" t="s">
        <v>344</v>
      </c>
      <c r="D44" s="4" t="s">
        <v>28</v>
      </c>
      <c r="E44" s="4" t="s">
        <v>153</v>
      </c>
      <c r="F44" s="4" t="s">
        <v>154</v>
      </c>
      <c r="G44" s="4" t="s">
        <v>345</v>
      </c>
      <c r="H44" s="4" t="s">
        <v>346</v>
      </c>
      <c r="I44" s="5" t="s">
        <v>157</v>
      </c>
      <c r="J44" s="4"/>
      <c r="K44" s="5" t="s">
        <v>158</v>
      </c>
      <c r="L44" s="4"/>
      <c r="M44" s="5" t="s">
        <v>158</v>
      </c>
      <c r="N44" s="4"/>
      <c r="O44" s="5" t="s">
        <v>158</v>
      </c>
      <c r="P44" s="4"/>
      <c r="Q44" s="5" t="s">
        <v>158</v>
      </c>
      <c r="R44" s="5" t="n">
        <v>0</v>
      </c>
      <c r="S44" s="5" t="s">
        <v>158</v>
      </c>
      <c r="T44" s="4"/>
      <c r="U44" s="5" t="s">
        <v>158</v>
      </c>
      <c r="V44" s="5" t="n">
        <v>0</v>
      </c>
      <c r="W44" s="5" t="s">
        <v>158</v>
      </c>
      <c r="X44" s="5" t="n">
        <v>7</v>
      </c>
      <c r="Y44" s="4" t="s">
        <v>320</v>
      </c>
    </row>
    <row r="45" customFormat="false" ht="23.85" hidden="false" customHeight="false" outlineLevel="0" collapsed="false">
      <c r="A45" s="5" t="n">
        <v>42452</v>
      </c>
      <c r="B45" s="5" t="s">
        <v>56</v>
      </c>
      <c r="C45" s="5" t="s">
        <v>347</v>
      </c>
      <c r="D45" s="4" t="s">
        <v>28</v>
      </c>
      <c r="E45" s="4" t="s">
        <v>153</v>
      </c>
      <c r="F45" s="4" t="s">
        <v>154</v>
      </c>
      <c r="G45" s="4" t="s">
        <v>345</v>
      </c>
      <c r="H45" s="4" t="s">
        <v>346</v>
      </c>
      <c r="I45" s="5" t="s">
        <v>157</v>
      </c>
      <c r="J45" s="4"/>
      <c r="K45" s="5" t="s">
        <v>158</v>
      </c>
      <c r="L45" s="4" t="s">
        <v>346</v>
      </c>
      <c r="M45" s="5" t="s">
        <v>157</v>
      </c>
      <c r="N45" s="4" t="s">
        <v>293</v>
      </c>
      <c r="O45" s="5" t="s">
        <v>157</v>
      </c>
      <c r="P45" s="4" t="s">
        <v>160</v>
      </c>
      <c r="Q45" s="5" t="s">
        <v>157</v>
      </c>
      <c r="R45" s="5" t="n">
        <v>0</v>
      </c>
      <c r="S45" s="5" t="s">
        <v>158</v>
      </c>
      <c r="T45" s="4"/>
      <c r="U45" s="5" t="s">
        <v>158</v>
      </c>
      <c r="V45" s="5" t="n">
        <v>0</v>
      </c>
      <c r="W45" s="5" t="s">
        <v>158</v>
      </c>
      <c r="X45" s="5" t="n">
        <v>4</v>
      </c>
      <c r="Y45" s="4" t="s">
        <v>161</v>
      </c>
    </row>
    <row r="46" customFormat="false" ht="23.85" hidden="false" customHeight="false" outlineLevel="0" collapsed="false">
      <c r="A46" s="5" t="n">
        <v>42453</v>
      </c>
      <c r="B46" s="5" t="s">
        <v>56</v>
      </c>
      <c r="C46" s="5" t="s">
        <v>348</v>
      </c>
      <c r="D46" s="4" t="s">
        <v>22</v>
      </c>
      <c r="E46" s="4" t="s">
        <v>185</v>
      </c>
      <c r="F46" s="4" t="s">
        <v>244</v>
      </c>
      <c r="G46" s="4" t="s">
        <v>349</v>
      </c>
      <c r="H46" s="4" t="s">
        <v>350</v>
      </c>
      <c r="I46" s="5" t="s">
        <v>157</v>
      </c>
      <c r="J46" s="4"/>
      <c r="K46" s="5" t="s">
        <v>158</v>
      </c>
      <c r="L46" s="4"/>
      <c r="M46" s="5" t="s">
        <v>158</v>
      </c>
      <c r="N46" s="4" t="s">
        <v>351</v>
      </c>
      <c r="O46" s="5" t="s">
        <v>157</v>
      </c>
      <c r="P46" s="4" t="s">
        <v>253</v>
      </c>
      <c r="Q46" s="5" t="s">
        <v>157</v>
      </c>
      <c r="R46" s="5" t="n">
        <v>0</v>
      </c>
      <c r="S46" s="5" t="s">
        <v>158</v>
      </c>
      <c r="T46" s="4"/>
      <c r="U46" s="5" t="s">
        <v>158</v>
      </c>
      <c r="V46" s="5" t="n">
        <v>0</v>
      </c>
      <c r="W46" s="5" t="s">
        <v>158</v>
      </c>
      <c r="X46" s="5" t="n">
        <v>5</v>
      </c>
      <c r="Y46" s="4" t="s">
        <v>254</v>
      </c>
    </row>
    <row r="47" customFormat="false" ht="23.85" hidden="false" customHeight="false" outlineLevel="0" collapsed="false">
      <c r="A47" s="5" t="n">
        <v>42454</v>
      </c>
      <c r="B47" s="5" t="s">
        <v>56</v>
      </c>
      <c r="C47" s="5" t="s">
        <v>352</v>
      </c>
      <c r="D47" s="4" t="s">
        <v>28</v>
      </c>
      <c r="E47" s="4" t="s">
        <v>153</v>
      </c>
      <c r="F47" s="4" t="s">
        <v>154</v>
      </c>
      <c r="G47" s="4" t="s">
        <v>353</v>
      </c>
      <c r="H47" s="4" t="s">
        <v>354</v>
      </c>
      <c r="I47" s="5" t="s">
        <v>157</v>
      </c>
      <c r="J47" s="4"/>
      <c r="K47" s="5" t="s">
        <v>158</v>
      </c>
      <c r="L47" s="4" t="s">
        <v>355</v>
      </c>
      <c r="M47" s="5" t="s">
        <v>157</v>
      </c>
      <c r="N47" s="4" t="s">
        <v>354</v>
      </c>
      <c r="O47" s="5" t="s">
        <v>157</v>
      </c>
      <c r="P47" s="4" t="s">
        <v>160</v>
      </c>
      <c r="Q47" s="5" t="s">
        <v>157</v>
      </c>
      <c r="R47" s="5" t="n">
        <v>0</v>
      </c>
      <c r="S47" s="5" t="s">
        <v>158</v>
      </c>
      <c r="T47" s="4"/>
      <c r="U47" s="5" t="s">
        <v>158</v>
      </c>
      <c r="V47" s="5" t="n">
        <v>0</v>
      </c>
      <c r="W47" s="5" t="s">
        <v>158</v>
      </c>
      <c r="X47" s="5" t="n">
        <v>4</v>
      </c>
      <c r="Y47" s="4" t="s">
        <v>161</v>
      </c>
    </row>
    <row r="48" customFormat="false" ht="23.85" hidden="false" customHeight="false" outlineLevel="0" collapsed="false">
      <c r="A48" s="5" t="n">
        <v>42455</v>
      </c>
      <c r="B48" s="5" t="s">
        <v>56</v>
      </c>
      <c r="C48" s="5" t="s">
        <v>356</v>
      </c>
      <c r="D48" s="4" t="s">
        <v>22</v>
      </c>
      <c r="E48" s="4" t="s">
        <v>185</v>
      </c>
      <c r="F48" s="4" t="s">
        <v>244</v>
      </c>
      <c r="G48" s="4" t="s">
        <v>357</v>
      </c>
      <c r="H48" s="4" t="s">
        <v>358</v>
      </c>
      <c r="I48" s="5" t="s">
        <v>157</v>
      </c>
      <c r="J48" s="4"/>
      <c r="K48" s="5" t="s">
        <v>158</v>
      </c>
      <c r="L48" s="4"/>
      <c r="M48" s="5" t="s">
        <v>158</v>
      </c>
      <c r="N48" s="4" t="s">
        <v>359</v>
      </c>
      <c r="O48" s="5" t="s">
        <v>157</v>
      </c>
      <c r="P48" s="4" t="s">
        <v>253</v>
      </c>
      <c r="Q48" s="5" t="s">
        <v>157</v>
      </c>
      <c r="R48" s="5" t="n">
        <v>0</v>
      </c>
      <c r="S48" s="5" t="s">
        <v>158</v>
      </c>
      <c r="T48" s="4"/>
      <c r="U48" s="5" t="s">
        <v>158</v>
      </c>
      <c r="V48" s="5" t="n">
        <v>0</v>
      </c>
      <c r="W48" s="5" t="s">
        <v>158</v>
      </c>
      <c r="X48" s="5" t="n">
        <v>5</v>
      </c>
      <c r="Y48" s="4" t="s">
        <v>254</v>
      </c>
    </row>
    <row r="49" customFormat="false" ht="23.85" hidden="false" customHeight="false" outlineLevel="0" collapsed="false">
      <c r="A49" s="5" t="n">
        <v>42456</v>
      </c>
      <c r="B49" s="5" t="s">
        <v>56</v>
      </c>
      <c r="C49" s="5" t="s">
        <v>360</v>
      </c>
      <c r="D49" s="4" t="s">
        <v>28</v>
      </c>
      <c r="E49" s="4" t="s">
        <v>153</v>
      </c>
      <c r="F49" s="4" t="s">
        <v>154</v>
      </c>
      <c r="G49" s="4" t="s">
        <v>361</v>
      </c>
      <c r="H49" s="4" t="s">
        <v>362</v>
      </c>
      <c r="I49" s="5" t="s">
        <v>157</v>
      </c>
      <c r="J49" s="4"/>
      <c r="K49" s="5" t="s">
        <v>158</v>
      </c>
      <c r="L49" s="4" t="s">
        <v>362</v>
      </c>
      <c r="M49" s="5" t="s">
        <v>157</v>
      </c>
      <c r="N49" s="4"/>
      <c r="O49" s="5" t="s">
        <v>158</v>
      </c>
      <c r="P49" s="4"/>
      <c r="Q49" s="5" t="s">
        <v>158</v>
      </c>
      <c r="R49" s="5" t="n">
        <v>0</v>
      </c>
      <c r="S49" s="5" t="s">
        <v>158</v>
      </c>
      <c r="T49" s="4"/>
      <c r="U49" s="5" t="s">
        <v>158</v>
      </c>
      <c r="V49" s="5" t="n">
        <v>0</v>
      </c>
      <c r="W49" s="5" t="s">
        <v>158</v>
      </c>
      <c r="X49" s="5" t="n">
        <v>6</v>
      </c>
      <c r="Y49" s="4" t="s">
        <v>265</v>
      </c>
    </row>
    <row r="50" customFormat="false" ht="23.85" hidden="false" customHeight="false" outlineLevel="0" collapsed="false">
      <c r="A50" s="5" t="n">
        <v>42457</v>
      </c>
      <c r="B50" s="5" t="s">
        <v>56</v>
      </c>
      <c r="C50" s="5" t="s">
        <v>170</v>
      </c>
      <c r="D50" s="4" t="s">
        <v>22</v>
      </c>
      <c r="E50" s="4" t="s">
        <v>185</v>
      </c>
      <c r="F50" s="4" t="s">
        <v>244</v>
      </c>
      <c r="G50" s="4" t="s">
        <v>363</v>
      </c>
      <c r="H50" s="4" t="s">
        <v>364</v>
      </c>
      <c r="I50" s="5" t="s">
        <v>157</v>
      </c>
      <c r="J50" s="4"/>
      <c r="K50" s="5" t="s">
        <v>158</v>
      </c>
      <c r="L50" s="4"/>
      <c r="M50" s="5" t="s">
        <v>158</v>
      </c>
      <c r="N50" s="4" t="s">
        <v>365</v>
      </c>
      <c r="O50" s="5" t="s">
        <v>157</v>
      </c>
      <c r="P50" s="4" t="s">
        <v>253</v>
      </c>
      <c r="Q50" s="5" t="s">
        <v>157</v>
      </c>
      <c r="R50" s="5" t="n">
        <v>0</v>
      </c>
      <c r="S50" s="5" t="s">
        <v>158</v>
      </c>
      <c r="T50" s="4"/>
      <c r="U50" s="5" t="s">
        <v>158</v>
      </c>
      <c r="V50" s="5" t="n">
        <v>0</v>
      </c>
      <c r="W50" s="5" t="s">
        <v>158</v>
      </c>
      <c r="X50" s="5" t="n">
        <v>5</v>
      </c>
      <c r="Y50" s="4" t="s">
        <v>254</v>
      </c>
    </row>
    <row r="51" customFormat="false" ht="23.85" hidden="false" customHeight="false" outlineLevel="0" collapsed="false">
      <c r="A51" s="5" t="n">
        <v>42458</v>
      </c>
      <c r="B51" s="5" t="s">
        <v>56</v>
      </c>
      <c r="C51" s="5" t="s">
        <v>366</v>
      </c>
      <c r="D51" s="4" t="s">
        <v>28</v>
      </c>
      <c r="E51" s="4" t="s">
        <v>153</v>
      </c>
      <c r="F51" s="4" t="s">
        <v>154</v>
      </c>
      <c r="G51" s="4" t="s">
        <v>367</v>
      </c>
      <c r="H51" s="4" t="s">
        <v>368</v>
      </c>
      <c r="I51" s="5" t="s">
        <v>157</v>
      </c>
      <c r="J51" s="4"/>
      <c r="K51" s="5" t="s">
        <v>158</v>
      </c>
      <c r="L51" s="4"/>
      <c r="M51" s="5" t="s">
        <v>158</v>
      </c>
      <c r="N51" s="4"/>
      <c r="O51" s="5" t="s">
        <v>158</v>
      </c>
      <c r="P51" s="4" t="s">
        <v>160</v>
      </c>
      <c r="Q51" s="5" t="s">
        <v>157</v>
      </c>
      <c r="R51" s="5" t="n">
        <v>0</v>
      </c>
      <c r="S51" s="5" t="s">
        <v>158</v>
      </c>
      <c r="T51" s="4"/>
      <c r="U51" s="5" t="s">
        <v>158</v>
      </c>
      <c r="V51" s="5" t="n">
        <v>0</v>
      </c>
      <c r="W51" s="5" t="s">
        <v>158</v>
      </c>
      <c r="X51" s="5" t="n">
        <v>6</v>
      </c>
      <c r="Y51" s="4" t="s">
        <v>183</v>
      </c>
    </row>
    <row r="52" customFormat="false" ht="23.85" hidden="false" customHeight="false" outlineLevel="0" collapsed="false">
      <c r="A52" s="5" t="n">
        <v>42459</v>
      </c>
      <c r="B52" s="5" t="s">
        <v>56</v>
      </c>
      <c r="C52" s="5" t="s">
        <v>174</v>
      </c>
      <c r="D52" s="4" t="s">
        <v>28</v>
      </c>
      <c r="E52" s="4" t="s">
        <v>153</v>
      </c>
      <c r="F52" s="4" t="s">
        <v>154</v>
      </c>
      <c r="G52" s="4" t="s">
        <v>361</v>
      </c>
      <c r="H52" s="4" t="s">
        <v>362</v>
      </c>
      <c r="I52" s="5" t="s">
        <v>157</v>
      </c>
      <c r="J52" s="4"/>
      <c r="K52" s="5" t="s">
        <v>158</v>
      </c>
      <c r="L52" s="4"/>
      <c r="M52" s="5" t="s">
        <v>158</v>
      </c>
      <c r="N52" s="4"/>
      <c r="O52" s="5" t="s">
        <v>158</v>
      </c>
      <c r="P52" s="4" t="s">
        <v>182</v>
      </c>
      <c r="Q52" s="5" t="s">
        <v>157</v>
      </c>
      <c r="R52" s="5" t="n">
        <v>0</v>
      </c>
      <c r="S52" s="5" t="s">
        <v>158</v>
      </c>
      <c r="T52" s="4"/>
      <c r="U52" s="5" t="s">
        <v>158</v>
      </c>
      <c r="V52" s="5" t="n">
        <v>0</v>
      </c>
      <c r="W52" s="5" t="s">
        <v>158</v>
      </c>
      <c r="X52" s="5" t="n">
        <v>6</v>
      </c>
      <c r="Y52" s="4" t="s">
        <v>183</v>
      </c>
    </row>
    <row r="53" customFormat="false" ht="35.05" hidden="false" customHeight="false" outlineLevel="0" collapsed="false">
      <c r="A53" s="5" t="n">
        <v>42475</v>
      </c>
      <c r="B53" s="5" t="s">
        <v>58</v>
      </c>
      <c r="C53" s="5" t="s">
        <v>369</v>
      </c>
      <c r="D53" s="4" t="s">
        <v>24</v>
      </c>
      <c r="E53" s="4" t="s">
        <v>194</v>
      </c>
      <c r="F53" s="4" t="s">
        <v>338</v>
      </c>
      <c r="G53" s="4" t="s">
        <v>370</v>
      </c>
      <c r="H53" s="4"/>
      <c r="I53" s="5" t="s">
        <v>158</v>
      </c>
      <c r="J53" s="4"/>
      <c r="K53" s="5" t="s">
        <v>158</v>
      </c>
      <c r="L53" s="4"/>
      <c r="M53" s="5" t="s">
        <v>158</v>
      </c>
      <c r="N53" s="4"/>
      <c r="O53" s="5" t="s">
        <v>158</v>
      </c>
      <c r="P53" s="4"/>
      <c r="Q53" s="5" t="s">
        <v>158</v>
      </c>
      <c r="R53" s="5" t="n">
        <v>0</v>
      </c>
      <c r="S53" s="5" t="s">
        <v>158</v>
      </c>
      <c r="T53" s="4"/>
      <c r="U53" s="5" t="s">
        <v>158</v>
      </c>
      <c r="V53" s="5" t="n">
        <v>0</v>
      </c>
      <c r="W53" s="5" t="s">
        <v>158</v>
      </c>
      <c r="X53" s="5" t="n">
        <v>8</v>
      </c>
      <c r="Y53" s="4" t="s">
        <v>224</v>
      </c>
    </row>
    <row r="54" customFormat="false" ht="23.85" hidden="false" customHeight="false" outlineLevel="0" collapsed="false">
      <c r="A54" s="5" t="n">
        <v>42536</v>
      </c>
      <c r="B54" s="5" t="s">
        <v>58</v>
      </c>
      <c r="C54" s="5" t="s">
        <v>371</v>
      </c>
      <c r="D54" s="4" t="s">
        <v>18</v>
      </c>
      <c r="E54" s="4" t="s">
        <v>194</v>
      </c>
      <c r="F54" s="4" t="s">
        <v>154</v>
      </c>
      <c r="G54" s="4" t="s">
        <v>372</v>
      </c>
      <c r="H54" s="4" t="s">
        <v>373</v>
      </c>
      <c r="I54" s="5" t="s">
        <v>157</v>
      </c>
      <c r="J54" s="4"/>
      <c r="K54" s="5" t="s">
        <v>158</v>
      </c>
      <c r="L54" s="4" t="s">
        <v>374</v>
      </c>
      <c r="M54" s="5" t="s">
        <v>157</v>
      </c>
      <c r="N54" s="4"/>
      <c r="O54" s="5" t="s">
        <v>158</v>
      </c>
      <c r="P54" s="4" t="s">
        <v>277</v>
      </c>
      <c r="Q54" s="5" t="s">
        <v>157</v>
      </c>
      <c r="R54" s="5" t="n">
        <v>0</v>
      </c>
      <c r="S54" s="5" t="s">
        <v>158</v>
      </c>
      <c r="T54" s="4"/>
      <c r="U54" s="5" t="s">
        <v>158</v>
      </c>
      <c r="V54" s="5" t="n">
        <v>4</v>
      </c>
      <c r="W54" s="5" t="s">
        <v>157</v>
      </c>
      <c r="X54" s="5" t="n">
        <v>4</v>
      </c>
      <c r="Y54" s="4" t="s">
        <v>375</v>
      </c>
    </row>
    <row r="55" customFormat="false" ht="23.85" hidden="false" customHeight="false" outlineLevel="0" collapsed="false">
      <c r="A55" s="5" t="n">
        <v>42539</v>
      </c>
      <c r="B55" s="5" t="s">
        <v>58</v>
      </c>
      <c r="C55" s="5" t="s">
        <v>376</v>
      </c>
      <c r="D55" s="4" t="s">
        <v>28</v>
      </c>
      <c r="E55" s="4" t="s">
        <v>153</v>
      </c>
      <c r="F55" s="4" t="s">
        <v>154</v>
      </c>
      <c r="G55" s="4" t="s">
        <v>377</v>
      </c>
      <c r="H55" s="4" t="s">
        <v>378</v>
      </c>
      <c r="I55" s="5" t="s">
        <v>157</v>
      </c>
      <c r="J55" s="4"/>
      <c r="K55" s="5" t="s">
        <v>158</v>
      </c>
      <c r="L55" s="4" t="s">
        <v>379</v>
      </c>
      <c r="M55" s="5" t="s">
        <v>157</v>
      </c>
      <c r="N55" s="4" t="s">
        <v>378</v>
      </c>
      <c r="O55" s="5" t="s">
        <v>157</v>
      </c>
      <c r="P55" s="4" t="s">
        <v>160</v>
      </c>
      <c r="Q55" s="5" t="s">
        <v>157</v>
      </c>
      <c r="R55" s="5" t="n">
        <v>0</v>
      </c>
      <c r="S55" s="5" t="s">
        <v>158</v>
      </c>
      <c r="T55" s="4"/>
      <c r="U55" s="5" t="s">
        <v>158</v>
      </c>
      <c r="V55" s="5" t="n">
        <v>0</v>
      </c>
      <c r="W55" s="5" t="s">
        <v>158</v>
      </c>
      <c r="X55" s="5" t="n">
        <v>4</v>
      </c>
      <c r="Y55" s="4" t="s">
        <v>161</v>
      </c>
    </row>
    <row r="56" customFormat="false" ht="23.85" hidden="false" customHeight="false" outlineLevel="0" collapsed="false">
      <c r="A56" s="5" t="n">
        <v>42540</v>
      </c>
      <c r="B56" s="5" t="s">
        <v>58</v>
      </c>
      <c r="C56" s="5" t="s">
        <v>380</v>
      </c>
      <c r="D56" s="4" t="s">
        <v>28</v>
      </c>
      <c r="E56" s="4" t="s">
        <v>153</v>
      </c>
      <c r="F56" s="4" t="s">
        <v>154</v>
      </c>
      <c r="G56" s="4" t="s">
        <v>292</v>
      </c>
      <c r="H56" s="4" t="s">
        <v>293</v>
      </c>
      <c r="I56" s="5" t="s">
        <v>157</v>
      </c>
      <c r="J56" s="4"/>
      <c r="K56" s="5" t="s">
        <v>158</v>
      </c>
      <c r="L56" s="4" t="s">
        <v>220</v>
      </c>
      <c r="M56" s="5" t="s">
        <v>157</v>
      </c>
      <c r="N56" s="4" t="s">
        <v>381</v>
      </c>
      <c r="O56" s="5" t="s">
        <v>157</v>
      </c>
      <c r="P56" s="4" t="s">
        <v>160</v>
      </c>
      <c r="Q56" s="5" t="s">
        <v>157</v>
      </c>
      <c r="R56" s="5" t="n">
        <v>0</v>
      </c>
      <c r="S56" s="5" t="s">
        <v>158</v>
      </c>
      <c r="T56" s="4"/>
      <c r="U56" s="5" t="s">
        <v>158</v>
      </c>
      <c r="V56" s="5" t="n">
        <v>0</v>
      </c>
      <c r="W56" s="5" t="s">
        <v>158</v>
      </c>
      <c r="X56" s="5" t="n">
        <v>4</v>
      </c>
      <c r="Y56" s="4" t="s">
        <v>161</v>
      </c>
    </row>
    <row r="57" customFormat="false" ht="23.85" hidden="false" customHeight="false" outlineLevel="0" collapsed="false">
      <c r="A57" s="5" t="n">
        <v>42541</v>
      </c>
      <c r="B57" s="5" t="s">
        <v>58</v>
      </c>
      <c r="C57" s="5" t="s">
        <v>382</v>
      </c>
      <c r="D57" s="4" t="s">
        <v>28</v>
      </c>
      <c r="E57" s="4" t="s">
        <v>153</v>
      </c>
      <c r="F57" s="4" t="s">
        <v>154</v>
      </c>
      <c r="G57" s="4" t="s">
        <v>383</v>
      </c>
      <c r="H57" s="4" t="s">
        <v>384</v>
      </c>
      <c r="I57" s="5" t="s">
        <v>157</v>
      </c>
      <c r="J57" s="4"/>
      <c r="K57" s="5" t="s">
        <v>158</v>
      </c>
      <c r="L57" s="4" t="s">
        <v>385</v>
      </c>
      <c r="M57" s="5" t="s">
        <v>157</v>
      </c>
      <c r="N57" s="4" t="s">
        <v>384</v>
      </c>
      <c r="O57" s="5" t="s">
        <v>157</v>
      </c>
      <c r="P57" s="4" t="s">
        <v>160</v>
      </c>
      <c r="Q57" s="5" t="s">
        <v>157</v>
      </c>
      <c r="R57" s="5" t="n">
        <v>0</v>
      </c>
      <c r="S57" s="5" t="s">
        <v>158</v>
      </c>
      <c r="T57" s="4"/>
      <c r="U57" s="5" t="s">
        <v>158</v>
      </c>
      <c r="V57" s="5" t="n">
        <v>0</v>
      </c>
      <c r="W57" s="5" t="s">
        <v>158</v>
      </c>
      <c r="X57" s="5" t="n">
        <v>4</v>
      </c>
      <c r="Y57" s="4" t="s">
        <v>161</v>
      </c>
    </row>
    <row r="58" customFormat="false" ht="23.85" hidden="false" customHeight="false" outlineLevel="0" collapsed="false">
      <c r="A58" s="5" t="n">
        <v>42542</v>
      </c>
      <c r="B58" s="5" t="s">
        <v>58</v>
      </c>
      <c r="C58" s="5" t="s">
        <v>386</v>
      </c>
      <c r="D58" s="4" t="s">
        <v>28</v>
      </c>
      <c r="E58" s="4" t="s">
        <v>153</v>
      </c>
      <c r="F58" s="4" t="s">
        <v>154</v>
      </c>
      <c r="G58" s="4" t="s">
        <v>387</v>
      </c>
      <c r="H58" s="4" t="s">
        <v>388</v>
      </c>
      <c r="I58" s="5" t="s">
        <v>157</v>
      </c>
      <c r="J58" s="4"/>
      <c r="K58" s="5" t="s">
        <v>158</v>
      </c>
      <c r="L58" s="4" t="s">
        <v>385</v>
      </c>
      <c r="M58" s="5" t="s">
        <v>157</v>
      </c>
      <c r="N58" s="4" t="s">
        <v>388</v>
      </c>
      <c r="O58" s="5" t="s">
        <v>157</v>
      </c>
      <c r="P58" s="4" t="s">
        <v>160</v>
      </c>
      <c r="Q58" s="5" t="s">
        <v>157</v>
      </c>
      <c r="R58" s="5" t="n">
        <v>0</v>
      </c>
      <c r="S58" s="5" t="s">
        <v>158</v>
      </c>
      <c r="T58" s="4"/>
      <c r="U58" s="5" t="s">
        <v>158</v>
      </c>
      <c r="V58" s="5" t="n">
        <v>0</v>
      </c>
      <c r="W58" s="5" t="s">
        <v>158</v>
      </c>
      <c r="X58" s="5" t="n">
        <v>4</v>
      </c>
      <c r="Y58" s="4" t="s">
        <v>161</v>
      </c>
    </row>
    <row r="59" customFormat="false" ht="23.85" hidden="false" customHeight="false" outlineLevel="0" collapsed="false">
      <c r="A59" s="5" t="n">
        <v>42547</v>
      </c>
      <c r="B59" s="5" t="s">
        <v>58</v>
      </c>
      <c r="C59" s="5" t="s">
        <v>389</v>
      </c>
      <c r="D59" s="4" t="s">
        <v>28</v>
      </c>
      <c r="E59" s="4" t="s">
        <v>153</v>
      </c>
      <c r="F59" s="4" t="s">
        <v>154</v>
      </c>
      <c r="G59" s="4" t="s">
        <v>242</v>
      </c>
      <c r="H59" s="4" t="s">
        <v>181</v>
      </c>
      <c r="I59" s="5" t="s">
        <v>157</v>
      </c>
      <c r="J59" s="4"/>
      <c r="K59" s="5" t="s">
        <v>158</v>
      </c>
      <c r="L59" s="4"/>
      <c r="M59" s="5" t="s">
        <v>158</v>
      </c>
      <c r="N59" s="4"/>
      <c r="O59" s="5" t="s">
        <v>158</v>
      </c>
      <c r="P59" s="4" t="s">
        <v>182</v>
      </c>
      <c r="Q59" s="5" t="s">
        <v>157</v>
      </c>
      <c r="R59" s="5" t="n">
        <v>0</v>
      </c>
      <c r="S59" s="5" t="s">
        <v>158</v>
      </c>
      <c r="T59" s="4"/>
      <c r="U59" s="5" t="s">
        <v>158</v>
      </c>
      <c r="V59" s="5" t="n">
        <v>0</v>
      </c>
      <c r="W59" s="5" t="s">
        <v>158</v>
      </c>
      <c r="X59" s="5" t="n">
        <v>6</v>
      </c>
      <c r="Y59" s="4" t="s">
        <v>183</v>
      </c>
    </row>
    <row r="60" customFormat="false" ht="23.85" hidden="false" customHeight="false" outlineLevel="0" collapsed="false">
      <c r="A60" s="5" t="n">
        <v>42548</v>
      </c>
      <c r="B60" s="5" t="s">
        <v>60</v>
      </c>
      <c r="C60" s="5" t="s">
        <v>390</v>
      </c>
      <c r="D60" s="4" t="s">
        <v>22</v>
      </c>
      <c r="E60" s="4" t="s">
        <v>185</v>
      </c>
      <c r="F60" s="4" t="s">
        <v>244</v>
      </c>
      <c r="G60" s="4" t="s">
        <v>391</v>
      </c>
      <c r="H60" s="4" t="s">
        <v>392</v>
      </c>
      <c r="I60" s="5" t="s">
        <v>157</v>
      </c>
      <c r="J60" s="4"/>
      <c r="K60" s="5" t="s">
        <v>158</v>
      </c>
      <c r="L60" s="4" t="s">
        <v>393</v>
      </c>
      <c r="M60" s="5" t="s">
        <v>157</v>
      </c>
      <c r="N60" s="4"/>
      <c r="O60" s="5" t="s">
        <v>158</v>
      </c>
      <c r="P60" s="4" t="s">
        <v>247</v>
      </c>
      <c r="Q60" s="5" t="s">
        <v>157</v>
      </c>
      <c r="R60" s="5" t="n">
        <v>0</v>
      </c>
      <c r="S60" s="5" t="s">
        <v>158</v>
      </c>
      <c r="T60" s="4"/>
      <c r="U60" s="5" t="s">
        <v>158</v>
      </c>
      <c r="V60" s="5" t="n">
        <v>0</v>
      </c>
      <c r="W60" s="5" t="s">
        <v>158</v>
      </c>
      <c r="X60" s="5" t="n">
        <v>5</v>
      </c>
      <c r="Y60" s="4" t="s">
        <v>248</v>
      </c>
    </row>
    <row r="61" customFormat="false" ht="23.85" hidden="false" customHeight="false" outlineLevel="0" collapsed="false">
      <c r="A61" s="5" t="n">
        <v>42557</v>
      </c>
      <c r="B61" s="5" t="s">
        <v>60</v>
      </c>
      <c r="C61" s="5" t="s">
        <v>394</v>
      </c>
      <c r="D61" s="4" t="s">
        <v>28</v>
      </c>
      <c r="E61" s="4" t="s">
        <v>153</v>
      </c>
      <c r="F61" s="4" t="s">
        <v>154</v>
      </c>
      <c r="G61" s="4" t="s">
        <v>395</v>
      </c>
      <c r="H61" s="4" t="s">
        <v>396</v>
      </c>
      <c r="I61" s="5" t="s">
        <v>157</v>
      </c>
      <c r="J61" s="4"/>
      <c r="K61" s="5" t="s">
        <v>158</v>
      </c>
      <c r="L61" s="4" t="s">
        <v>397</v>
      </c>
      <c r="M61" s="5" t="s">
        <v>157</v>
      </c>
      <c r="N61" s="4" t="s">
        <v>396</v>
      </c>
      <c r="O61" s="5" t="s">
        <v>157</v>
      </c>
      <c r="P61" s="4" t="s">
        <v>160</v>
      </c>
      <c r="Q61" s="5" t="s">
        <v>157</v>
      </c>
      <c r="R61" s="5" t="n">
        <v>0</v>
      </c>
      <c r="S61" s="5" t="s">
        <v>158</v>
      </c>
      <c r="T61" s="4"/>
      <c r="U61" s="5" t="s">
        <v>158</v>
      </c>
      <c r="V61" s="5" t="n">
        <v>0</v>
      </c>
      <c r="W61" s="5" t="s">
        <v>158</v>
      </c>
      <c r="X61" s="5" t="n">
        <v>4</v>
      </c>
      <c r="Y61" s="4" t="s">
        <v>161</v>
      </c>
    </row>
    <row r="62" customFormat="false" ht="23.85" hidden="false" customHeight="false" outlineLevel="0" collapsed="false">
      <c r="A62" s="5" t="n">
        <v>42558</v>
      </c>
      <c r="B62" s="5" t="s">
        <v>60</v>
      </c>
      <c r="C62" s="5" t="s">
        <v>398</v>
      </c>
      <c r="D62" s="4" t="s">
        <v>28</v>
      </c>
      <c r="E62" s="4" t="s">
        <v>153</v>
      </c>
      <c r="F62" s="4" t="s">
        <v>154</v>
      </c>
      <c r="G62" s="4" t="s">
        <v>218</v>
      </c>
      <c r="H62" s="4" t="s">
        <v>219</v>
      </c>
      <c r="I62" s="5" t="s">
        <v>157</v>
      </c>
      <c r="J62" s="4"/>
      <c r="K62" s="5" t="s">
        <v>158</v>
      </c>
      <c r="L62" s="4" t="s">
        <v>220</v>
      </c>
      <c r="M62" s="5" t="s">
        <v>157</v>
      </c>
      <c r="N62" s="4" t="s">
        <v>399</v>
      </c>
      <c r="O62" s="5" t="s">
        <v>157</v>
      </c>
      <c r="P62" s="4" t="s">
        <v>253</v>
      </c>
      <c r="Q62" s="5" t="s">
        <v>157</v>
      </c>
      <c r="R62" s="5" t="n">
        <v>0</v>
      </c>
      <c r="S62" s="5" t="s">
        <v>158</v>
      </c>
      <c r="T62" s="4"/>
      <c r="U62" s="5" t="s">
        <v>158</v>
      </c>
      <c r="V62" s="5" t="n">
        <v>0</v>
      </c>
      <c r="W62" s="5" t="s">
        <v>158</v>
      </c>
      <c r="X62" s="5" t="n">
        <v>4</v>
      </c>
      <c r="Y62" s="4" t="s">
        <v>161</v>
      </c>
    </row>
    <row r="63" customFormat="false" ht="23.85" hidden="false" customHeight="false" outlineLevel="0" collapsed="false">
      <c r="A63" s="5" t="n">
        <v>42559</v>
      </c>
      <c r="B63" s="5" t="s">
        <v>60</v>
      </c>
      <c r="C63" s="5" t="s">
        <v>400</v>
      </c>
      <c r="D63" s="4" t="s">
        <v>28</v>
      </c>
      <c r="E63" s="4" t="s">
        <v>153</v>
      </c>
      <c r="F63" s="4" t="s">
        <v>154</v>
      </c>
      <c r="G63" s="4" t="s">
        <v>218</v>
      </c>
      <c r="H63" s="4" t="s">
        <v>219</v>
      </c>
      <c r="I63" s="5" t="s">
        <v>157</v>
      </c>
      <c r="J63" s="4"/>
      <c r="K63" s="5" t="s">
        <v>158</v>
      </c>
      <c r="L63" s="4" t="s">
        <v>401</v>
      </c>
      <c r="M63" s="5" t="s">
        <v>157</v>
      </c>
      <c r="N63" s="4" t="s">
        <v>219</v>
      </c>
      <c r="O63" s="5" t="s">
        <v>157</v>
      </c>
      <c r="P63" s="4" t="s">
        <v>160</v>
      </c>
      <c r="Q63" s="5" t="s">
        <v>157</v>
      </c>
      <c r="R63" s="5" t="n">
        <v>0</v>
      </c>
      <c r="S63" s="5" t="s">
        <v>158</v>
      </c>
      <c r="T63" s="4"/>
      <c r="U63" s="5" t="s">
        <v>158</v>
      </c>
      <c r="V63" s="5" t="n">
        <v>0</v>
      </c>
      <c r="W63" s="5" t="s">
        <v>158</v>
      </c>
      <c r="X63" s="5" t="n">
        <v>4</v>
      </c>
      <c r="Y63" s="4" t="s">
        <v>161</v>
      </c>
    </row>
    <row r="64" customFormat="false" ht="23.85" hidden="false" customHeight="false" outlineLevel="0" collapsed="false">
      <c r="A64" s="5" t="n">
        <v>42560</v>
      </c>
      <c r="B64" s="5" t="s">
        <v>60</v>
      </c>
      <c r="C64" s="5" t="s">
        <v>402</v>
      </c>
      <c r="D64" s="4" t="s">
        <v>30</v>
      </c>
      <c r="E64" s="4" t="s">
        <v>153</v>
      </c>
      <c r="F64" s="4" t="s">
        <v>154</v>
      </c>
      <c r="G64" s="4" t="s">
        <v>403</v>
      </c>
      <c r="H64" s="4" t="s">
        <v>403</v>
      </c>
      <c r="I64" s="5" t="s">
        <v>157</v>
      </c>
      <c r="J64" s="4"/>
      <c r="K64" s="5" t="s">
        <v>158</v>
      </c>
      <c r="L64" s="4" t="s">
        <v>404</v>
      </c>
      <c r="M64" s="5" t="s">
        <v>157</v>
      </c>
      <c r="N64" s="4"/>
      <c r="O64" s="5" t="s">
        <v>158</v>
      </c>
      <c r="P64" s="4"/>
      <c r="Q64" s="5" t="s">
        <v>158</v>
      </c>
      <c r="R64" s="5" t="n">
        <v>0</v>
      </c>
      <c r="S64" s="5" t="s">
        <v>158</v>
      </c>
      <c r="T64" s="4" t="s">
        <v>289</v>
      </c>
      <c r="U64" s="5" t="s">
        <v>157</v>
      </c>
      <c r="V64" s="5" t="n">
        <v>0</v>
      </c>
      <c r="W64" s="5" t="s">
        <v>158</v>
      </c>
      <c r="X64" s="5" t="n">
        <v>5</v>
      </c>
      <c r="Y64" s="4" t="s">
        <v>405</v>
      </c>
    </row>
    <row r="65" customFormat="false" ht="23.85" hidden="false" customHeight="false" outlineLevel="0" collapsed="false">
      <c r="A65" s="5" t="n">
        <v>42561</v>
      </c>
      <c r="B65" s="5" t="s">
        <v>60</v>
      </c>
      <c r="C65" s="5" t="s">
        <v>402</v>
      </c>
      <c r="D65" s="4" t="s">
        <v>28</v>
      </c>
      <c r="E65" s="4" t="s">
        <v>153</v>
      </c>
      <c r="F65" s="4" t="s">
        <v>154</v>
      </c>
      <c r="G65" s="4" t="s">
        <v>406</v>
      </c>
      <c r="H65" s="4" t="s">
        <v>407</v>
      </c>
      <c r="I65" s="5" t="s">
        <v>157</v>
      </c>
      <c r="J65" s="4"/>
      <c r="K65" s="5" t="s">
        <v>158</v>
      </c>
      <c r="L65" s="4" t="s">
        <v>408</v>
      </c>
      <c r="M65" s="5" t="s">
        <v>157</v>
      </c>
      <c r="N65" s="4" t="s">
        <v>407</v>
      </c>
      <c r="O65" s="5" t="s">
        <v>157</v>
      </c>
      <c r="P65" s="4" t="s">
        <v>160</v>
      </c>
      <c r="Q65" s="5" t="s">
        <v>157</v>
      </c>
      <c r="R65" s="5" t="n">
        <v>0</v>
      </c>
      <c r="S65" s="5" t="s">
        <v>158</v>
      </c>
      <c r="T65" s="4"/>
      <c r="U65" s="5" t="s">
        <v>158</v>
      </c>
      <c r="V65" s="5" t="n">
        <v>0</v>
      </c>
      <c r="W65" s="5" t="s">
        <v>158</v>
      </c>
      <c r="X65" s="5" t="n">
        <v>4</v>
      </c>
      <c r="Y65" s="4" t="s">
        <v>161</v>
      </c>
    </row>
    <row r="66" customFormat="false" ht="23.85" hidden="false" customHeight="false" outlineLevel="0" collapsed="false">
      <c r="A66" s="5" t="n">
        <v>42562</v>
      </c>
      <c r="B66" s="5" t="s">
        <v>60</v>
      </c>
      <c r="C66" s="5" t="s">
        <v>409</v>
      </c>
      <c r="D66" s="4" t="s">
        <v>28</v>
      </c>
      <c r="E66" s="4" t="s">
        <v>153</v>
      </c>
      <c r="F66" s="4" t="s">
        <v>154</v>
      </c>
      <c r="G66" s="4" t="s">
        <v>410</v>
      </c>
      <c r="H66" s="4" t="s">
        <v>411</v>
      </c>
      <c r="I66" s="5" t="s">
        <v>157</v>
      </c>
      <c r="J66" s="4"/>
      <c r="K66" s="5" t="s">
        <v>158</v>
      </c>
      <c r="L66" s="4" t="s">
        <v>412</v>
      </c>
      <c r="M66" s="5" t="s">
        <v>157</v>
      </c>
      <c r="N66" s="4" t="s">
        <v>413</v>
      </c>
      <c r="O66" s="5" t="s">
        <v>157</v>
      </c>
      <c r="P66" s="4" t="s">
        <v>160</v>
      </c>
      <c r="Q66" s="5" t="s">
        <v>157</v>
      </c>
      <c r="R66" s="5" t="n">
        <v>0</v>
      </c>
      <c r="S66" s="5" t="s">
        <v>158</v>
      </c>
      <c r="T66" s="4"/>
      <c r="U66" s="5" t="s">
        <v>158</v>
      </c>
      <c r="V66" s="5" t="n">
        <v>0</v>
      </c>
      <c r="W66" s="5" t="s">
        <v>158</v>
      </c>
      <c r="X66" s="5" t="n">
        <v>4</v>
      </c>
      <c r="Y66" s="4" t="s">
        <v>161</v>
      </c>
    </row>
    <row r="67" customFormat="false" ht="23.85" hidden="false" customHeight="false" outlineLevel="0" collapsed="false">
      <c r="A67" s="5" t="n">
        <v>42563</v>
      </c>
      <c r="B67" s="5" t="s">
        <v>60</v>
      </c>
      <c r="C67" s="5" t="s">
        <v>414</v>
      </c>
      <c r="D67" s="4" t="s">
        <v>28</v>
      </c>
      <c r="E67" s="4" t="s">
        <v>153</v>
      </c>
      <c r="F67" s="4" t="s">
        <v>154</v>
      </c>
      <c r="G67" s="4" t="s">
        <v>415</v>
      </c>
      <c r="H67" s="4" t="s">
        <v>416</v>
      </c>
      <c r="I67" s="5" t="s">
        <v>157</v>
      </c>
      <c r="J67" s="4"/>
      <c r="K67" s="5" t="s">
        <v>158</v>
      </c>
      <c r="L67" s="4" t="s">
        <v>417</v>
      </c>
      <c r="M67" s="5" t="s">
        <v>157</v>
      </c>
      <c r="N67" s="4" t="s">
        <v>416</v>
      </c>
      <c r="O67" s="5" t="s">
        <v>157</v>
      </c>
      <c r="P67" s="4" t="s">
        <v>160</v>
      </c>
      <c r="Q67" s="5" t="s">
        <v>157</v>
      </c>
      <c r="R67" s="5" t="n">
        <v>0</v>
      </c>
      <c r="S67" s="5" t="s">
        <v>158</v>
      </c>
      <c r="T67" s="4"/>
      <c r="U67" s="5" t="s">
        <v>158</v>
      </c>
      <c r="V67" s="5" t="n">
        <v>0</v>
      </c>
      <c r="W67" s="5" t="s">
        <v>158</v>
      </c>
      <c r="X67" s="5" t="n">
        <v>4</v>
      </c>
      <c r="Y67" s="4" t="s">
        <v>161</v>
      </c>
    </row>
    <row r="68" customFormat="false" ht="23.85" hidden="false" customHeight="false" outlineLevel="0" collapsed="false">
      <c r="A68" s="5" t="n">
        <v>42564</v>
      </c>
      <c r="B68" s="5" t="s">
        <v>60</v>
      </c>
      <c r="C68" s="5" t="s">
        <v>418</v>
      </c>
      <c r="D68" s="4" t="s">
        <v>28</v>
      </c>
      <c r="E68" s="4" t="s">
        <v>153</v>
      </c>
      <c r="F68" s="4" t="s">
        <v>154</v>
      </c>
      <c r="G68" s="4" t="s">
        <v>242</v>
      </c>
      <c r="H68" s="4" t="s">
        <v>181</v>
      </c>
      <c r="I68" s="5" t="s">
        <v>157</v>
      </c>
      <c r="J68" s="4"/>
      <c r="K68" s="5" t="s">
        <v>158</v>
      </c>
      <c r="L68" s="4"/>
      <c r="M68" s="5" t="s">
        <v>158</v>
      </c>
      <c r="N68" s="4"/>
      <c r="O68" s="5" t="s">
        <v>158</v>
      </c>
      <c r="P68" s="4" t="s">
        <v>182</v>
      </c>
      <c r="Q68" s="5" t="s">
        <v>157</v>
      </c>
      <c r="R68" s="5" t="n">
        <v>0</v>
      </c>
      <c r="S68" s="5" t="s">
        <v>158</v>
      </c>
      <c r="T68" s="4"/>
      <c r="U68" s="5" t="s">
        <v>158</v>
      </c>
      <c r="V68" s="5" t="n">
        <v>0</v>
      </c>
      <c r="W68" s="5" t="s">
        <v>158</v>
      </c>
      <c r="X68" s="5" t="n">
        <v>6</v>
      </c>
      <c r="Y68" s="4" t="s">
        <v>183</v>
      </c>
    </row>
    <row r="69" customFormat="false" ht="23.85" hidden="false" customHeight="false" outlineLevel="0" collapsed="false">
      <c r="A69" s="5" t="n">
        <v>42565</v>
      </c>
      <c r="B69" s="5" t="s">
        <v>60</v>
      </c>
      <c r="C69" s="5" t="s">
        <v>419</v>
      </c>
      <c r="D69" s="4" t="s">
        <v>18</v>
      </c>
      <c r="E69" s="4" t="s">
        <v>194</v>
      </c>
      <c r="F69" s="4" t="s">
        <v>154</v>
      </c>
      <c r="G69" s="4" t="s">
        <v>420</v>
      </c>
      <c r="H69" s="4" t="s">
        <v>421</v>
      </c>
      <c r="I69" s="5" t="s">
        <v>157</v>
      </c>
      <c r="J69" s="4"/>
      <c r="K69" s="5" t="s">
        <v>158</v>
      </c>
      <c r="L69" s="4" t="s">
        <v>422</v>
      </c>
      <c r="M69" s="5" t="s">
        <v>157</v>
      </c>
      <c r="N69" s="4"/>
      <c r="O69" s="5" t="s">
        <v>158</v>
      </c>
      <c r="P69" s="4" t="s">
        <v>277</v>
      </c>
      <c r="Q69" s="5" t="s">
        <v>157</v>
      </c>
      <c r="R69" s="5" t="n">
        <v>0</v>
      </c>
      <c r="S69" s="5" t="s">
        <v>158</v>
      </c>
      <c r="T69" s="4"/>
      <c r="U69" s="5" t="s">
        <v>158</v>
      </c>
      <c r="V69" s="5" t="n">
        <v>15</v>
      </c>
      <c r="W69" s="5" t="s">
        <v>157</v>
      </c>
      <c r="X69" s="5" t="n">
        <v>4</v>
      </c>
      <c r="Y69" s="4" t="s">
        <v>375</v>
      </c>
    </row>
    <row r="70" customFormat="false" ht="23.85" hidden="false" customHeight="false" outlineLevel="0" collapsed="false">
      <c r="A70" s="5" t="n">
        <v>42566</v>
      </c>
      <c r="B70" s="5" t="s">
        <v>60</v>
      </c>
      <c r="C70" s="5" t="s">
        <v>423</v>
      </c>
      <c r="D70" s="4" t="s">
        <v>30</v>
      </c>
      <c r="E70" s="4" t="s">
        <v>153</v>
      </c>
      <c r="F70" s="4" t="s">
        <v>154</v>
      </c>
      <c r="G70" s="4" t="s">
        <v>424</v>
      </c>
      <c r="H70" s="4" t="s">
        <v>425</v>
      </c>
      <c r="I70" s="5" t="s">
        <v>157</v>
      </c>
      <c r="J70" s="4"/>
      <c r="K70" s="5" t="s">
        <v>158</v>
      </c>
      <c r="L70" s="4"/>
      <c r="M70" s="5" t="s">
        <v>158</v>
      </c>
      <c r="N70" s="4"/>
      <c r="O70" s="5" t="s">
        <v>158</v>
      </c>
      <c r="P70" s="4"/>
      <c r="Q70" s="5" t="s">
        <v>158</v>
      </c>
      <c r="R70" s="5" t="n">
        <v>0</v>
      </c>
      <c r="S70" s="5" t="s">
        <v>158</v>
      </c>
      <c r="T70" s="4"/>
      <c r="U70" s="5" t="s">
        <v>158</v>
      </c>
      <c r="V70" s="5" t="n">
        <v>0</v>
      </c>
      <c r="W70" s="5" t="s">
        <v>158</v>
      </c>
      <c r="X70" s="5" t="n">
        <v>7</v>
      </c>
      <c r="Y70" s="4" t="s">
        <v>320</v>
      </c>
    </row>
    <row r="71" customFormat="false" ht="23.85" hidden="false" customHeight="false" outlineLevel="0" collapsed="false">
      <c r="A71" s="5" t="n">
        <v>42567</v>
      </c>
      <c r="B71" s="5" t="s">
        <v>60</v>
      </c>
      <c r="C71" s="5" t="s">
        <v>426</v>
      </c>
      <c r="D71" s="4" t="s">
        <v>18</v>
      </c>
      <c r="E71" s="4" t="s">
        <v>194</v>
      </c>
      <c r="F71" s="4" t="s">
        <v>154</v>
      </c>
      <c r="G71" s="4" t="s">
        <v>427</v>
      </c>
      <c r="H71" s="4"/>
      <c r="I71" s="5" t="s">
        <v>158</v>
      </c>
      <c r="J71" s="4"/>
      <c r="K71" s="5" t="s">
        <v>158</v>
      </c>
      <c r="L71" s="4" t="s">
        <v>422</v>
      </c>
      <c r="M71" s="5" t="s">
        <v>157</v>
      </c>
      <c r="N71" s="4"/>
      <c r="O71" s="5" t="s">
        <v>158</v>
      </c>
      <c r="P71" s="4" t="s">
        <v>247</v>
      </c>
      <c r="Q71" s="5" t="s">
        <v>157</v>
      </c>
      <c r="R71" s="5" t="n">
        <v>0</v>
      </c>
      <c r="S71" s="5" t="s">
        <v>158</v>
      </c>
      <c r="T71" s="4"/>
      <c r="U71" s="5" t="s">
        <v>158</v>
      </c>
      <c r="V71" s="5" t="n">
        <v>0</v>
      </c>
      <c r="W71" s="5" t="s">
        <v>158</v>
      </c>
      <c r="X71" s="5" t="n">
        <v>6</v>
      </c>
      <c r="Y71" s="4" t="s">
        <v>428</v>
      </c>
    </row>
    <row r="72" customFormat="false" ht="23.85" hidden="false" customHeight="false" outlineLevel="0" collapsed="false">
      <c r="A72" s="5" t="n">
        <v>42568</v>
      </c>
      <c r="B72" s="5" t="s">
        <v>60</v>
      </c>
      <c r="C72" s="5" t="s">
        <v>429</v>
      </c>
      <c r="D72" s="4" t="s">
        <v>18</v>
      </c>
      <c r="E72" s="4" t="s">
        <v>194</v>
      </c>
      <c r="F72" s="4" t="s">
        <v>154</v>
      </c>
      <c r="G72" s="4" t="s">
        <v>430</v>
      </c>
      <c r="H72" s="4" t="s">
        <v>430</v>
      </c>
      <c r="I72" s="5" t="s">
        <v>157</v>
      </c>
      <c r="J72" s="4"/>
      <c r="K72" s="5" t="s">
        <v>158</v>
      </c>
      <c r="L72" s="4"/>
      <c r="M72" s="5" t="s">
        <v>158</v>
      </c>
      <c r="N72" s="4" t="s">
        <v>276</v>
      </c>
      <c r="O72" s="5" t="s">
        <v>157</v>
      </c>
      <c r="P72" s="4" t="s">
        <v>253</v>
      </c>
      <c r="Q72" s="5" t="s">
        <v>157</v>
      </c>
      <c r="R72" s="5" t="n">
        <v>0</v>
      </c>
      <c r="S72" s="5" t="s">
        <v>158</v>
      </c>
      <c r="T72" s="4"/>
      <c r="U72" s="5" t="s">
        <v>158</v>
      </c>
      <c r="V72" s="5" t="n">
        <v>0</v>
      </c>
      <c r="W72" s="5" t="s">
        <v>158</v>
      </c>
      <c r="X72" s="5" t="n">
        <v>5</v>
      </c>
      <c r="Y72" s="4" t="s">
        <v>254</v>
      </c>
    </row>
    <row r="73" customFormat="false" ht="23.85" hidden="false" customHeight="false" outlineLevel="0" collapsed="false">
      <c r="A73" s="5" t="n">
        <v>42569</v>
      </c>
      <c r="B73" s="5" t="s">
        <v>62</v>
      </c>
      <c r="C73" s="5" t="s">
        <v>431</v>
      </c>
      <c r="D73" s="4" t="s">
        <v>22</v>
      </c>
      <c r="E73" s="4" t="s">
        <v>185</v>
      </c>
      <c r="F73" s="4" t="s">
        <v>244</v>
      </c>
      <c r="G73" s="4" t="s">
        <v>432</v>
      </c>
      <c r="H73" s="4" t="s">
        <v>433</v>
      </c>
      <c r="I73" s="5" t="s">
        <v>157</v>
      </c>
      <c r="J73" s="4"/>
      <c r="K73" s="5" t="s">
        <v>158</v>
      </c>
      <c r="L73" s="4"/>
      <c r="M73" s="5" t="s">
        <v>158</v>
      </c>
      <c r="N73" s="4" t="s">
        <v>434</v>
      </c>
      <c r="O73" s="5" t="s">
        <v>157</v>
      </c>
      <c r="P73" s="4" t="s">
        <v>253</v>
      </c>
      <c r="Q73" s="5" t="s">
        <v>157</v>
      </c>
      <c r="R73" s="5" t="n">
        <v>0</v>
      </c>
      <c r="S73" s="5" t="s">
        <v>158</v>
      </c>
      <c r="T73" s="4"/>
      <c r="U73" s="5" t="s">
        <v>158</v>
      </c>
      <c r="V73" s="5" t="n">
        <v>10</v>
      </c>
      <c r="W73" s="5" t="s">
        <v>157</v>
      </c>
      <c r="X73" s="5" t="n">
        <v>4</v>
      </c>
      <c r="Y73" s="4" t="s">
        <v>435</v>
      </c>
    </row>
    <row r="74" customFormat="false" ht="23.85" hidden="false" customHeight="false" outlineLevel="0" collapsed="false">
      <c r="A74" s="5" t="n">
        <v>42570</v>
      </c>
      <c r="B74" s="5" t="s">
        <v>62</v>
      </c>
      <c r="C74" s="5" t="s">
        <v>436</v>
      </c>
      <c r="D74" s="4" t="s">
        <v>22</v>
      </c>
      <c r="E74" s="4" t="s">
        <v>185</v>
      </c>
      <c r="F74" s="4" t="s">
        <v>244</v>
      </c>
      <c r="G74" s="4" t="s">
        <v>437</v>
      </c>
      <c r="H74" s="4" t="s">
        <v>438</v>
      </c>
      <c r="I74" s="5" t="s">
        <v>157</v>
      </c>
      <c r="J74" s="4"/>
      <c r="K74" s="5" t="s">
        <v>158</v>
      </c>
      <c r="L74" s="4" t="s">
        <v>439</v>
      </c>
      <c r="M74" s="5" t="s">
        <v>157</v>
      </c>
      <c r="N74" s="4"/>
      <c r="O74" s="5" t="s">
        <v>158</v>
      </c>
      <c r="P74" s="4" t="s">
        <v>247</v>
      </c>
      <c r="Q74" s="5" t="s">
        <v>157</v>
      </c>
      <c r="R74" s="5" t="n">
        <v>0</v>
      </c>
      <c r="S74" s="5" t="s">
        <v>158</v>
      </c>
      <c r="T74" s="4"/>
      <c r="U74" s="5" t="s">
        <v>158</v>
      </c>
      <c r="V74" s="5" t="n">
        <v>0</v>
      </c>
      <c r="W74" s="5" t="s">
        <v>158</v>
      </c>
      <c r="X74" s="5" t="n">
        <v>5</v>
      </c>
      <c r="Y74" s="4" t="s">
        <v>248</v>
      </c>
    </row>
    <row r="75" customFormat="false" ht="23.85" hidden="false" customHeight="false" outlineLevel="0" collapsed="false">
      <c r="A75" s="5" t="n">
        <v>42571</v>
      </c>
      <c r="B75" s="5" t="s">
        <v>62</v>
      </c>
      <c r="C75" s="5" t="s">
        <v>440</v>
      </c>
      <c r="D75" s="4" t="s">
        <v>22</v>
      </c>
      <c r="E75" s="4" t="s">
        <v>185</v>
      </c>
      <c r="F75" s="4" t="s">
        <v>244</v>
      </c>
      <c r="G75" s="4" t="s">
        <v>441</v>
      </c>
      <c r="H75" s="4" t="s">
        <v>442</v>
      </c>
      <c r="I75" s="5" t="s">
        <v>157</v>
      </c>
      <c r="J75" s="4"/>
      <c r="K75" s="5" t="s">
        <v>158</v>
      </c>
      <c r="L75" s="4" t="s">
        <v>443</v>
      </c>
      <c r="M75" s="5" t="s">
        <v>157</v>
      </c>
      <c r="N75" s="4"/>
      <c r="O75" s="5" t="s">
        <v>158</v>
      </c>
      <c r="P75" s="4" t="s">
        <v>247</v>
      </c>
      <c r="Q75" s="5" t="s">
        <v>157</v>
      </c>
      <c r="R75" s="5" t="n">
        <v>0</v>
      </c>
      <c r="S75" s="5" t="s">
        <v>158</v>
      </c>
      <c r="T75" s="4"/>
      <c r="U75" s="5" t="s">
        <v>158</v>
      </c>
      <c r="V75" s="5" t="n">
        <v>4</v>
      </c>
      <c r="W75" s="5" t="s">
        <v>157</v>
      </c>
      <c r="X75" s="5" t="n">
        <v>4</v>
      </c>
      <c r="Y75" s="4" t="s">
        <v>375</v>
      </c>
    </row>
    <row r="76" customFormat="false" ht="23.85" hidden="false" customHeight="false" outlineLevel="0" collapsed="false">
      <c r="A76" s="5" t="n">
        <v>42572</v>
      </c>
      <c r="B76" s="5" t="s">
        <v>62</v>
      </c>
      <c r="C76" s="5" t="s">
        <v>444</v>
      </c>
      <c r="D76" s="4" t="s">
        <v>22</v>
      </c>
      <c r="E76" s="4" t="s">
        <v>185</v>
      </c>
      <c r="F76" s="4" t="s">
        <v>244</v>
      </c>
      <c r="G76" s="4" t="s">
        <v>445</v>
      </c>
      <c r="H76" s="4" t="s">
        <v>446</v>
      </c>
      <c r="I76" s="5" t="s">
        <v>157</v>
      </c>
      <c r="J76" s="4"/>
      <c r="K76" s="5" t="s">
        <v>158</v>
      </c>
      <c r="L76" s="4"/>
      <c r="M76" s="5" t="s">
        <v>158</v>
      </c>
      <c r="N76" s="4" t="s">
        <v>447</v>
      </c>
      <c r="O76" s="5" t="s">
        <v>157</v>
      </c>
      <c r="P76" s="4" t="s">
        <v>253</v>
      </c>
      <c r="Q76" s="5" t="s">
        <v>157</v>
      </c>
      <c r="R76" s="5" t="n">
        <v>0</v>
      </c>
      <c r="S76" s="5" t="s">
        <v>158</v>
      </c>
      <c r="T76" s="4"/>
      <c r="U76" s="5" t="s">
        <v>158</v>
      </c>
      <c r="V76" s="5" t="n">
        <v>0</v>
      </c>
      <c r="W76" s="5" t="s">
        <v>158</v>
      </c>
      <c r="X76" s="5" t="n">
        <v>5</v>
      </c>
      <c r="Y76" s="4" t="s">
        <v>254</v>
      </c>
    </row>
    <row r="77" customFormat="false" ht="23.85" hidden="false" customHeight="false" outlineLevel="0" collapsed="false">
      <c r="A77" s="5" t="n">
        <v>42576</v>
      </c>
      <c r="B77" s="5" t="s">
        <v>63</v>
      </c>
      <c r="C77" s="5" t="s">
        <v>448</v>
      </c>
      <c r="D77" s="4" t="s">
        <v>30</v>
      </c>
      <c r="E77" s="4" t="s">
        <v>153</v>
      </c>
      <c r="F77" s="4" t="s">
        <v>154</v>
      </c>
      <c r="G77" s="4" t="s">
        <v>449</v>
      </c>
      <c r="H77" s="4" t="s">
        <v>449</v>
      </c>
      <c r="I77" s="5" t="s">
        <v>157</v>
      </c>
      <c r="J77" s="4" t="s">
        <v>450</v>
      </c>
      <c r="K77" s="5" t="s">
        <v>157</v>
      </c>
      <c r="L77" s="4" t="s">
        <v>412</v>
      </c>
      <c r="M77" s="5" t="s">
        <v>157</v>
      </c>
      <c r="N77" s="4" t="s">
        <v>451</v>
      </c>
      <c r="O77" s="5" t="s">
        <v>157</v>
      </c>
      <c r="P77" s="4" t="s">
        <v>277</v>
      </c>
      <c r="Q77" s="5" t="s">
        <v>157</v>
      </c>
      <c r="R77" s="5" t="n">
        <v>0</v>
      </c>
      <c r="S77" s="5" t="s">
        <v>158</v>
      </c>
      <c r="T77" s="4" t="s">
        <v>160</v>
      </c>
      <c r="U77" s="5" t="s">
        <v>157</v>
      </c>
      <c r="V77" s="5" t="n">
        <v>0</v>
      </c>
      <c r="W77" s="5" t="s">
        <v>158</v>
      </c>
      <c r="X77" s="5" t="n">
        <v>2</v>
      </c>
      <c r="Y77" s="4" t="s">
        <v>192</v>
      </c>
    </row>
    <row r="78" customFormat="false" ht="23.85" hidden="false" customHeight="false" outlineLevel="0" collapsed="false">
      <c r="A78" s="5" t="n">
        <v>42577</v>
      </c>
      <c r="B78" s="5" t="s">
        <v>63</v>
      </c>
      <c r="C78" s="5" t="s">
        <v>452</v>
      </c>
      <c r="D78" s="4" t="s">
        <v>30</v>
      </c>
      <c r="E78" s="4" t="s">
        <v>153</v>
      </c>
      <c r="F78" s="4" t="s">
        <v>154</v>
      </c>
      <c r="G78" s="4" t="s">
        <v>453</v>
      </c>
      <c r="H78" s="4" t="s">
        <v>453</v>
      </c>
      <c r="I78" s="5" t="s">
        <v>157</v>
      </c>
      <c r="J78" s="4"/>
      <c r="K78" s="5" t="s">
        <v>158</v>
      </c>
      <c r="L78" s="4" t="s">
        <v>404</v>
      </c>
      <c r="M78" s="5" t="s">
        <v>157</v>
      </c>
      <c r="N78" s="4" t="s">
        <v>454</v>
      </c>
      <c r="O78" s="5" t="s">
        <v>157</v>
      </c>
      <c r="P78" s="4" t="s">
        <v>277</v>
      </c>
      <c r="Q78" s="5" t="s">
        <v>157</v>
      </c>
      <c r="R78" s="5" t="n">
        <v>0</v>
      </c>
      <c r="S78" s="5" t="s">
        <v>158</v>
      </c>
      <c r="T78" s="4" t="s">
        <v>289</v>
      </c>
      <c r="U78" s="5" t="s">
        <v>157</v>
      </c>
      <c r="V78" s="5" t="n">
        <v>26</v>
      </c>
      <c r="W78" s="5" t="s">
        <v>157</v>
      </c>
      <c r="X78" s="5" t="n">
        <v>2</v>
      </c>
      <c r="Y78" s="4" t="s">
        <v>290</v>
      </c>
    </row>
    <row r="79" customFormat="false" ht="23.85" hidden="false" customHeight="false" outlineLevel="0" collapsed="false">
      <c r="A79" s="5" t="n">
        <v>42578</v>
      </c>
      <c r="B79" s="5" t="s">
        <v>63</v>
      </c>
      <c r="C79" s="5" t="s">
        <v>455</v>
      </c>
      <c r="D79" s="4" t="s">
        <v>30</v>
      </c>
      <c r="E79" s="4" t="s">
        <v>153</v>
      </c>
      <c r="F79" s="4" t="s">
        <v>154</v>
      </c>
      <c r="G79" s="4" t="s">
        <v>456</v>
      </c>
      <c r="H79" s="4" t="s">
        <v>456</v>
      </c>
      <c r="I79" s="5" t="s">
        <v>157</v>
      </c>
      <c r="J79" s="4"/>
      <c r="K79" s="5" t="s">
        <v>158</v>
      </c>
      <c r="L79" s="4" t="s">
        <v>404</v>
      </c>
      <c r="M79" s="5" t="s">
        <v>157</v>
      </c>
      <c r="N79" s="4" t="s">
        <v>457</v>
      </c>
      <c r="O79" s="5" t="s">
        <v>157</v>
      </c>
      <c r="P79" s="4" t="s">
        <v>277</v>
      </c>
      <c r="Q79" s="5" t="s">
        <v>157</v>
      </c>
      <c r="R79" s="5" t="n">
        <v>0</v>
      </c>
      <c r="S79" s="5" t="s">
        <v>158</v>
      </c>
      <c r="T79" s="4" t="s">
        <v>289</v>
      </c>
      <c r="U79" s="5" t="s">
        <v>157</v>
      </c>
      <c r="V79" s="5" t="n">
        <v>0</v>
      </c>
      <c r="W79" s="5" t="s">
        <v>158</v>
      </c>
      <c r="X79" s="5" t="n">
        <v>3</v>
      </c>
      <c r="Y79" s="4" t="s">
        <v>209</v>
      </c>
    </row>
    <row r="80" customFormat="false" ht="23.85" hidden="false" customHeight="false" outlineLevel="0" collapsed="false">
      <c r="A80" s="5" t="n">
        <v>42579</v>
      </c>
      <c r="B80" s="5" t="s">
        <v>63</v>
      </c>
      <c r="C80" s="5" t="s">
        <v>458</v>
      </c>
      <c r="D80" s="4" t="s">
        <v>22</v>
      </c>
      <c r="E80" s="4" t="s">
        <v>185</v>
      </c>
      <c r="F80" s="4" t="s">
        <v>244</v>
      </c>
      <c r="G80" s="4" t="s">
        <v>459</v>
      </c>
      <c r="H80" s="4" t="s">
        <v>460</v>
      </c>
      <c r="I80" s="5" t="s">
        <v>157</v>
      </c>
      <c r="J80" s="4"/>
      <c r="K80" s="5" t="s">
        <v>158</v>
      </c>
      <c r="L80" s="4" t="s">
        <v>461</v>
      </c>
      <c r="M80" s="5" t="s">
        <v>157</v>
      </c>
      <c r="N80" s="4"/>
      <c r="O80" s="5" t="s">
        <v>158</v>
      </c>
      <c r="P80" s="4" t="s">
        <v>247</v>
      </c>
      <c r="Q80" s="5" t="s">
        <v>157</v>
      </c>
      <c r="R80" s="5" t="n">
        <v>0</v>
      </c>
      <c r="S80" s="5" t="s">
        <v>158</v>
      </c>
      <c r="T80" s="4"/>
      <c r="U80" s="5" t="s">
        <v>158</v>
      </c>
      <c r="V80" s="5" t="n">
        <v>26</v>
      </c>
      <c r="W80" s="5" t="s">
        <v>157</v>
      </c>
      <c r="X80" s="5" t="n">
        <v>4</v>
      </c>
      <c r="Y80" s="4" t="s">
        <v>375</v>
      </c>
    </row>
    <row r="81" customFormat="false" ht="23.85" hidden="false" customHeight="false" outlineLevel="0" collapsed="false">
      <c r="A81" s="5" t="n">
        <v>42580</v>
      </c>
      <c r="B81" s="5" t="s">
        <v>63</v>
      </c>
      <c r="C81" s="5" t="s">
        <v>462</v>
      </c>
      <c r="D81" s="4" t="s">
        <v>22</v>
      </c>
      <c r="E81" s="4" t="s">
        <v>185</v>
      </c>
      <c r="F81" s="4" t="s">
        <v>244</v>
      </c>
      <c r="G81" s="4" t="s">
        <v>463</v>
      </c>
      <c r="H81" s="4" t="s">
        <v>464</v>
      </c>
      <c r="I81" s="5" t="s">
        <v>157</v>
      </c>
      <c r="J81" s="4"/>
      <c r="K81" s="5" t="s">
        <v>158</v>
      </c>
      <c r="L81" s="4" t="s">
        <v>464</v>
      </c>
      <c r="M81" s="5" t="s">
        <v>157</v>
      </c>
      <c r="N81" s="4"/>
      <c r="O81" s="5" t="s">
        <v>158</v>
      </c>
      <c r="P81" s="4" t="s">
        <v>247</v>
      </c>
      <c r="Q81" s="5" t="s">
        <v>157</v>
      </c>
      <c r="R81" s="5" t="n">
        <v>0</v>
      </c>
      <c r="S81" s="5" t="s">
        <v>158</v>
      </c>
      <c r="T81" s="4"/>
      <c r="U81" s="5" t="s">
        <v>158</v>
      </c>
      <c r="V81" s="5" t="n">
        <v>0</v>
      </c>
      <c r="W81" s="5" t="s">
        <v>158</v>
      </c>
      <c r="X81" s="5" t="n">
        <v>5</v>
      </c>
      <c r="Y81" s="4" t="s">
        <v>248</v>
      </c>
    </row>
    <row r="82" customFormat="false" ht="23.85" hidden="false" customHeight="false" outlineLevel="0" collapsed="false">
      <c r="A82" s="5" t="n">
        <v>42584</v>
      </c>
      <c r="B82" s="5" t="s">
        <v>63</v>
      </c>
      <c r="C82" s="5" t="s">
        <v>348</v>
      </c>
      <c r="D82" s="4" t="s">
        <v>28</v>
      </c>
      <c r="E82" s="4" t="s">
        <v>153</v>
      </c>
      <c r="F82" s="4" t="s">
        <v>154</v>
      </c>
      <c r="G82" s="4" t="s">
        <v>465</v>
      </c>
      <c r="H82" s="4" t="s">
        <v>466</v>
      </c>
      <c r="I82" s="5" t="s">
        <v>157</v>
      </c>
      <c r="J82" s="4"/>
      <c r="K82" s="5" t="s">
        <v>158</v>
      </c>
      <c r="L82" s="4" t="s">
        <v>467</v>
      </c>
      <c r="M82" s="5" t="s">
        <v>157</v>
      </c>
      <c r="N82" s="4" t="s">
        <v>466</v>
      </c>
      <c r="O82" s="5" t="s">
        <v>157</v>
      </c>
      <c r="P82" s="4" t="s">
        <v>160</v>
      </c>
      <c r="Q82" s="5" t="s">
        <v>157</v>
      </c>
      <c r="R82" s="5" t="n">
        <v>0</v>
      </c>
      <c r="S82" s="5" t="s">
        <v>158</v>
      </c>
      <c r="T82" s="4"/>
      <c r="U82" s="5" t="s">
        <v>158</v>
      </c>
      <c r="V82" s="5" t="n">
        <v>0</v>
      </c>
      <c r="W82" s="5" t="s">
        <v>158</v>
      </c>
      <c r="X82" s="5" t="n">
        <v>4</v>
      </c>
      <c r="Y82" s="4" t="s">
        <v>161</v>
      </c>
    </row>
    <row r="83" customFormat="false" ht="23.85" hidden="false" customHeight="false" outlineLevel="0" collapsed="false">
      <c r="A83" s="5" t="n">
        <v>42585</v>
      </c>
      <c r="B83" s="5" t="s">
        <v>63</v>
      </c>
      <c r="C83" s="5" t="s">
        <v>162</v>
      </c>
      <c r="D83" s="4" t="s">
        <v>28</v>
      </c>
      <c r="E83" s="4" t="s">
        <v>153</v>
      </c>
      <c r="F83" s="4" t="s">
        <v>154</v>
      </c>
      <c r="G83" s="4" t="s">
        <v>341</v>
      </c>
      <c r="H83" s="4" t="s">
        <v>342</v>
      </c>
      <c r="I83" s="5" t="s">
        <v>157</v>
      </c>
      <c r="J83" s="4"/>
      <c r="K83" s="5" t="s">
        <v>158</v>
      </c>
      <c r="L83" s="4" t="s">
        <v>343</v>
      </c>
      <c r="M83" s="5" t="s">
        <v>157</v>
      </c>
      <c r="N83" s="4" t="s">
        <v>342</v>
      </c>
      <c r="O83" s="5" t="s">
        <v>157</v>
      </c>
      <c r="P83" s="4" t="s">
        <v>160</v>
      </c>
      <c r="Q83" s="5" t="s">
        <v>157</v>
      </c>
      <c r="R83" s="5" t="n">
        <v>0</v>
      </c>
      <c r="S83" s="5" t="s">
        <v>158</v>
      </c>
      <c r="T83" s="4"/>
      <c r="U83" s="5" t="s">
        <v>158</v>
      </c>
      <c r="V83" s="5" t="n">
        <v>0</v>
      </c>
      <c r="W83" s="5" t="s">
        <v>158</v>
      </c>
      <c r="X83" s="5" t="n">
        <v>4</v>
      </c>
      <c r="Y83" s="4" t="s">
        <v>161</v>
      </c>
    </row>
    <row r="84" customFormat="false" ht="23.85" hidden="false" customHeight="false" outlineLevel="0" collapsed="false">
      <c r="A84" s="5" t="n">
        <v>42586</v>
      </c>
      <c r="B84" s="5" t="s">
        <v>63</v>
      </c>
      <c r="C84" s="5" t="s">
        <v>468</v>
      </c>
      <c r="D84" s="4" t="s">
        <v>28</v>
      </c>
      <c r="E84" s="4" t="s">
        <v>153</v>
      </c>
      <c r="F84" s="4" t="s">
        <v>154</v>
      </c>
      <c r="G84" s="4" t="s">
        <v>163</v>
      </c>
      <c r="H84" s="4" t="s">
        <v>164</v>
      </c>
      <c r="I84" s="5" t="s">
        <v>157</v>
      </c>
      <c r="J84" s="4"/>
      <c r="K84" s="5" t="s">
        <v>158</v>
      </c>
      <c r="L84" s="4" t="s">
        <v>408</v>
      </c>
      <c r="M84" s="5" t="s">
        <v>157</v>
      </c>
      <c r="N84" s="4" t="s">
        <v>164</v>
      </c>
      <c r="O84" s="5" t="s">
        <v>157</v>
      </c>
      <c r="P84" s="4" t="s">
        <v>160</v>
      </c>
      <c r="Q84" s="5" t="s">
        <v>157</v>
      </c>
      <c r="R84" s="5" t="n">
        <v>0</v>
      </c>
      <c r="S84" s="5" t="s">
        <v>158</v>
      </c>
      <c r="T84" s="4"/>
      <c r="U84" s="5" t="s">
        <v>158</v>
      </c>
      <c r="V84" s="5" t="n">
        <v>0</v>
      </c>
      <c r="W84" s="5" t="s">
        <v>158</v>
      </c>
      <c r="X84" s="5" t="n">
        <v>4</v>
      </c>
      <c r="Y84" s="4" t="s">
        <v>161</v>
      </c>
    </row>
    <row r="85" customFormat="false" ht="23.85" hidden="false" customHeight="false" outlineLevel="0" collapsed="false">
      <c r="A85" s="5" t="n">
        <v>42587</v>
      </c>
      <c r="B85" s="5" t="s">
        <v>63</v>
      </c>
      <c r="C85" s="5" t="s">
        <v>360</v>
      </c>
      <c r="D85" s="4" t="s">
        <v>28</v>
      </c>
      <c r="E85" s="4" t="s">
        <v>153</v>
      </c>
      <c r="F85" s="4" t="s">
        <v>154</v>
      </c>
      <c r="G85" s="4" t="s">
        <v>469</v>
      </c>
      <c r="H85" s="4" t="s">
        <v>470</v>
      </c>
      <c r="I85" s="5" t="s">
        <v>157</v>
      </c>
      <c r="J85" s="4"/>
      <c r="K85" s="5" t="s">
        <v>158</v>
      </c>
      <c r="L85" s="4" t="s">
        <v>471</v>
      </c>
      <c r="M85" s="5" t="s">
        <v>157</v>
      </c>
      <c r="N85" s="4" t="s">
        <v>470</v>
      </c>
      <c r="O85" s="5" t="s">
        <v>157</v>
      </c>
      <c r="P85" s="4" t="s">
        <v>160</v>
      </c>
      <c r="Q85" s="5" t="s">
        <v>157</v>
      </c>
      <c r="R85" s="5" t="n">
        <v>0</v>
      </c>
      <c r="S85" s="5" t="s">
        <v>158</v>
      </c>
      <c r="T85" s="4"/>
      <c r="U85" s="5" t="s">
        <v>158</v>
      </c>
      <c r="V85" s="5" t="n">
        <v>0</v>
      </c>
      <c r="W85" s="5" t="s">
        <v>158</v>
      </c>
      <c r="X85" s="5" t="n">
        <v>4</v>
      </c>
      <c r="Y85" s="4" t="s">
        <v>161</v>
      </c>
    </row>
    <row r="86" customFormat="false" ht="23.85" hidden="false" customHeight="false" outlineLevel="0" collapsed="false">
      <c r="A86" s="5" t="n">
        <v>42589</v>
      </c>
      <c r="B86" s="5" t="s">
        <v>63</v>
      </c>
      <c r="C86" s="5" t="s">
        <v>170</v>
      </c>
      <c r="D86" s="4" t="s">
        <v>28</v>
      </c>
      <c r="E86" s="4" t="s">
        <v>153</v>
      </c>
      <c r="F86" s="4" t="s">
        <v>154</v>
      </c>
      <c r="G86" s="4" t="s">
        <v>226</v>
      </c>
      <c r="H86" s="4" t="s">
        <v>223</v>
      </c>
      <c r="I86" s="5" t="s">
        <v>157</v>
      </c>
      <c r="J86" s="4"/>
      <c r="K86" s="5" t="s">
        <v>158</v>
      </c>
      <c r="L86" s="4" t="s">
        <v>472</v>
      </c>
      <c r="M86" s="5" t="s">
        <v>157</v>
      </c>
      <c r="N86" s="4" t="s">
        <v>223</v>
      </c>
      <c r="O86" s="5" t="s">
        <v>157</v>
      </c>
      <c r="P86" s="4" t="s">
        <v>160</v>
      </c>
      <c r="Q86" s="5" t="s">
        <v>157</v>
      </c>
      <c r="R86" s="5" t="n">
        <v>0</v>
      </c>
      <c r="S86" s="5" t="s">
        <v>158</v>
      </c>
      <c r="T86" s="4"/>
      <c r="U86" s="5" t="s">
        <v>158</v>
      </c>
      <c r="V86" s="5" t="n">
        <v>0</v>
      </c>
      <c r="W86" s="5" t="s">
        <v>158</v>
      </c>
      <c r="X86" s="5" t="n">
        <v>4</v>
      </c>
      <c r="Y86" s="4" t="s">
        <v>161</v>
      </c>
    </row>
    <row r="87" customFormat="false" ht="23.85" hidden="false" customHeight="false" outlineLevel="0" collapsed="false">
      <c r="A87" s="5" t="n">
        <v>42590</v>
      </c>
      <c r="B87" s="5" t="s">
        <v>63</v>
      </c>
      <c r="C87" s="5" t="s">
        <v>366</v>
      </c>
      <c r="D87" s="4" t="s">
        <v>28</v>
      </c>
      <c r="E87" s="4" t="s">
        <v>153</v>
      </c>
      <c r="F87" s="4" t="s">
        <v>154</v>
      </c>
      <c r="G87" s="4" t="s">
        <v>473</v>
      </c>
      <c r="H87" s="4" t="s">
        <v>474</v>
      </c>
      <c r="I87" s="5" t="s">
        <v>157</v>
      </c>
      <c r="J87" s="4"/>
      <c r="K87" s="5" t="s">
        <v>158</v>
      </c>
      <c r="L87" s="4" t="s">
        <v>475</v>
      </c>
      <c r="M87" s="5" t="s">
        <v>157</v>
      </c>
      <c r="N87" s="4" t="s">
        <v>474</v>
      </c>
      <c r="O87" s="5" t="s">
        <v>157</v>
      </c>
      <c r="P87" s="4" t="s">
        <v>160</v>
      </c>
      <c r="Q87" s="5" t="s">
        <v>157</v>
      </c>
      <c r="R87" s="5" t="n">
        <v>0</v>
      </c>
      <c r="S87" s="5" t="s">
        <v>158</v>
      </c>
      <c r="T87" s="4"/>
      <c r="U87" s="5" t="s">
        <v>158</v>
      </c>
      <c r="V87" s="5" t="n">
        <v>0</v>
      </c>
      <c r="W87" s="5" t="s">
        <v>158</v>
      </c>
      <c r="X87" s="5" t="n">
        <v>4</v>
      </c>
      <c r="Y87" s="4" t="s">
        <v>161</v>
      </c>
    </row>
    <row r="88" customFormat="false" ht="23.85" hidden="false" customHeight="false" outlineLevel="0" collapsed="false">
      <c r="A88" s="5" t="n">
        <v>42604</v>
      </c>
      <c r="B88" s="5" t="s">
        <v>64</v>
      </c>
      <c r="C88" s="5" t="s">
        <v>476</v>
      </c>
      <c r="D88" s="4" t="s">
        <v>30</v>
      </c>
      <c r="E88" s="4" t="s">
        <v>153</v>
      </c>
      <c r="F88" s="4" t="s">
        <v>154</v>
      </c>
      <c r="G88" s="4" t="s">
        <v>477</v>
      </c>
      <c r="H88" s="4" t="s">
        <v>477</v>
      </c>
      <c r="I88" s="5" t="s">
        <v>157</v>
      </c>
      <c r="J88" s="4"/>
      <c r="K88" s="5" t="s">
        <v>158</v>
      </c>
      <c r="L88" s="4"/>
      <c r="M88" s="5" t="s">
        <v>158</v>
      </c>
      <c r="N88" s="4" t="s">
        <v>478</v>
      </c>
      <c r="O88" s="5" t="s">
        <v>157</v>
      </c>
      <c r="P88" s="4" t="s">
        <v>277</v>
      </c>
      <c r="Q88" s="5" t="s">
        <v>157</v>
      </c>
      <c r="R88" s="5" t="n">
        <v>0</v>
      </c>
      <c r="S88" s="5" t="s">
        <v>158</v>
      </c>
      <c r="T88" s="4" t="s">
        <v>479</v>
      </c>
      <c r="U88" s="5" t="s">
        <v>157</v>
      </c>
      <c r="V88" s="5" t="n">
        <v>0</v>
      </c>
      <c r="W88" s="5" t="s">
        <v>158</v>
      </c>
      <c r="X88" s="5" t="n">
        <v>4</v>
      </c>
      <c r="Y88" s="4" t="s">
        <v>480</v>
      </c>
    </row>
    <row r="89" customFormat="false" ht="23.85" hidden="false" customHeight="false" outlineLevel="0" collapsed="false">
      <c r="A89" s="5" t="n">
        <v>42605</v>
      </c>
      <c r="B89" s="5" t="s">
        <v>64</v>
      </c>
      <c r="C89" s="5" t="s">
        <v>481</v>
      </c>
      <c r="D89" s="4" t="s">
        <v>30</v>
      </c>
      <c r="E89" s="4" t="s">
        <v>153</v>
      </c>
      <c r="F89" s="4" t="s">
        <v>154</v>
      </c>
      <c r="G89" s="4" t="s">
        <v>482</v>
      </c>
      <c r="H89" s="4" t="s">
        <v>482</v>
      </c>
      <c r="I89" s="5" t="s">
        <v>157</v>
      </c>
      <c r="J89" s="4"/>
      <c r="K89" s="5" t="s">
        <v>158</v>
      </c>
      <c r="L89" s="4" t="s">
        <v>404</v>
      </c>
      <c r="M89" s="5" t="s">
        <v>157</v>
      </c>
      <c r="N89" s="4" t="s">
        <v>454</v>
      </c>
      <c r="O89" s="5" t="s">
        <v>157</v>
      </c>
      <c r="P89" s="4" t="s">
        <v>277</v>
      </c>
      <c r="Q89" s="5" t="s">
        <v>157</v>
      </c>
      <c r="R89" s="5" t="n">
        <v>0</v>
      </c>
      <c r="S89" s="5" t="s">
        <v>158</v>
      </c>
      <c r="T89" s="4" t="s">
        <v>289</v>
      </c>
      <c r="U89" s="5" t="s">
        <v>157</v>
      </c>
      <c r="V89" s="5" t="n">
        <v>0</v>
      </c>
      <c r="W89" s="5" t="s">
        <v>158</v>
      </c>
      <c r="X89" s="5" t="n">
        <v>3</v>
      </c>
      <c r="Y89" s="4" t="s">
        <v>209</v>
      </c>
    </row>
    <row r="90" customFormat="false" ht="23.85" hidden="false" customHeight="false" outlineLevel="0" collapsed="false">
      <c r="A90" s="5" t="n">
        <v>42612</v>
      </c>
      <c r="B90" s="5" t="s">
        <v>64</v>
      </c>
      <c r="C90" s="5" t="s">
        <v>483</v>
      </c>
      <c r="D90" s="4" t="s">
        <v>28</v>
      </c>
      <c r="E90" s="4" t="s">
        <v>153</v>
      </c>
      <c r="F90" s="4" t="s">
        <v>154</v>
      </c>
      <c r="G90" s="4" t="s">
        <v>484</v>
      </c>
      <c r="H90" s="4" t="s">
        <v>315</v>
      </c>
      <c r="I90" s="5" t="s">
        <v>157</v>
      </c>
      <c r="J90" s="4"/>
      <c r="K90" s="5" t="s">
        <v>158</v>
      </c>
      <c r="L90" s="4" t="s">
        <v>314</v>
      </c>
      <c r="M90" s="5" t="s">
        <v>157</v>
      </c>
      <c r="N90" s="4" t="s">
        <v>315</v>
      </c>
      <c r="O90" s="5" t="s">
        <v>157</v>
      </c>
      <c r="P90" s="4" t="s">
        <v>160</v>
      </c>
      <c r="Q90" s="5" t="s">
        <v>157</v>
      </c>
      <c r="R90" s="5" t="n">
        <v>0</v>
      </c>
      <c r="S90" s="5" t="s">
        <v>158</v>
      </c>
      <c r="T90" s="4"/>
      <c r="U90" s="5" t="s">
        <v>158</v>
      </c>
      <c r="V90" s="5" t="n">
        <v>0</v>
      </c>
      <c r="W90" s="5" t="s">
        <v>158</v>
      </c>
      <c r="X90" s="5" t="n">
        <v>4</v>
      </c>
      <c r="Y90" s="4" t="s">
        <v>161</v>
      </c>
    </row>
    <row r="91" customFormat="false" ht="23.85" hidden="false" customHeight="false" outlineLevel="0" collapsed="false">
      <c r="A91" s="5" t="n">
        <v>42613</v>
      </c>
      <c r="B91" s="5" t="s">
        <v>64</v>
      </c>
      <c r="C91" s="5" t="s">
        <v>485</v>
      </c>
      <c r="D91" s="4" t="s">
        <v>28</v>
      </c>
      <c r="E91" s="4" t="s">
        <v>153</v>
      </c>
      <c r="F91" s="4" t="s">
        <v>154</v>
      </c>
      <c r="G91" s="4" t="s">
        <v>486</v>
      </c>
      <c r="H91" s="4" t="s">
        <v>487</v>
      </c>
      <c r="I91" s="5" t="s">
        <v>157</v>
      </c>
      <c r="J91" s="4"/>
      <c r="K91" s="5" t="s">
        <v>158</v>
      </c>
      <c r="L91" s="4" t="s">
        <v>408</v>
      </c>
      <c r="M91" s="5" t="s">
        <v>157</v>
      </c>
      <c r="N91" s="4" t="s">
        <v>487</v>
      </c>
      <c r="O91" s="5" t="s">
        <v>157</v>
      </c>
      <c r="P91" s="4" t="s">
        <v>160</v>
      </c>
      <c r="Q91" s="5" t="s">
        <v>157</v>
      </c>
      <c r="R91" s="5" t="n">
        <v>0</v>
      </c>
      <c r="S91" s="5" t="s">
        <v>158</v>
      </c>
      <c r="T91" s="4"/>
      <c r="U91" s="5" t="s">
        <v>158</v>
      </c>
      <c r="V91" s="5" t="n">
        <v>0</v>
      </c>
      <c r="W91" s="5" t="s">
        <v>158</v>
      </c>
      <c r="X91" s="5" t="n">
        <v>4</v>
      </c>
      <c r="Y91" s="4" t="s">
        <v>161</v>
      </c>
    </row>
    <row r="92" customFormat="false" ht="23.85" hidden="false" customHeight="false" outlineLevel="0" collapsed="false">
      <c r="A92" s="5" t="n">
        <v>42614</v>
      </c>
      <c r="B92" s="5" t="s">
        <v>64</v>
      </c>
      <c r="C92" s="5" t="s">
        <v>488</v>
      </c>
      <c r="D92" s="4" t="s">
        <v>28</v>
      </c>
      <c r="E92" s="4" t="s">
        <v>153</v>
      </c>
      <c r="F92" s="4" t="s">
        <v>154</v>
      </c>
      <c r="G92" s="4" t="s">
        <v>489</v>
      </c>
      <c r="H92" s="4" t="s">
        <v>490</v>
      </c>
      <c r="I92" s="5" t="s">
        <v>157</v>
      </c>
      <c r="J92" s="4"/>
      <c r="K92" s="5" t="s">
        <v>158</v>
      </c>
      <c r="L92" s="4" t="s">
        <v>491</v>
      </c>
      <c r="M92" s="5" t="s">
        <v>157</v>
      </c>
      <c r="N92" s="4" t="s">
        <v>490</v>
      </c>
      <c r="O92" s="5" t="s">
        <v>157</v>
      </c>
      <c r="P92" s="4" t="s">
        <v>160</v>
      </c>
      <c r="Q92" s="5" t="s">
        <v>157</v>
      </c>
      <c r="R92" s="5" t="n">
        <v>0</v>
      </c>
      <c r="S92" s="5" t="s">
        <v>158</v>
      </c>
      <c r="T92" s="4"/>
      <c r="U92" s="5" t="s">
        <v>158</v>
      </c>
      <c r="V92" s="5" t="n">
        <v>0</v>
      </c>
      <c r="W92" s="5" t="s">
        <v>158</v>
      </c>
      <c r="X92" s="5" t="n">
        <v>4</v>
      </c>
      <c r="Y92" s="4" t="s">
        <v>161</v>
      </c>
    </row>
    <row r="93" customFormat="false" ht="23.85" hidden="false" customHeight="false" outlineLevel="0" collapsed="false">
      <c r="A93" s="5" t="n">
        <v>42615</v>
      </c>
      <c r="B93" s="5" t="s">
        <v>64</v>
      </c>
      <c r="C93" s="5" t="s">
        <v>344</v>
      </c>
      <c r="D93" s="4" t="s">
        <v>28</v>
      </c>
      <c r="E93" s="4" t="s">
        <v>153</v>
      </c>
      <c r="F93" s="4" t="s">
        <v>154</v>
      </c>
      <c r="G93" s="4" t="s">
        <v>492</v>
      </c>
      <c r="H93" s="4" t="s">
        <v>493</v>
      </c>
      <c r="I93" s="5" t="s">
        <v>157</v>
      </c>
      <c r="J93" s="4"/>
      <c r="K93" s="5" t="s">
        <v>158</v>
      </c>
      <c r="L93" s="4" t="s">
        <v>494</v>
      </c>
      <c r="M93" s="5" t="s">
        <v>157</v>
      </c>
      <c r="N93" s="4" t="s">
        <v>493</v>
      </c>
      <c r="O93" s="5" t="s">
        <v>157</v>
      </c>
      <c r="P93" s="4" t="s">
        <v>160</v>
      </c>
      <c r="Q93" s="5" t="s">
        <v>157</v>
      </c>
      <c r="R93" s="5" t="n">
        <v>0</v>
      </c>
      <c r="S93" s="5" t="s">
        <v>158</v>
      </c>
      <c r="T93" s="4"/>
      <c r="U93" s="5" t="s">
        <v>158</v>
      </c>
      <c r="V93" s="5" t="n">
        <v>0</v>
      </c>
      <c r="W93" s="5" t="s">
        <v>158</v>
      </c>
      <c r="X93" s="5" t="n">
        <v>4</v>
      </c>
      <c r="Y93" s="4" t="s">
        <v>161</v>
      </c>
    </row>
    <row r="94" customFormat="false" ht="23.85" hidden="false" customHeight="false" outlineLevel="0" collapsed="false">
      <c r="A94" s="5" t="n">
        <v>42616</v>
      </c>
      <c r="B94" s="5" t="s">
        <v>64</v>
      </c>
      <c r="C94" s="5" t="s">
        <v>152</v>
      </c>
      <c r="D94" s="4" t="s">
        <v>30</v>
      </c>
      <c r="E94" s="4" t="s">
        <v>153</v>
      </c>
      <c r="F94" s="4" t="s">
        <v>154</v>
      </c>
      <c r="G94" s="4" t="s">
        <v>495</v>
      </c>
      <c r="H94" s="4" t="s">
        <v>495</v>
      </c>
      <c r="I94" s="5" t="s">
        <v>157</v>
      </c>
      <c r="J94" s="4"/>
      <c r="K94" s="5" t="s">
        <v>158</v>
      </c>
      <c r="L94" s="4" t="s">
        <v>412</v>
      </c>
      <c r="M94" s="5" t="s">
        <v>157</v>
      </c>
      <c r="N94" s="4"/>
      <c r="O94" s="5" t="s">
        <v>158</v>
      </c>
      <c r="P94" s="4"/>
      <c r="Q94" s="5" t="s">
        <v>158</v>
      </c>
      <c r="R94" s="5" t="n">
        <v>0</v>
      </c>
      <c r="S94" s="5" t="s">
        <v>158</v>
      </c>
      <c r="T94" s="4"/>
      <c r="U94" s="5" t="s">
        <v>158</v>
      </c>
      <c r="V94" s="5" t="n">
        <v>0</v>
      </c>
      <c r="W94" s="5" t="s">
        <v>158</v>
      </c>
      <c r="X94" s="5" t="n">
        <v>6</v>
      </c>
      <c r="Y94" s="4" t="s">
        <v>265</v>
      </c>
    </row>
    <row r="95" customFormat="false" ht="23.85" hidden="false" customHeight="false" outlineLevel="0" collapsed="false">
      <c r="A95" s="5" t="n">
        <v>42617</v>
      </c>
      <c r="B95" s="5" t="s">
        <v>64</v>
      </c>
      <c r="C95" s="5" t="s">
        <v>348</v>
      </c>
      <c r="D95" s="4" t="s">
        <v>28</v>
      </c>
      <c r="E95" s="4" t="s">
        <v>153</v>
      </c>
      <c r="F95" s="4" t="s">
        <v>154</v>
      </c>
      <c r="G95" s="4" t="s">
        <v>496</v>
      </c>
      <c r="H95" s="4" t="s">
        <v>497</v>
      </c>
      <c r="I95" s="5" t="s">
        <v>157</v>
      </c>
      <c r="J95" s="4"/>
      <c r="K95" s="5" t="s">
        <v>158</v>
      </c>
      <c r="L95" s="4" t="s">
        <v>498</v>
      </c>
      <c r="M95" s="5" t="s">
        <v>157</v>
      </c>
      <c r="N95" s="4" t="s">
        <v>499</v>
      </c>
      <c r="O95" s="5" t="s">
        <v>157</v>
      </c>
      <c r="P95" s="4" t="s">
        <v>160</v>
      </c>
      <c r="Q95" s="5" t="s">
        <v>157</v>
      </c>
      <c r="R95" s="5" t="n">
        <v>0</v>
      </c>
      <c r="S95" s="5" t="s">
        <v>158</v>
      </c>
      <c r="T95" s="4"/>
      <c r="U95" s="5" t="s">
        <v>158</v>
      </c>
      <c r="V95" s="5" t="n">
        <v>0</v>
      </c>
      <c r="W95" s="5" t="s">
        <v>158</v>
      </c>
      <c r="X95" s="5" t="n">
        <v>4</v>
      </c>
      <c r="Y95" s="4" t="s">
        <v>161</v>
      </c>
    </row>
    <row r="96" customFormat="false" ht="23.85" hidden="false" customHeight="false" outlineLevel="0" collapsed="false">
      <c r="A96" s="5" t="n">
        <v>42618</v>
      </c>
      <c r="B96" s="5" t="s">
        <v>64</v>
      </c>
      <c r="C96" s="5" t="s">
        <v>500</v>
      </c>
      <c r="D96" s="4" t="s">
        <v>28</v>
      </c>
      <c r="E96" s="4" t="s">
        <v>153</v>
      </c>
      <c r="F96" s="4" t="s">
        <v>154</v>
      </c>
      <c r="G96" s="4" t="s">
        <v>501</v>
      </c>
      <c r="H96" s="4" t="s">
        <v>502</v>
      </c>
      <c r="I96" s="5" t="s">
        <v>157</v>
      </c>
      <c r="J96" s="4"/>
      <c r="K96" s="5" t="s">
        <v>158</v>
      </c>
      <c r="L96" s="4" t="s">
        <v>408</v>
      </c>
      <c r="M96" s="5" t="s">
        <v>157</v>
      </c>
      <c r="N96" s="4"/>
      <c r="O96" s="5" t="s">
        <v>158</v>
      </c>
      <c r="P96" s="4" t="s">
        <v>160</v>
      </c>
      <c r="Q96" s="5" t="s">
        <v>157</v>
      </c>
      <c r="R96" s="5" t="n">
        <v>0</v>
      </c>
      <c r="S96" s="5" t="s">
        <v>158</v>
      </c>
      <c r="T96" s="4"/>
      <c r="U96" s="5" t="s">
        <v>158</v>
      </c>
      <c r="V96" s="5" t="n">
        <v>0</v>
      </c>
      <c r="W96" s="5" t="s">
        <v>158</v>
      </c>
      <c r="X96" s="5" t="n">
        <v>5</v>
      </c>
      <c r="Y96" s="4" t="s">
        <v>248</v>
      </c>
    </row>
    <row r="97" customFormat="false" ht="23.85" hidden="false" customHeight="false" outlineLevel="0" collapsed="false">
      <c r="A97" s="5" t="n">
        <v>42619</v>
      </c>
      <c r="B97" s="5" t="s">
        <v>64</v>
      </c>
      <c r="C97" s="5" t="s">
        <v>352</v>
      </c>
      <c r="D97" s="4" t="s">
        <v>28</v>
      </c>
      <c r="E97" s="4" t="s">
        <v>153</v>
      </c>
      <c r="F97" s="4" t="s">
        <v>154</v>
      </c>
      <c r="G97" s="4" t="s">
        <v>503</v>
      </c>
      <c r="H97" s="4" t="s">
        <v>504</v>
      </c>
      <c r="I97" s="5" t="s">
        <v>157</v>
      </c>
      <c r="J97" s="4"/>
      <c r="K97" s="5" t="s">
        <v>158</v>
      </c>
      <c r="L97" s="4"/>
      <c r="M97" s="5" t="s">
        <v>158</v>
      </c>
      <c r="N97" s="4"/>
      <c r="O97" s="5" t="s">
        <v>158</v>
      </c>
      <c r="P97" s="4" t="s">
        <v>182</v>
      </c>
      <c r="Q97" s="5" t="s">
        <v>157</v>
      </c>
      <c r="R97" s="5" t="n">
        <v>0</v>
      </c>
      <c r="S97" s="5" t="s">
        <v>158</v>
      </c>
      <c r="T97" s="4"/>
      <c r="U97" s="5" t="s">
        <v>158</v>
      </c>
      <c r="V97" s="5" t="n">
        <v>0</v>
      </c>
      <c r="W97" s="5" t="s">
        <v>158</v>
      </c>
      <c r="X97" s="5" t="n">
        <v>6</v>
      </c>
      <c r="Y97" s="4" t="s">
        <v>183</v>
      </c>
    </row>
    <row r="98" customFormat="false" ht="23.85" hidden="false" customHeight="false" outlineLevel="0" collapsed="false">
      <c r="A98" s="5" t="n">
        <v>42623</v>
      </c>
      <c r="B98" s="5" t="s">
        <v>65</v>
      </c>
      <c r="C98" s="5" t="s">
        <v>505</v>
      </c>
      <c r="D98" s="4" t="s">
        <v>22</v>
      </c>
      <c r="E98" s="4" t="s">
        <v>185</v>
      </c>
      <c r="F98" s="4" t="s">
        <v>154</v>
      </c>
      <c r="G98" s="4" t="s">
        <v>506</v>
      </c>
      <c r="H98" s="4" t="s">
        <v>507</v>
      </c>
      <c r="I98" s="5" t="s">
        <v>157</v>
      </c>
      <c r="J98" s="4"/>
      <c r="K98" s="5" t="s">
        <v>158</v>
      </c>
      <c r="L98" s="4" t="s">
        <v>508</v>
      </c>
      <c r="M98" s="5" t="s">
        <v>157</v>
      </c>
      <c r="N98" s="4" t="s">
        <v>509</v>
      </c>
      <c r="O98" s="5" t="s">
        <v>157</v>
      </c>
      <c r="P98" s="4" t="s">
        <v>191</v>
      </c>
      <c r="Q98" s="5" t="s">
        <v>157</v>
      </c>
      <c r="R98" s="5" t="n">
        <v>0</v>
      </c>
      <c r="S98" s="5" t="s">
        <v>158</v>
      </c>
      <c r="T98" s="4" t="s">
        <v>289</v>
      </c>
      <c r="U98" s="5" t="s">
        <v>157</v>
      </c>
      <c r="V98" s="5" t="n">
        <v>0</v>
      </c>
      <c r="W98" s="5" t="s">
        <v>158</v>
      </c>
      <c r="X98" s="5" t="n">
        <v>3</v>
      </c>
      <c r="Y98" s="4" t="s">
        <v>209</v>
      </c>
    </row>
    <row r="99" customFormat="false" ht="23.85" hidden="false" customHeight="false" outlineLevel="0" collapsed="false">
      <c r="A99" s="5" t="n">
        <v>42624</v>
      </c>
      <c r="B99" s="5" t="s">
        <v>65</v>
      </c>
      <c r="C99" s="5" t="s">
        <v>510</v>
      </c>
      <c r="D99" s="4" t="s">
        <v>22</v>
      </c>
      <c r="E99" s="4" t="s">
        <v>185</v>
      </c>
      <c r="F99" s="4" t="s">
        <v>154</v>
      </c>
      <c r="G99" s="4" t="s">
        <v>511</v>
      </c>
      <c r="H99" s="4" t="s">
        <v>512</v>
      </c>
      <c r="I99" s="5" t="s">
        <v>157</v>
      </c>
      <c r="J99" s="4"/>
      <c r="K99" s="5" t="s">
        <v>158</v>
      </c>
      <c r="L99" s="4"/>
      <c r="M99" s="5" t="s">
        <v>158</v>
      </c>
      <c r="N99" s="4"/>
      <c r="O99" s="5" t="s">
        <v>158</v>
      </c>
      <c r="P99" s="4" t="s">
        <v>191</v>
      </c>
      <c r="Q99" s="5" t="s">
        <v>157</v>
      </c>
      <c r="R99" s="5" t="n">
        <v>0</v>
      </c>
      <c r="S99" s="5" t="s">
        <v>158</v>
      </c>
      <c r="T99" s="4" t="s">
        <v>289</v>
      </c>
      <c r="U99" s="5" t="s">
        <v>157</v>
      </c>
      <c r="V99" s="5" t="n">
        <v>0</v>
      </c>
      <c r="W99" s="5" t="s">
        <v>158</v>
      </c>
      <c r="X99" s="5" t="n">
        <v>5</v>
      </c>
      <c r="Y99" s="4" t="s">
        <v>513</v>
      </c>
    </row>
    <row r="100" customFormat="false" ht="23.85" hidden="false" customHeight="false" outlineLevel="0" collapsed="false">
      <c r="A100" s="5" t="n">
        <v>42625</v>
      </c>
      <c r="B100" s="5" t="s">
        <v>65</v>
      </c>
      <c r="C100" s="5" t="s">
        <v>514</v>
      </c>
      <c r="D100" s="4" t="s">
        <v>22</v>
      </c>
      <c r="E100" s="4" t="s">
        <v>185</v>
      </c>
      <c r="F100" s="4" t="s">
        <v>154</v>
      </c>
      <c r="G100" s="4" t="s">
        <v>515</v>
      </c>
      <c r="H100" s="4" t="s">
        <v>516</v>
      </c>
      <c r="I100" s="5" t="s">
        <v>157</v>
      </c>
      <c r="J100" s="4"/>
      <c r="K100" s="5" t="s">
        <v>158</v>
      </c>
      <c r="L100" s="4" t="s">
        <v>517</v>
      </c>
      <c r="M100" s="5" t="s">
        <v>157</v>
      </c>
      <c r="N100" s="4"/>
      <c r="O100" s="5" t="s">
        <v>158</v>
      </c>
      <c r="P100" s="4" t="s">
        <v>191</v>
      </c>
      <c r="Q100" s="5" t="s">
        <v>157</v>
      </c>
      <c r="R100" s="5" t="n">
        <v>0</v>
      </c>
      <c r="S100" s="5" t="s">
        <v>158</v>
      </c>
      <c r="T100" s="4" t="s">
        <v>518</v>
      </c>
      <c r="U100" s="5" t="s">
        <v>157</v>
      </c>
      <c r="V100" s="5" t="n">
        <v>0</v>
      </c>
      <c r="W100" s="5" t="s">
        <v>158</v>
      </c>
      <c r="X100" s="5" t="n">
        <v>4</v>
      </c>
      <c r="Y100" s="4" t="s">
        <v>519</v>
      </c>
    </row>
    <row r="101" customFormat="false" ht="23.85" hidden="false" customHeight="false" outlineLevel="0" collapsed="false">
      <c r="A101" s="5" t="n">
        <v>42627</v>
      </c>
      <c r="B101" s="5" t="s">
        <v>65</v>
      </c>
      <c r="C101" s="5" t="s">
        <v>520</v>
      </c>
      <c r="D101" s="4" t="s">
        <v>30</v>
      </c>
      <c r="E101" s="4" t="s">
        <v>153</v>
      </c>
      <c r="F101" s="4" t="s">
        <v>154</v>
      </c>
      <c r="G101" s="4" t="s">
        <v>293</v>
      </c>
      <c r="H101" s="4" t="s">
        <v>293</v>
      </c>
      <c r="I101" s="5" t="s">
        <v>157</v>
      </c>
      <c r="J101" s="4"/>
      <c r="K101" s="5" t="s">
        <v>158</v>
      </c>
      <c r="L101" s="4"/>
      <c r="M101" s="5" t="s">
        <v>158</v>
      </c>
      <c r="N101" s="4" t="s">
        <v>293</v>
      </c>
      <c r="O101" s="5" t="s">
        <v>157</v>
      </c>
      <c r="P101" s="4"/>
      <c r="Q101" s="5" t="s">
        <v>158</v>
      </c>
      <c r="R101" s="5" t="n">
        <v>0</v>
      </c>
      <c r="S101" s="5" t="s">
        <v>158</v>
      </c>
      <c r="T101" s="4"/>
      <c r="U101" s="5" t="s">
        <v>158</v>
      </c>
      <c r="V101" s="5" t="n">
        <v>0</v>
      </c>
      <c r="W101" s="5" t="s">
        <v>158</v>
      </c>
      <c r="X101" s="5" t="n">
        <v>6</v>
      </c>
      <c r="Y101" s="4" t="s">
        <v>521</v>
      </c>
    </row>
    <row r="102" customFormat="false" ht="23.85" hidden="false" customHeight="false" outlineLevel="0" collapsed="false">
      <c r="A102" s="5" t="n">
        <v>42628</v>
      </c>
      <c r="B102" s="5" t="s">
        <v>65</v>
      </c>
      <c r="C102" s="5" t="s">
        <v>522</v>
      </c>
      <c r="D102" s="4" t="s">
        <v>30</v>
      </c>
      <c r="E102" s="4" t="s">
        <v>153</v>
      </c>
      <c r="F102" s="4" t="s">
        <v>154</v>
      </c>
      <c r="G102" s="4" t="s">
        <v>523</v>
      </c>
      <c r="H102" s="4" t="s">
        <v>523</v>
      </c>
      <c r="I102" s="5" t="s">
        <v>157</v>
      </c>
      <c r="J102" s="4"/>
      <c r="K102" s="5" t="s">
        <v>158</v>
      </c>
      <c r="L102" s="4" t="s">
        <v>524</v>
      </c>
      <c r="M102" s="5" t="s">
        <v>157</v>
      </c>
      <c r="N102" s="4" t="s">
        <v>293</v>
      </c>
      <c r="O102" s="5" t="s">
        <v>157</v>
      </c>
      <c r="P102" s="4" t="s">
        <v>277</v>
      </c>
      <c r="Q102" s="5" t="s">
        <v>157</v>
      </c>
      <c r="R102" s="5" t="n">
        <v>0</v>
      </c>
      <c r="S102" s="5" t="s">
        <v>158</v>
      </c>
      <c r="T102" s="4" t="s">
        <v>289</v>
      </c>
      <c r="U102" s="5" t="s">
        <v>157</v>
      </c>
      <c r="V102" s="5" t="n">
        <v>0</v>
      </c>
      <c r="W102" s="5" t="s">
        <v>158</v>
      </c>
      <c r="X102" s="5" t="n">
        <v>3</v>
      </c>
      <c r="Y102" s="4" t="s">
        <v>209</v>
      </c>
    </row>
    <row r="103" customFormat="false" ht="23.85" hidden="false" customHeight="false" outlineLevel="0" collapsed="false">
      <c r="A103" s="5" t="n">
        <v>42629</v>
      </c>
      <c r="B103" s="5" t="s">
        <v>65</v>
      </c>
      <c r="C103" s="5" t="s">
        <v>525</v>
      </c>
      <c r="D103" s="4" t="s">
        <v>30</v>
      </c>
      <c r="E103" s="4" t="s">
        <v>153</v>
      </c>
      <c r="F103" s="4" t="s">
        <v>154</v>
      </c>
      <c r="G103" s="4" t="s">
        <v>526</v>
      </c>
      <c r="H103" s="4" t="s">
        <v>526</v>
      </c>
      <c r="I103" s="5" t="s">
        <v>157</v>
      </c>
      <c r="J103" s="4"/>
      <c r="K103" s="5" t="s">
        <v>158</v>
      </c>
      <c r="L103" s="4" t="s">
        <v>498</v>
      </c>
      <c r="M103" s="5" t="s">
        <v>157</v>
      </c>
      <c r="N103" s="4" t="s">
        <v>499</v>
      </c>
      <c r="O103" s="5" t="s">
        <v>157</v>
      </c>
      <c r="P103" s="4"/>
      <c r="Q103" s="5" t="s">
        <v>158</v>
      </c>
      <c r="R103" s="5" t="n">
        <v>0</v>
      </c>
      <c r="S103" s="5" t="s">
        <v>158</v>
      </c>
      <c r="T103" s="4"/>
      <c r="U103" s="5" t="s">
        <v>158</v>
      </c>
      <c r="V103" s="5" t="n">
        <v>0</v>
      </c>
      <c r="W103" s="5" t="s">
        <v>158</v>
      </c>
      <c r="X103" s="5" t="n">
        <v>5</v>
      </c>
      <c r="Y103" s="4" t="s">
        <v>527</v>
      </c>
    </row>
    <row r="104" customFormat="false" ht="23.85" hidden="false" customHeight="false" outlineLevel="0" collapsed="false">
      <c r="A104" s="5" t="n">
        <v>42634</v>
      </c>
      <c r="B104" s="5" t="s">
        <v>65</v>
      </c>
      <c r="C104" s="5" t="s">
        <v>528</v>
      </c>
      <c r="D104" s="4" t="s">
        <v>26</v>
      </c>
      <c r="E104" s="4" t="s">
        <v>194</v>
      </c>
      <c r="F104" s="4" t="s">
        <v>154</v>
      </c>
      <c r="G104" s="4" t="s">
        <v>529</v>
      </c>
      <c r="H104" s="4" t="s">
        <v>530</v>
      </c>
      <c r="I104" s="5" t="s">
        <v>157</v>
      </c>
      <c r="J104" s="4"/>
      <c r="K104" s="5" t="s">
        <v>158</v>
      </c>
      <c r="L104" s="4"/>
      <c r="M104" s="5" t="s">
        <v>158</v>
      </c>
      <c r="N104" s="4"/>
      <c r="O104" s="5" t="s">
        <v>158</v>
      </c>
      <c r="P104" s="4" t="s">
        <v>531</v>
      </c>
      <c r="Q104" s="5" t="s">
        <v>157</v>
      </c>
      <c r="R104" s="5" t="n">
        <v>2</v>
      </c>
      <c r="S104" s="5" t="s">
        <v>157</v>
      </c>
      <c r="T104" s="4" t="s">
        <v>518</v>
      </c>
      <c r="U104" s="5" t="s">
        <v>157</v>
      </c>
      <c r="V104" s="5" t="n">
        <v>0</v>
      </c>
      <c r="W104" s="5" t="s">
        <v>158</v>
      </c>
      <c r="X104" s="5" t="n">
        <v>4</v>
      </c>
      <c r="Y104" s="4" t="s">
        <v>532</v>
      </c>
    </row>
    <row r="105" customFormat="false" ht="23.85" hidden="false" customHeight="false" outlineLevel="0" collapsed="false">
      <c r="A105" s="5" t="n">
        <v>42635</v>
      </c>
      <c r="B105" s="5" t="s">
        <v>65</v>
      </c>
      <c r="C105" s="5" t="s">
        <v>533</v>
      </c>
      <c r="D105" s="4" t="s">
        <v>26</v>
      </c>
      <c r="E105" s="4" t="s">
        <v>194</v>
      </c>
      <c r="F105" s="4" t="s">
        <v>338</v>
      </c>
      <c r="G105" s="4" t="s">
        <v>534</v>
      </c>
      <c r="H105" s="4" t="s">
        <v>535</v>
      </c>
      <c r="I105" s="5" t="s">
        <v>157</v>
      </c>
      <c r="J105" s="4"/>
      <c r="K105" s="5" t="s">
        <v>158</v>
      </c>
      <c r="L105" s="4"/>
      <c r="M105" s="5" t="s">
        <v>158</v>
      </c>
      <c r="N105" s="4"/>
      <c r="O105" s="5" t="s">
        <v>158</v>
      </c>
      <c r="P105" s="4" t="s">
        <v>536</v>
      </c>
      <c r="Q105" s="5" t="s">
        <v>157</v>
      </c>
      <c r="R105" s="5" t="n">
        <v>1</v>
      </c>
      <c r="S105" s="5" t="s">
        <v>157</v>
      </c>
      <c r="T105" s="4" t="s">
        <v>518</v>
      </c>
      <c r="U105" s="5" t="s">
        <v>157</v>
      </c>
      <c r="V105" s="5" t="n">
        <v>139</v>
      </c>
      <c r="W105" s="5" t="s">
        <v>157</v>
      </c>
      <c r="X105" s="5" t="n">
        <v>3</v>
      </c>
      <c r="Y105" s="4" t="s">
        <v>537</v>
      </c>
    </row>
    <row r="106" customFormat="false" ht="23.85" hidden="false" customHeight="false" outlineLevel="0" collapsed="false">
      <c r="A106" s="5" t="n">
        <v>42636</v>
      </c>
      <c r="B106" s="5" t="s">
        <v>65</v>
      </c>
      <c r="C106" s="5" t="s">
        <v>538</v>
      </c>
      <c r="D106" s="4" t="s">
        <v>26</v>
      </c>
      <c r="E106" s="4" t="s">
        <v>194</v>
      </c>
      <c r="F106" s="4" t="s">
        <v>154</v>
      </c>
      <c r="G106" s="4" t="s">
        <v>539</v>
      </c>
      <c r="H106" s="4" t="s">
        <v>540</v>
      </c>
      <c r="I106" s="5" t="s">
        <v>157</v>
      </c>
      <c r="J106" s="4" t="s">
        <v>541</v>
      </c>
      <c r="K106" s="5" t="s">
        <v>157</v>
      </c>
      <c r="L106" s="4"/>
      <c r="M106" s="5" t="s">
        <v>158</v>
      </c>
      <c r="N106" s="4"/>
      <c r="O106" s="5" t="s">
        <v>158</v>
      </c>
      <c r="P106" s="4" t="s">
        <v>542</v>
      </c>
      <c r="Q106" s="5" t="s">
        <v>157</v>
      </c>
      <c r="R106" s="5" t="n">
        <v>2</v>
      </c>
      <c r="S106" s="5" t="s">
        <v>157</v>
      </c>
      <c r="T106" s="4" t="s">
        <v>518</v>
      </c>
      <c r="U106" s="5" t="s">
        <v>157</v>
      </c>
      <c r="V106" s="5" t="n">
        <v>0</v>
      </c>
      <c r="W106" s="5" t="s">
        <v>158</v>
      </c>
      <c r="X106" s="5" t="n">
        <v>3</v>
      </c>
      <c r="Y106" s="4" t="s">
        <v>543</v>
      </c>
    </row>
    <row r="107" customFormat="false" ht="23.85" hidden="false" customHeight="false" outlineLevel="0" collapsed="false">
      <c r="A107" s="5" t="n">
        <v>42637</v>
      </c>
      <c r="B107" s="5" t="s">
        <v>65</v>
      </c>
      <c r="C107" s="5" t="s">
        <v>544</v>
      </c>
      <c r="D107" s="4" t="s">
        <v>26</v>
      </c>
      <c r="E107" s="4" t="s">
        <v>194</v>
      </c>
      <c r="F107" s="4" t="s">
        <v>244</v>
      </c>
      <c r="G107" s="4" t="s">
        <v>545</v>
      </c>
      <c r="H107" s="4" t="s">
        <v>546</v>
      </c>
      <c r="I107" s="5" t="s">
        <v>157</v>
      </c>
      <c r="J107" s="4"/>
      <c r="K107" s="5" t="s">
        <v>158</v>
      </c>
      <c r="L107" s="4"/>
      <c r="M107" s="5" t="s">
        <v>158</v>
      </c>
      <c r="N107" s="4"/>
      <c r="O107" s="5" t="s">
        <v>158</v>
      </c>
      <c r="P107" s="4" t="s">
        <v>518</v>
      </c>
      <c r="Q107" s="5" t="s">
        <v>157</v>
      </c>
      <c r="R107" s="5" t="n">
        <v>0</v>
      </c>
      <c r="S107" s="5" t="s">
        <v>158</v>
      </c>
      <c r="T107" s="4" t="s">
        <v>518</v>
      </c>
      <c r="U107" s="5" t="s">
        <v>157</v>
      </c>
      <c r="V107" s="5" t="n">
        <v>0</v>
      </c>
      <c r="W107" s="5" t="s">
        <v>158</v>
      </c>
      <c r="X107" s="5" t="n">
        <v>5</v>
      </c>
      <c r="Y107" s="4" t="s">
        <v>513</v>
      </c>
    </row>
    <row r="108" customFormat="false" ht="23.85" hidden="false" customHeight="false" outlineLevel="0" collapsed="false">
      <c r="A108" s="5" t="n">
        <v>42638</v>
      </c>
      <c r="B108" s="5" t="s">
        <v>65</v>
      </c>
      <c r="C108" s="5" t="s">
        <v>547</v>
      </c>
      <c r="D108" s="4" t="s">
        <v>18</v>
      </c>
      <c r="E108" s="4" t="s">
        <v>194</v>
      </c>
      <c r="F108" s="4" t="s">
        <v>154</v>
      </c>
      <c r="G108" s="4" t="s">
        <v>548</v>
      </c>
      <c r="H108" s="4" t="s">
        <v>549</v>
      </c>
      <c r="I108" s="5" t="s">
        <v>157</v>
      </c>
      <c r="J108" s="4" t="s">
        <v>550</v>
      </c>
      <c r="K108" s="5" t="s">
        <v>157</v>
      </c>
      <c r="L108" s="4" t="s">
        <v>551</v>
      </c>
      <c r="M108" s="5" t="s">
        <v>157</v>
      </c>
      <c r="N108" s="4" t="s">
        <v>281</v>
      </c>
      <c r="O108" s="5" t="s">
        <v>157</v>
      </c>
      <c r="P108" s="4" t="s">
        <v>282</v>
      </c>
      <c r="Q108" s="5" t="s">
        <v>157</v>
      </c>
      <c r="R108" s="5" t="n">
        <v>0</v>
      </c>
      <c r="S108" s="5" t="s">
        <v>158</v>
      </c>
      <c r="T108" s="4"/>
      <c r="U108" s="5" t="s">
        <v>158</v>
      </c>
      <c r="V108" s="5" t="n">
        <v>0</v>
      </c>
      <c r="W108" s="5" t="s">
        <v>158</v>
      </c>
      <c r="X108" s="5" t="n">
        <v>3</v>
      </c>
      <c r="Y108" s="4" t="s">
        <v>217</v>
      </c>
    </row>
    <row r="109" customFormat="false" ht="23.85" hidden="false" customHeight="false" outlineLevel="0" collapsed="false">
      <c r="A109" s="5" t="n">
        <v>42641</v>
      </c>
      <c r="B109" s="5" t="s">
        <v>65</v>
      </c>
      <c r="C109" s="5" t="s">
        <v>485</v>
      </c>
      <c r="D109" s="4" t="s">
        <v>28</v>
      </c>
      <c r="E109" s="4" t="s">
        <v>153</v>
      </c>
      <c r="F109" s="4" t="s">
        <v>154</v>
      </c>
      <c r="G109" s="4" t="s">
        <v>552</v>
      </c>
      <c r="H109" s="4" t="s">
        <v>553</v>
      </c>
      <c r="I109" s="5" t="s">
        <v>157</v>
      </c>
      <c r="J109" s="4"/>
      <c r="K109" s="5" t="s">
        <v>158</v>
      </c>
      <c r="L109" s="4" t="s">
        <v>553</v>
      </c>
      <c r="M109" s="5" t="s">
        <v>157</v>
      </c>
      <c r="N109" s="4"/>
      <c r="O109" s="5" t="s">
        <v>158</v>
      </c>
      <c r="P109" s="4" t="s">
        <v>247</v>
      </c>
      <c r="Q109" s="5" t="s">
        <v>157</v>
      </c>
      <c r="R109" s="5" t="n">
        <v>0</v>
      </c>
      <c r="S109" s="5" t="s">
        <v>158</v>
      </c>
      <c r="T109" s="4"/>
      <c r="U109" s="5" t="s">
        <v>158</v>
      </c>
      <c r="V109" s="5" t="n">
        <v>0</v>
      </c>
      <c r="W109" s="5" t="s">
        <v>158</v>
      </c>
      <c r="X109" s="5" t="n">
        <v>5</v>
      </c>
      <c r="Y109" s="4" t="s">
        <v>248</v>
      </c>
    </row>
    <row r="110" customFormat="false" ht="23.85" hidden="false" customHeight="false" outlineLevel="0" collapsed="false">
      <c r="A110" s="5" t="n">
        <v>42642</v>
      </c>
      <c r="B110" s="5" t="s">
        <v>65</v>
      </c>
      <c r="C110" s="5" t="s">
        <v>340</v>
      </c>
      <c r="D110" s="4" t="s">
        <v>28</v>
      </c>
      <c r="E110" s="4" t="s">
        <v>153</v>
      </c>
      <c r="F110" s="4" t="s">
        <v>154</v>
      </c>
      <c r="G110" s="4" t="s">
        <v>361</v>
      </c>
      <c r="H110" s="4" t="s">
        <v>362</v>
      </c>
      <c r="I110" s="5" t="s">
        <v>157</v>
      </c>
      <c r="J110" s="4"/>
      <c r="K110" s="5" t="s">
        <v>158</v>
      </c>
      <c r="L110" s="4" t="s">
        <v>362</v>
      </c>
      <c r="M110" s="5" t="s">
        <v>157</v>
      </c>
      <c r="N110" s="4"/>
      <c r="O110" s="5" t="s">
        <v>158</v>
      </c>
      <c r="P110" s="4" t="s">
        <v>247</v>
      </c>
      <c r="Q110" s="5" t="s">
        <v>157</v>
      </c>
      <c r="R110" s="5" t="n">
        <v>0</v>
      </c>
      <c r="S110" s="5" t="s">
        <v>158</v>
      </c>
      <c r="T110" s="4"/>
      <c r="U110" s="5" t="s">
        <v>158</v>
      </c>
      <c r="V110" s="5" t="n">
        <v>0</v>
      </c>
      <c r="W110" s="5" t="s">
        <v>158</v>
      </c>
      <c r="X110" s="5" t="n">
        <v>5</v>
      </c>
      <c r="Y110" s="4" t="s">
        <v>248</v>
      </c>
    </row>
    <row r="111" customFormat="false" ht="23.85" hidden="false" customHeight="false" outlineLevel="0" collapsed="false">
      <c r="A111" s="5" t="n">
        <v>42643</v>
      </c>
      <c r="B111" s="5" t="s">
        <v>65</v>
      </c>
      <c r="C111" s="5" t="s">
        <v>352</v>
      </c>
      <c r="D111" s="4" t="s">
        <v>28</v>
      </c>
      <c r="E111" s="4" t="s">
        <v>153</v>
      </c>
      <c r="F111" s="4" t="s">
        <v>154</v>
      </c>
      <c r="G111" s="4" t="s">
        <v>554</v>
      </c>
      <c r="H111" s="4" t="s">
        <v>555</v>
      </c>
      <c r="I111" s="5" t="s">
        <v>157</v>
      </c>
      <c r="J111" s="4"/>
      <c r="K111" s="5" t="s">
        <v>158</v>
      </c>
      <c r="L111" s="4" t="s">
        <v>555</v>
      </c>
      <c r="M111" s="5" t="s">
        <v>157</v>
      </c>
      <c r="N111" s="4"/>
      <c r="O111" s="5" t="s">
        <v>158</v>
      </c>
      <c r="P111" s="4" t="s">
        <v>247</v>
      </c>
      <c r="Q111" s="5" t="s">
        <v>157</v>
      </c>
      <c r="R111" s="5" t="n">
        <v>0</v>
      </c>
      <c r="S111" s="5" t="s">
        <v>158</v>
      </c>
      <c r="T111" s="4"/>
      <c r="U111" s="5" t="s">
        <v>158</v>
      </c>
      <c r="V111" s="5" t="n">
        <v>0</v>
      </c>
      <c r="W111" s="5" t="s">
        <v>158</v>
      </c>
      <c r="X111" s="5" t="n">
        <v>5</v>
      </c>
      <c r="Y111" s="4" t="s">
        <v>248</v>
      </c>
    </row>
    <row r="112" customFormat="false" ht="23.85" hidden="false" customHeight="false" outlineLevel="0" collapsed="false">
      <c r="A112" s="5" t="n">
        <v>42644</v>
      </c>
      <c r="B112" s="5" t="s">
        <v>65</v>
      </c>
      <c r="C112" s="5" t="s">
        <v>356</v>
      </c>
      <c r="D112" s="4" t="s">
        <v>28</v>
      </c>
      <c r="E112" s="4" t="s">
        <v>153</v>
      </c>
      <c r="F112" s="4" t="s">
        <v>154</v>
      </c>
      <c r="G112" s="4" t="s">
        <v>556</v>
      </c>
      <c r="H112" s="4" t="s">
        <v>314</v>
      </c>
      <c r="I112" s="5" t="s">
        <v>157</v>
      </c>
      <c r="J112" s="4"/>
      <c r="K112" s="5" t="s">
        <v>158</v>
      </c>
      <c r="L112" s="4" t="s">
        <v>314</v>
      </c>
      <c r="M112" s="5" t="s">
        <v>157</v>
      </c>
      <c r="N112" s="4"/>
      <c r="O112" s="5" t="s">
        <v>158</v>
      </c>
      <c r="P112" s="4" t="s">
        <v>247</v>
      </c>
      <c r="Q112" s="5" t="s">
        <v>157</v>
      </c>
      <c r="R112" s="5" t="n">
        <v>0</v>
      </c>
      <c r="S112" s="5" t="s">
        <v>158</v>
      </c>
      <c r="T112" s="4"/>
      <c r="U112" s="5" t="s">
        <v>158</v>
      </c>
      <c r="V112" s="5" t="n">
        <v>0</v>
      </c>
      <c r="W112" s="5" t="s">
        <v>158</v>
      </c>
      <c r="X112" s="5" t="n">
        <v>5</v>
      </c>
      <c r="Y112" s="4" t="s">
        <v>248</v>
      </c>
    </row>
    <row r="113" customFormat="false" ht="23.85" hidden="false" customHeight="false" outlineLevel="0" collapsed="false">
      <c r="A113" s="5" t="n">
        <v>42645</v>
      </c>
      <c r="B113" s="5" t="s">
        <v>65</v>
      </c>
      <c r="C113" s="5" t="s">
        <v>557</v>
      </c>
      <c r="D113" s="4" t="s">
        <v>28</v>
      </c>
      <c r="E113" s="4" t="s">
        <v>153</v>
      </c>
      <c r="F113" s="4" t="s">
        <v>154</v>
      </c>
      <c r="G113" s="4" t="s">
        <v>558</v>
      </c>
      <c r="H113" s="4" t="s">
        <v>559</v>
      </c>
      <c r="I113" s="5" t="s">
        <v>157</v>
      </c>
      <c r="J113" s="4"/>
      <c r="K113" s="5" t="s">
        <v>158</v>
      </c>
      <c r="L113" s="4" t="s">
        <v>559</v>
      </c>
      <c r="M113" s="5" t="s">
        <v>157</v>
      </c>
      <c r="N113" s="4"/>
      <c r="O113" s="5" t="s">
        <v>158</v>
      </c>
      <c r="P113" s="4" t="s">
        <v>247</v>
      </c>
      <c r="Q113" s="5" t="s">
        <v>157</v>
      </c>
      <c r="R113" s="5" t="n">
        <v>0</v>
      </c>
      <c r="S113" s="5" t="s">
        <v>158</v>
      </c>
      <c r="T113" s="4"/>
      <c r="U113" s="5" t="s">
        <v>158</v>
      </c>
      <c r="V113" s="5" t="n">
        <v>0</v>
      </c>
      <c r="W113" s="5" t="s">
        <v>158</v>
      </c>
      <c r="X113" s="5" t="n">
        <v>5</v>
      </c>
      <c r="Y113" s="4" t="s">
        <v>248</v>
      </c>
    </row>
    <row r="114" customFormat="false" ht="23.85" hidden="false" customHeight="false" outlineLevel="0" collapsed="false">
      <c r="A114" s="5" t="n">
        <v>42655</v>
      </c>
      <c r="B114" s="5" t="s">
        <v>66</v>
      </c>
      <c r="C114" s="5" t="s">
        <v>560</v>
      </c>
      <c r="D114" s="4" t="s">
        <v>22</v>
      </c>
      <c r="E114" s="4" t="s">
        <v>185</v>
      </c>
      <c r="F114" s="4" t="s">
        <v>244</v>
      </c>
      <c r="G114" s="4" t="s">
        <v>561</v>
      </c>
      <c r="H114" s="4" t="s">
        <v>562</v>
      </c>
      <c r="I114" s="5" t="s">
        <v>157</v>
      </c>
      <c r="J114" s="4"/>
      <c r="K114" s="5" t="s">
        <v>158</v>
      </c>
      <c r="L114" s="4"/>
      <c r="M114" s="5" t="s">
        <v>158</v>
      </c>
      <c r="N114" s="4" t="s">
        <v>563</v>
      </c>
      <c r="O114" s="5" t="s">
        <v>157</v>
      </c>
      <c r="P114" s="4" t="s">
        <v>253</v>
      </c>
      <c r="Q114" s="5" t="s">
        <v>157</v>
      </c>
      <c r="R114" s="5" t="n">
        <v>0</v>
      </c>
      <c r="S114" s="5" t="s">
        <v>158</v>
      </c>
      <c r="T114" s="4"/>
      <c r="U114" s="5" t="s">
        <v>158</v>
      </c>
      <c r="V114" s="5" t="n">
        <v>0</v>
      </c>
      <c r="W114" s="5" t="s">
        <v>158</v>
      </c>
      <c r="X114" s="5" t="n">
        <v>5</v>
      </c>
      <c r="Y114" s="4" t="s">
        <v>254</v>
      </c>
    </row>
    <row r="115" customFormat="false" ht="23.85" hidden="false" customHeight="false" outlineLevel="0" collapsed="false">
      <c r="A115" s="5" t="n">
        <v>42658</v>
      </c>
      <c r="B115" s="5" t="s">
        <v>66</v>
      </c>
      <c r="C115" s="5" t="s">
        <v>436</v>
      </c>
      <c r="D115" s="4" t="s">
        <v>22</v>
      </c>
      <c r="E115" s="4" t="s">
        <v>185</v>
      </c>
      <c r="F115" s="4" t="s">
        <v>154</v>
      </c>
      <c r="G115" s="4" t="s">
        <v>564</v>
      </c>
      <c r="H115" s="4" t="s">
        <v>565</v>
      </c>
      <c r="I115" s="5" t="s">
        <v>157</v>
      </c>
      <c r="J115" s="4"/>
      <c r="K115" s="5" t="s">
        <v>158</v>
      </c>
      <c r="L115" s="4"/>
      <c r="M115" s="5" t="s">
        <v>158</v>
      </c>
      <c r="N115" s="4" t="s">
        <v>566</v>
      </c>
      <c r="O115" s="5" t="s">
        <v>157</v>
      </c>
      <c r="P115" s="4" t="s">
        <v>191</v>
      </c>
      <c r="Q115" s="5" t="s">
        <v>157</v>
      </c>
      <c r="R115" s="5" t="n">
        <v>0</v>
      </c>
      <c r="S115" s="5" t="s">
        <v>158</v>
      </c>
      <c r="T115" s="4" t="s">
        <v>289</v>
      </c>
      <c r="U115" s="5" t="s">
        <v>157</v>
      </c>
      <c r="V115" s="5" t="n">
        <v>0</v>
      </c>
      <c r="W115" s="5" t="s">
        <v>158</v>
      </c>
      <c r="X115" s="5" t="n">
        <v>4</v>
      </c>
      <c r="Y115" s="4" t="s">
        <v>480</v>
      </c>
    </row>
    <row r="116" customFormat="false" ht="23.85" hidden="false" customHeight="false" outlineLevel="0" collapsed="false">
      <c r="A116" s="5" t="n">
        <v>42659</v>
      </c>
      <c r="B116" s="5" t="s">
        <v>66</v>
      </c>
      <c r="C116" s="5" t="s">
        <v>567</v>
      </c>
      <c r="D116" s="4" t="s">
        <v>30</v>
      </c>
      <c r="E116" s="4" t="s">
        <v>153</v>
      </c>
      <c r="F116" s="4" t="s">
        <v>154</v>
      </c>
      <c r="G116" s="4" t="s">
        <v>568</v>
      </c>
      <c r="H116" s="4" t="s">
        <v>569</v>
      </c>
      <c r="I116" s="5" t="s">
        <v>157</v>
      </c>
      <c r="J116" s="4"/>
      <c r="K116" s="5" t="s">
        <v>158</v>
      </c>
      <c r="L116" s="4"/>
      <c r="M116" s="5" t="s">
        <v>158</v>
      </c>
      <c r="N116" s="4"/>
      <c r="O116" s="5" t="s">
        <v>158</v>
      </c>
      <c r="P116" s="4"/>
      <c r="Q116" s="5" t="s">
        <v>158</v>
      </c>
      <c r="R116" s="5" t="n">
        <v>0</v>
      </c>
      <c r="S116" s="5" t="s">
        <v>158</v>
      </c>
      <c r="T116" s="4"/>
      <c r="U116" s="5" t="s">
        <v>158</v>
      </c>
      <c r="V116" s="5" t="n">
        <v>0</v>
      </c>
      <c r="W116" s="5" t="s">
        <v>158</v>
      </c>
      <c r="X116" s="5" t="n">
        <v>7</v>
      </c>
      <c r="Y116" s="4" t="s">
        <v>320</v>
      </c>
    </row>
    <row r="117" customFormat="false" ht="23.85" hidden="false" customHeight="false" outlineLevel="0" collapsed="false">
      <c r="A117" s="5" t="n">
        <v>42660</v>
      </c>
      <c r="B117" s="5" t="s">
        <v>66</v>
      </c>
      <c r="C117" s="5" t="s">
        <v>174</v>
      </c>
      <c r="D117" s="4" t="s">
        <v>28</v>
      </c>
      <c r="E117" s="4" t="s">
        <v>153</v>
      </c>
      <c r="F117" s="4" t="s">
        <v>154</v>
      </c>
      <c r="G117" s="4" t="s">
        <v>570</v>
      </c>
      <c r="H117" s="4" t="s">
        <v>571</v>
      </c>
      <c r="I117" s="5" t="s">
        <v>157</v>
      </c>
      <c r="J117" s="4"/>
      <c r="K117" s="5" t="s">
        <v>158</v>
      </c>
      <c r="L117" s="4" t="s">
        <v>165</v>
      </c>
      <c r="M117" s="5" t="s">
        <v>157</v>
      </c>
      <c r="N117" s="4" t="s">
        <v>572</v>
      </c>
      <c r="O117" s="5" t="s">
        <v>157</v>
      </c>
      <c r="P117" s="4" t="s">
        <v>160</v>
      </c>
      <c r="Q117" s="5" t="s">
        <v>157</v>
      </c>
      <c r="R117" s="5" t="n">
        <v>0</v>
      </c>
      <c r="S117" s="5" t="s">
        <v>158</v>
      </c>
      <c r="T117" s="4"/>
      <c r="U117" s="5" t="s">
        <v>158</v>
      </c>
      <c r="V117" s="5" t="n">
        <v>0</v>
      </c>
      <c r="W117" s="5" t="s">
        <v>158</v>
      </c>
      <c r="X117" s="5" t="n">
        <v>4</v>
      </c>
      <c r="Y117" s="4" t="s">
        <v>161</v>
      </c>
    </row>
    <row r="118" customFormat="false" ht="23.85" hidden="false" customHeight="false" outlineLevel="0" collapsed="false">
      <c r="A118" s="5" t="n">
        <v>42661</v>
      </c>
      <c r="B118" s="5" t="s">
        <v>66</v>
      </c>
      <c r="C118" s="5" t="s">
        <v>573</v>
      </c>
      <c r="D118" s="4" t="s">
        <v>28</v>
      </c>
      <c r="E118" s="4" t="s">
        <v>153</v>
      </c>
      <c r="F118" s="4" t="s">
        <v>154</v>
      </c>
      <c r="G118" s="4" t="s">
        <v>574</v>
      </c>
      <c r="H118" s="4" t="s">
        <v>575</v>
      </c>
      <c r="I118" s="5" t="s">
        <v>157</v>
      </c>
      <c r="J118" s="4"/>
      <c r="K118" s="5" t="s">
        <v>158</v>
      </c>
      <c r="L118" s="4" t="s">
        <v>343</v>
      </c>
      <c r="M118" s="5" t="s">
        <v>157</v>
      </c>
      <c r="N118" s="4" t="s">
        <v>576</v>
      </c>
      <c r="O118" s="5" t="s">
        <v>157</v>
      </c>
      <c r="P118" s="4" t="s">
        <v>160</v>
      </c>
      <c r="Q118" s="5" t="s">
        <v>157</v>
      </c>
      <c r="R118" s="5" t="n">
        <v>0</v>
      </c>
      <c r="S118" s="5" t="s">
        <v>158</v>
      </c>
      <c r="T118" s="4"/>
      <c r="U118" s="5" t="s">
        <v>158</v>
      </c>
      <c r="V118" s="5" t="n">
        <v>0</v>
      </c>
      <c r="W118" s="5" t="s">
        <v>158</v>
      </c>
      <c r="X118" s="5" t="n">
        <v>4</v>
      </c>
      <c r="Y118" s="4" t="s">
        <v>161</v>
      </c>
    </row>
    <row r="119" customFormat="false" ht="23.85" hidden="false" customHeight="false" outlineLevel="0" collapsed="false">
      <c r="A119" s="5" t="n">
        <v>42662</v>
      </c>
      <c r="B119" s="5" t="s">
        <v>66</v>
      </c>
      <c r="C119" s="5" t="s">
        <v>283</v>
      </c>
      <c r="D119" s="4" t="s">
        <v>28</v>
      </c>
      <c r="E119" s="4" t="s">
        <v>153</v>
      </c>
      <c r="F119" s="4" t="s">
        <v>154</v>
      </c>
      <c r="G119" s="4" t="s">
        <v>577</v>
      </c>
      <c r="H119" s="4" t="s">
        <v>578</v>
      </c>
      <c r="I119" s="5" t="s">
        <v>157</v>
      </c>
      <c r="J119" s="4"/>
      <c r="K119" s="5" t="s">
        <v>158</v>
      </c>
      <c r="L119" s="4" t="s">
        <v>579</v>
      </c>
      <c r="M119" s="5" t="s">
        <v>157</v>
      </c>
      <c r="N119" s="4" t="s">
        <v>578</v>
      </c>
      <c r="O119" s="5" t="s">
        <v>157</v>
      </c>
      <c r="P119" s="4" t="s">
        <v>160</v>
      </c>
      <c r="Q119" s="5" t="s">
        <v>157</v>
      </c>
      <c r="R119" s="5" t="n">
        <v>0</v>
      </c>
      <c r="S119" s="5" t="s">
        <v>158</v>
      </c>
      <c r="T119" s="4"/>
      <c r="U119" s="5" t="s">
        <v>158</v>
      </c>
      <c r="V119" s="5" t="n">
        <v>0</v>
      </c>
      <c r="W119" s="5" t="s">
        <v>158</v>
      </c>
      <c r="X119" s="5" t="n">
        <v>4</v>
      </c>
      <c r="Y119" s="4" t="s">
        <v>161</v>
      </c>
    </row>
    <row r="120" customFormat="false" ht="23.85" hidden="false" customHeight="false" outlineLevel="0" collapsed="false">
      <c r="A120" s="5" t="n">
        <v>42663</v>
      </c>
      <c r="B120" s="5" t="s">
        <v>66</v>
      </c>
      <c r="C120" s="5" t="s">
        <v>580</v>
      </c>
      <c r="D120" s="4" t="s">
        <v>32</v>
      </c>
      <c r="E120" s="4" t="s">
        <v>194</v>
      </c>
      <c r="F120" s="4" t="s">
        <v>154</v>
      </c>
      <c r="G120" s="4" t="s">
        <v>581</v>
      </c>
      <c r="H120" s="4" t="s">
        <v>582</v>
      </c>
      <c r="I120" s="5" t="s">
        <v>157</v>
      </c>
      <c r="J120" s="4"/>
      <c r="K120" s="5" t="s">
        <v>158</v>
      </c>
      <c r="L120" s="4" t="s">
        <v>583</v>
      </c>
      <c r="M120" s="5" t="s">
        <v>157</v>
      </c>
      <c r="N120" s="4"/>
      <c r="O120" s="5" t="s">
        <v>158</v>
      </c>
      <c r="P120" s="4" t="s">
        <v>584</v>
      </c>
      <c r="Q120" s="5" t="s">
        <v>157</v>
      </c>
      <c r="R120" s="5" t="n">
        <v>0</v>
      </c>
      <c r="S120" s="5" t="s">
        <v>158</v>
      </c>
      <c r="T120" s="4"/>
      <c r="U120" s="5" t="s">
        <v>158</v>
      </c>
      <c r="V120" s="5" t="n">
        <v>0</v>
      </c>
      <c r="W120" s="5" t="s">
        <v>158</v>
      </c>
      <c r="X120" s="5" t="n">
        <v>5</v>
      </c>
      <c r="Y120" s="4" t="s">
        <v>248</v>
      </c>
    </row>
    <row r="121" customFormat="false" ht="23.85" hidden="false" customHeight="false" outlineLevel="0" collapsed="false">
      <c r="A121" s="5" t="n">
        <v>42664</v>
      </c>
      <c r="B121" s="5" t="s">
        <v>66</v>
      </c>
      <c r="C121" s="5" t="s">
        <v>585</v>
      </c>
      <c r="D121" s="4" t="s">
        <v>28</v>
      </c>
      <c r="E121" s="4" t="s">
        <v>153</v>
      </c>
      <c r="F121" s="4" t="s">
        <v>154</v>
      </c>
      <c r="G121" s="4" t="s">
        <v>586</v>
      </c>
      <c r="H121" s="4" t="s">
        <v>587</v>
      </c>
      <c r="I121" s="5" t="s">
        <v>157</v>
      </c>
      <c r="J121" s="4"/>
      <c r="K121" s="5" t="s">
        <v>158</v>
      </c>
      <c r="L121" s="4" t="s">
        <v>588</v>
      </c>
      <c r="M121" s="5" t="s">
        <v>157</v>
      </c>
      <c r="N121" s="4"/>
      <c r="O121" s="5" t="s">
        <v>158</v>
      </c>
      <c r="P121" s="4" t="s">
        <v>247</v>
      </c>
      <c r="Q121" s="5" t="s">
        <v>157</v>
      </c>
      <c r="R121" s="5" t="n">
        <v>0</v>
      </c>
      <c r="S121" s="5" t="s">
        <v>158</v>
      </c>
      <c r="T121" s="4"/>
      <c r="U121" s="5" t="s">
        <v>158</v>
      </c>
      <c r="V121" s="5" t="n">
        <v>0</v>
      </c>
      <c r="W121" s="5" t="s">
        <v>158</v>
      </c>
      <c r="X121" s="5" t="n">
        <v>5</v>
      </c>
      <c r="Y121" s="4" t="s">
        <v>248</v>
      </c>
    </row>
    <row r="122" customFormat="false" ht="23.85" hidden="false" customHeight="false" outlineLevel="0" collapsed="false">
      <c r="A122" s="5" t="n">
        <v>42665</v>
      </c>
      <c r="B122" s="5" t="s">
        <v>66</v>
      </c>
      <c r="C122" s="5" t="s">
        <v>589</v>
      </c>
      <c r="D122" s="4" t="s">
        <v>28</v>
      </c>
      <c r="E122" s="4" t="s">
        <v>153</v>
      </c>
      <c r="F122" s="4" t="s">
        <v>154</v>
      </c>
      <c r="G122" s="4" t="s">
        <v>590</v>
      </c>
      <c r="H122" s="4" t="s">
        <v>591</v>
      </c>
      <c r="I122" s="5" t="s">
        <v>157</v>
      </c>
      <c r="J122" s="4"/>
      <c r="K122" s="5" t="s">
        <v>158</v>
      </c>
      <c r="L122" s="4" t="s">
        <v>591</v>
      </c>
      <c r="M122" s="5" t="s">
        <v>157</v>
      </c>
      <c r="N122" s="4"/>
      <c r="O122" s="5" t="s">
        <v>158</v>
      </c>
      <c r="P122" s="4" t="s">
        <v>247</v>
      </c>
      <c r="Q122" s="5" t="s">
        <v>157</v>
      </c>
      <c r="R122" s="5" t="n">
        <v>0</v>
      </c>
      <c r="S122" s="5" t="s">
        <v>158</v>
      </c>
      <c r="T122" s="4"/>
      <c r="U122" s="5" t="s">
        <v>158</v>
      </c>
      <c r="V122" s="5" t="n">
        <v>0</v>
      </c>
      <c r="W122" s="5" t="s">
        <v>158</v>
      </c>
      <c r="X122" s="5" t="n">
        <v>5</v>
      </c>
      <c r="Y122" s="4" t="s">
        <v>248</v>
      </c>
    </row>
    <row r="123" customFormat="false" ht="23.85" hidden="false" customHeight="false" outlineLevel="0" collapsed="false">
      <c r="A123" s="5" t="n">
        <v>42666</v>
      </c>
      <c r="B123" s="5" t="s">
        <v>66</v>
      </c>
      <c r="C123" s="5" t="s">
        <v>592</v>
      </c>
      <c r="D123" s="4" t="s">
        <v>28</v>
      </c>
      <c r="E123" s="4" t="s">
        <v>153</v>
      </c>
      <c r="F123" s="4" t="s">
        <v>154</v>
      </c>
      <c r="G123" s="4" t="s">
        <v>593</v>
      </c>
      <c r="H123" s="4" t="s">
        <v>594</v>
      </c>
      <c r="I123" s="5" t="s">
        <v>157</v>
      </c>
      <c r="J123" s="4"/>
      <c r="K123" s="5" t="s">
        <v>158</v>
      </c>
      <c r="L123" s="4" t="s">
        <v>595</v>
      </c>
      <c r="M123" s="5" t="s">
        <v>157</v>
      </c>
      <c r="N123" s="4"/>
      <c r="O123" s="5" t="s">
        <v>158</v>
      </c>
      <c r="P123" s="4" t="s">
        <v>247</v>
      </c>
      <c r="Q123" s="5" t="s">
        <v>157</v>
      </c>
      <c r="R123" s="5" t="n">
        <v>0</v>
      </c>
      <c r="S123" s="5" t="s">
        <v>158</v>
      </c>
      <c r="T123" s="4"/>
      <c r="U123" s="5" t="s">
        <v>158</v>
      </c>
      <c r="V123" s="5" t="n">
        <v>0</v>
      </c>
      <c r="W123" s="5" t="s">
        <v>158</v>
      </c>
      <c r="X123" s="5" t="n">
        <v>5</v>
      </c>
      <c r="Y123" s="4" t="s">
        <v>248</v>
      </c>
    </row>
    <row r="124" customFormat="false" ht="23.85" hidden="false" customHeight="false" outlineLevel="0" collapsed="false">
      <c r="A124" s="5" t="n">
        <v>42684</v>
      </c>
      <c r="B124" s="5" t="s">
        <v>67</v>
      </c>
      <c r="C124" s="5" t="s">
        <v>596</v>
      </c>
      <c r="D124" s="4" t="s">
        <v>30</v>
      </c>
      <c r="E124" s="4" t="s">
        <v>153</v>
      </c>
      <c r="F124" s="4" t="s">
        <v>338</v>
      </c>
      <c r="G124" s="4" t="s">
        <v>597</v>
      </c>
      <c r="H124" s="4" t="s">
        <v>598</v>
      </c>
      <c r="I124" s="5" t="s">
        <v>157</v>
      </c>
      <c r="J124" s="4"/>
      <c r="K124" s="5" t="s">
        <v>158</v>
      </c>
      <c r="L124" s="4"/>
      <c r="M124" s="5" t="s">
        <v>158</v>
      </c>
      <c r="N124" s="4"/>
      <c r="O124" s="5" t="s">
        <v>158</v>
      </c>
      <c r="P124" s="4"/>
      <c r="Q124" s="5" t="s">
        <v>158</v>
      </c>
      <c r="R124" s="5" t="n">
        <v>0</v>
      </c>
      <c r="S124" s="5" t="s">
        <v>158</v>
      </c>
      <c r="T124" s="4"/>
      <c r="U124" s="5" t="s">
        <v>158</v>
      </c>
      <c r="V124" s="5" t="n">
        <v>0</v>
      </c>
      <c r="W124" s="5" t="s">
        <v>158</v>
      </c>
      <c r="X124" s="5" t="n">
        <v>7</v>
      </c>
      <c r="Y124" s="4" t="s">
        <v>320</v>
      </c>
    </row>
    <row r="125" customFormat="false" ht="23.85" hidden="false" customHeight="false" outlineLevel="0" collapsed="false">
      <c r="A125" s="5" t="n">
        <v>42685</v>
      </c>
      <c r="B125" s="5" t="s">
        <v>67</v>
      </c>
      <c r="C125" s="5" t="s">
        <v>596</v>
      </c>
      <c r="D125" s="4" t="s">
        <v>26</v>
      </c>
      <c r="E125" s="4" t="s">
        <v>194</v>
      </c>
      <c r="F125" s="4" t="s">
        <v>338</v>
      </c>
      <c r="G125" s="4" t="s">
        <v>599</v>
      </c>
      <c r="H125" s="4" t="s">
        <v>600</v>
      </c>
      <c r="I125" s="5" t="s">
        <v>157</v>
      </c>
      <c r="J125" s="4" t="s">
        <v>601</v>
      </c>
      <c r="K125" s="5" t="s">
        <v>157</v>
      </c>
      <c r="L125" s="4" t="s">
        <v>602</v>
      </c>
      <c r="M125" s="5" t="s">
        <v>157</v>
      </c>
      <c r="N125" s="4" t="s">
        <v>603</v>
      </c>
      <c r="O125" s="5" t="s">
        <v>157</v>
      </c>
      <c r="P125" s="4" t="s">
        <v>604</v>
      </c>
      <c r="Q125" s="5" t="s">
        <v>157</v>
      </c>
      <c r="R125" s="5" t="n">
        <v>2</v>
      </c>
      <c r="S125" s="5" t="s">
        <v>157</v>
      </c>
      <c r="T125" s="4" t="s">
        <v>605</v>
      </c>
      <c r="U125" s="5" t="s">
        <v>157</v>
      </c>
      <c r="V125" s="5" t="n">
        <v>64</v>
      </c>
      <c r="W125" s="5" t="s">
        <v>157</v>
      </c>
      <c r="X125" s="5" t="n">
        <v>0</v>
      </c>
      <c r="Y125" s="4" t="s">
        <v>203</v>
      </c>
    </row>
    <row r="126" customFormat="false" ht="23.85" hidden="false" customHeight="false" outlineLevel="0" collapsed="false">
      <c r="A126" s="5" t="n">
        <v>42687</v>
      </c>
      <c r="B126" s="5" t="s">
        <v>67</v>
      </c>
      <c r="C126" s="5" t="s">
        <v>606</v>
      </c>
      <c r="D126" s="4" t="s">
        <v>28</v>
      </c>
      <c r="E126" s="4" t="s">
        <v>153</v>
      </c>
      <c r="F126" s="4" t="s">
        <v>154</v>
      </c>
      <c r="G126" s="4" t="s">
        <v>607</v>
      </c>
      <c r="H126" s="4" t="s">
        <v>408</v>
      </c>
      <c r="I126" s="5" t="s">
        <v>157</v>
      </c>
      <c r="J126" s="4"/>
      <c r="K126" s="5" t="s">
        <v>158</v>
      </c>
      <c r="L126" s="4" t="s">
        <v>165</v>
      </c>
      <c r="M126" s="5" t="s">
        <v>157</v>
      </c>
      <c r="N126" s="4" t="s">
        <v>608</v>
      </c>
      <c r="O126" s="5" t="s">
        <v>157</v>
      </c>
      <c r="P126" s="4" t="s">
        <v>160</v>
      </c>
      <c r="Q126" s="5" t="s">
        <v>157</v>
      </c>
      <c r="R126" s="5" t="n">
        <v>0</v>
      </c>
      <c r="S126" s="5" t="s">
        <v>158</v>
      </c>
      <c r="T126" s="4"/>
      <c r="U126" s="5" t="s">
        <v>158</v>
      </c>
      <c r="V126" s="5" t="n">
        <v>0</v>
      </c>
      <c r="W126" s="5" t="s">
        <v>158</v>
      </c>
      <c r="X126" s="5" t="n">
        <v>4</v>
      </c>
      <c r="Y126" s="4" t="s">
        <v>161</v>
      </c>
    </row>
    <row r="127" customFormat="false" ht="23.85" hidden="false" customHeight="false" outlineLevel="0" collapsed="false">
      <c r="A127" s="5" t="n">
        <v>42688</v>
      </c>
      <c r="B127" s="5" t="s">
        <v>67</v>
      </c>
      <c r="C127" s="5" t="s">
        <v>609</v>
      </c>
      <c r="D127" s="4" t="s">
        <v>28</v>
      </c>
      <c r="E127" s="4" t="s">
        <v>153</v>
      </c>
      <c r="F127" s="4" t="s">
        <v>154</v>
      </c>
      <c r="G127" s="4" t="s">
        <v>610</v>
      </c>
      <c r="H127" s="4" t="s">
        <v>611</v>
      </c>
      <c r="I127" s="5" t="s">
        <v>157</v>
      </c>
      <c r="J127" s="4"/>
      <c r="K127" s="5" t="s">
        <v>158</v>
      </c>
      <c r="L127" s="4"/>
      <c r="M127" s="5" t="s">
        <v>158</v>
      </c>
      <c r="N127" s="4"/>
      <c r="O127" s="5" t="s">
        <v>158</v>
      </c>
      <c r="P127" s="4" t="s">
        <v>160</v>
      </c>
      <c r="Q127" s="5" t="s">
        <v>157</v>
      </c>
      <c r="R127" s="5" t="n">
        <v>0</v>
      </c>
      <c r="S127" s="5" t="s">
        <v>158</v>
      </c>
      <c r="T127" s="4"/>
      <c r="U127" s="5" t="s">
        <v>158</v>
      </c>
      <c r="V127" s="5" t="n">
        <v>0</v>
      </c>
      <c r="W127" s="5" t="s">
        <v>158</v>
      </c>
      <c r="X127" s="5" t="n">
        <v>6</v>
      </c>
      <c r="Y127" s="4" t="s">
        <v>183</v>
      </c>
    </row>
    <row r="128" customFormat="false" ht="23.85" hidden="false" customHeight="false" outlineLevel="0" collapsed="false">
      <c r="A128" s="5" t="n">
        <v>42689</v>
      </c>
      <c r="B128" s="5" t="s">
        <v>67</v>
      </c>
      <c r="C128" s="5" t="s">
        <v>612</v>
      </c>
      <c r="D128" s="4" t="s">
        <v>28</v>
      </c>
      <c r="E128" s="4" t="s">
        <v>153</v>
      </c>
      <c r="F128" s="4" t="s">
        <v>154</v>
      </c>
      <c r="G128" s="4" t="s">
        <v>613</v>
      </c>
      <c r="H128" s="4" t="s">
        <v>614</v>
      </c>
      <c r="I128" s="5" t="s">
        <v>157</v>
      </c>
      <c r="J128" s="4"/>
      <c r="K128" s="5" t="s">
        <v>158</v>
      </c>
      <c r="L128" s="4" t="s">
        <v>355</v>
      </c>
      <c r="M128" s="5" t="s">
        <v>157</v>
      </c>
      <c r="N128" s="4" t="s">
        <v>615</v>
      </c>
      <c r="O128" s="5" t="s">
        <v>157</v>
      </c>
      <c r="P128" s="4" t="s">
        <v>160</v>
      </c>
      <c r="Q128" s="5" t="s">
        <v>157</v>
      </c>
      <c r="R128" s="5" t="n">
        <v>0</v>
      </c>
      <c r="S128" s="5" t="s">
        <v>158</v>
      </c>
      <c r="T128" s="4"/>
      <c r="U128" s="5" t="s">
        <v>158</v>
      </c>
      <c r="V128" s="5" t="n">
        <v>0</v>
      </c>
      <c r="W128" s="5" t="s">
        <v>158</v>
      </c>
      <c r="X128" s="5" t="n">
        <v>4</v>
      </c>
      <c r="Y128" s="4" t="s">
        <v>161</v>
      </c>
    </row>
    <row r="129" customFormat="false" ht="23.85" hidden="false" customHeight="false" outlineLevel="0" collapsed="false">
      <c r="A129" s="5" t="n">
        <v>42690</v>
      </c>
      <c r="B129" s="5" t="s">
        <v>67</v>
      </c>
      <c r="C129" s="5" t="s">
        <v>414</v>
      </c>
      <c r="D129" s="4" t="s">
        <v>28</v>
      </c>
      <c r="E129" s="4" t="s">
        <v>153</v>
      </c>
      <c r="F129" s="4" t="s">
        <v>154</v>
      </c>
      <c r="G129" s="4" t="s">
        <v>361</v>
      </c>
      <c r="H129" s="4" t="s">
        <v>362</v>
      </c>
      <c r="I129" s="5" t="s">
        <v>157</v>
      </c>
      <c r="J129" s="4"/>
      <c r="K129" s="5" t="s">
        <v>158</v>
      </c>
      <c r="L129" s="4" t="s">
        <v>362</v>
      </c>
      <c r="M129" s="5" t="s">
        <v>157</v>
      </c>
      <c r="N129" s="4"/>
      <c r="O129" s="5" t="s">
        <v>158</v>
      </c>
      <c r="P129" s="4" t="s">
        <v>160</v>
      </c>
      <c r="Q129" s="5" t="s">
        <v>157</v>
      </c>
      <c r="R129" s="5" t="n">
        <v>0</v>
      </c>
      <c r="S129" s="5" t="s">
        <v>158</v>
      </c>
      <c r="T129" s="4"/>
      <c r="U129" s="5" t="s">
        <v>158</v>
      </c>
      <c r="V129" s="5" t="n">
        <v>0</v>
      </c>
      <c r="W129" s="5" t="s">
        <v>158</v>
      </c>
      <c r="X129" s="5" t="n">
        <v>5</v>
      </c>
      <c r="Y129" s="4" t="s">
        <v>248</v>
      </c>
    </row>
    <row r="130" customFormat="false" ht="23.85" hidden="false" customHeight="false" outlineLevel="0" collapsed="false">
      <c r="A130" s="5" t="n">
        <v>42691</v>
      </c>
      <c r="B130" s="5" t="s">
        <v>67</v>
      </c>
      <c r="C130" s="5" t="s">
        <v>418</v>
      </c>
      <c r="D130" s="4" t="s">
        <v>28</v>
      </c>
      <c r="E130" s="4" t="s">
        <v>153</v>
      </c>
      <c r="F130" s="4" t="s">
        <v>154</v>
      </c>
      <c r="G130" s="4" t="s">
        <v>616</v>
      </c>
      <c r="H130" s="4" t="s">
        <v>617</v>
      </c>
      <c r="I130" s="5" t="s">
        <v>157</v>
      </c>
      <c r="J130" s="4"/>
      <c r="K130" s="5" t="s">
        <v>158</v>
      </c>
      <c r="L130" s="4" t="s">
        <v>618</v>
      </c>
      <c r="M130" s="5" t="s">
        <v>157</v>
      </c>
      <c r="N130" s="4" t="s">
        <v>617</v>
      </c>
      <c r="O130" s="5" t="s">
        <v>157</v>
      </c>
      <c r="P130" s="4" t="s">
        <v>160</v>
      </c>
      <c r="Q130" s="5" t="s">
        <v>157</v>
      </c>
      <c r="R130" s="5" t="n">
        <v>0</v>
      </c>
      <c r="S130" s="5" t="s">
        <v>158</v>
      </c>
      <c r="T130" s="4"/>
      <c r="U130" s="5" t="s">
        <v>158</v>
      </c>
      <c r="V130" s="5" t="n">
        <v>0</v>
      </c>
      <c r="W130" s="5" t="s">
        <v>158</v>
      </c>
      <c r="X130" s="5" t="n">
        <v>4</v>
      </c>
      <c r="Y130" s="4" t="s">
        <v>161</v>
      </c>
    </row>
    <row r="131" customFormat="false" ht="23.85" hidden="false" customHeight="false" outlineLevel="0" collapsed="false">
      <c r="A131" s="5" t="n">
        <v>42699</v>
      </c>
      <c r="B131" s="5" t="s">
        <v>68</v>
      </c>
      <c r="C131" s="5" t="s">
        <v>193</v>
      </c>
      <c r="D131" s="4" t="s">
        <v>22</v>
      </c>
      <c r="E131" s="4" t="s">
        <v>185</v>
      </c>
      <c r="F131" s="4" t="s">
        <v>154</v>
      </c>
      <c r="G131" s="4" t="s">
        <v>619</v>
      </c>
      <c r="H131" s="4" t="s">
        <v>620</v>
      </c>
      <c r="I131" s="5" t="s">
        <v>157</v>
      </c>
      <c r="J131" s="4" t="s">
        <v>621</v>
      </c>
      <c r="K131" s="5" t="s">
        <v>157</v>
      </c>
      <c r="L131" s="4"/>
      <c r="M131" s="5" t="s">
        <v>158</v>
      </c>
      <c r="N131" s="4" t="s">
        <v>622</v>
      </c>
      <c r="O131" s="5" t="s">
        <v>157</v>
      </c>
      <c r="P131" s="4"/>
      <c r="Q131" s="5" t="s">
        <v>158</v>
      </c>
      <c r="R131" s="5" t="n">
        <v>0</v>
      </c>
      <c r="S131" s="5" t="s">
        <v>158</v>
      </c>
      <c r="T131" s="4"/>
      <c r="U131" s="5" t="s">
        <v>158</v>
      </c>
      <c r="V131" s="5" t="n">
        <v>0</v>
      </c>
      <c r="W131" s="5" t="s">
        <v>158</v>
      </c>
      <c r="X131" s="5" t="n">
        <v>5</v>
      </c>
      <c r="Y131" s="4" t="s">
        <v>623</v>
      </c>
    </row>
    <row r="132" customFormat="false" ht="23.85" hidden="false" customHeight="false" outlineLevel="0" collapsed="false">
      <c r="A132" s="5" t="n">
        <v>42707</v>
      </c>
      <c r="B132" s="5" t="s">
        <v>68</v>
      </c>
      <c r="C132" s="5" t="s">
        <v>624</v>
      </c>
      <c r="D132" s="4" t="s">
        <v>18</v>
      </c>
      <c r="E132" s="4" t="s">
        <v>194</v>
      </c>
      <c r="F132" s="4" t="s">
        <v>154</v>
      </c>
      <c r="G132" s="4" t="s">
        <v>625</v>
      </c>
      <c r="H132" s="4" t="s">
        <v>626</v>
      </c>
      <c r="I132" s="5" t="s">
        <v>157</v>
      </c>
      <c r="J132" s="4"/>
      <c r="K132" s="5" t="s">
        <v>158</v>
      </c>
      <c r="L132" s="4"/>
      <c r="M132" s="5" t="s">
        <v>158</v>
      </c>
      <c r="N132" s="4"/>
      <c r="O132" s="5" t="s">
        <v>158</v>
      </c>
      <c r="P132" s="4"/>
      <c r="Q132" s="5" t="s">
        <v>158</v>
      </c>
      <c r="R132" s="5" t="n">
        <v>0</v>
      </c>
      <c r="S132" s="5" t="s">
        <v>158</v>
      </c>
      <c r="T132" s="4"/>
      <c r="U132" s="5" t="s">
        <v>158</v>
      </c>
      <c r="V132" s="5" t="n">
        <v>0</v>
      </c>
      <c r="W132" s="5" t="s">
        <v>158</v>
      </c>
      <c r="X132" s="5" t="n">
        <v>7</v>
      </c>
      <c r="Y132" s="4" t="s">
        <v>320</v>
      </c>
    </row>
    <row r="133" customFormat="false" ht="23.85" hidden="false" customHeight="false" outlineLevel="0" collapsed="false">
      <c r="A133" s="5" t="n">
        <v>42712</v>
      </c>
      <c r="B133" s="5" t="s">
        <v>70</v>
      </c>
      <c r="C133" s="5" t="s">
        <v>627</v>
      </c>
      <c r="D133" s="4" t="s">
        <v>22</v>
      </c>
      <c r="E133" s="4" t="s">
        <v>185</v>
      </c>
      <c r="F133" s="4" t="s">
        <v>154</v>
      </c>
      <c r="G133" s="4" t="s">
        <v>628</v>
      </c>
      <c r="H133" s="4" t="s">
        <v>629</v>
      </c>
      <c r="I133" s="5" t="s">
        <v>157</v>
      </c>
      <c r="J133" s="4"/>
      <c r="K133" s="5" t="s">
        <v>158</v>
      </c>
      <c r="L133" s="4"/>
      <c r="M133" s="5" t="s">
        <v>158</v>
      </c>
      <c r="N133" s="4" t="s">
        <v>630</v>
      </c>
      <c r="O133" s="5" t="s">
        <v>157</v>
      </c>
      <c r="P133" s="4" t="s">
        <v>191</v>
      </c>
      <c r="Q133" s="5" t="s">
        <v>157</v>
      </c>
      <c r="R133" s="5" t="n">
        <v>0</v>
      </c>
      <c r="S133" s="5" t="s">
        <v>158</v>
      </c>
      <c r="T133" s="4" t="s">
        <v>518</v>
      </c>
      <c r="U133" s="5" t="s">
        <v>157</v>
      </c>
      <c r="V133" s="5" t="n">
        <v>68</v>
      </c>
      <c r="W133" s="5" t="s">
        <v>157</v>
      </c>
      <c r="X133" s="5" t="n">
        <v>3</v>
      </c>
      <c r="Y133" s="4" t="s">
        <v>631</v>
      </c>
    </row>
    <row r="134" customFormat="false" ht="23.85" hidden="false" customHeight="false" outlineLevel="0" collapsed="false">
      <c r="A134" s="5" t="n">
        <v>42721</v>
      </c>
      <c r="B134" s="5" t="s">
        <v>70</v>
      </c>
      <c r="C134" s="5" t="s">
        <v>632</v>
      </c>
      <c r="D134" s="4" t="s">
        <v>28</v>
      </c>
      <c r="E134" s="4" t="s">
        <v>153</v>
      </c>
      <c r="F134" s="4" t="s">
        <v>154</v>
      </c>
      <c r="G134" s="4" t="s">
        <v>361</v>
      </c>
      <c r="H134" s="4" t="s">
        <v>362</v>
      </c>
      <c r="I134" s="5" t="s">
        <v>157</v>
      </c>
      <c r="J134" s="4"/>
      <c r="K134" s="5" t="s">
        <v>158</v>
      </c>
      <c r="L134" s="4" t="s">
        <v>362</v>
      </c>
      <c r="M134" s="5" t="s">
        <v>157</v>
      </c>
      <c r="N134" s="4"/>
      <c r="O134" s="5" t="s">
        <v>158</v>
      </c>
      <c r="P134" s="4" t="s">
        <v>160</v>
      </c>
      <c r="Q134" s="5" t="s">
        <v>157</v>
      </c>
      <c r="R134" s="5" t="n">
        <v>0</v>
      </c>
      <c r="S134" s="5" t="s">
        <v>158</v>
      </c>
      <c r="T134" s="4"/>
      <c r="U134" s="5" t="s">
        <v>158</v>
      </c>
      <c r="V134" s="5" t="n">
        <v>0</v>
      </c>
      <c r="W134" s="5" t="s">
        <v>158</v>
      </c>
      <c r="X134" s="5" t="n">
        <v>5</v>
      </c>
      <c r="Y134" s="4" t="s">
        <v>248</v>
      </c>
    </row>
    <row r="135" customFormat="false" ht="23.85" hidden="false" customHeight="false" outlineLevel="0" collapsed="false">
      <c r="A135" s="5" t="n">
        <v>42722</v>
      </c>
      <c r="B135" s="5" t="s">
        <v>70</v>
      </c>
      <c r="C135" s="5" t="s">
        <v>633</v>
      </c>
      <c r="D135" s="4" t="s">
        <v>28</v>
      </c>
      <c r="E135" s="4" t="s">
        <v>153</v>
      </c>
      <c r="F135" s="4" t="s">
        <v>154</v>
      </c>
      <c r="G135" s="4" t="s">
        <v>556</v>
      </c>
      <c r="H135" s="4" t="s">
        <v>314</v>
      </c>
      <c r="I135" s="5" t="s">
        <v>157</v>
      </c>
      <c r="J135" s="4"/>
      <c r="K135" s="5" t="s">
        <v>158</v>
      </c>
      <c r="L135" s="4" t="s">
        <v>314</v>
      </c>
      <c r="M135" s="5" t="s">
        <v>157</v>
      </c>
      <c r="N135" s="4" t="s">
        <v>634</v>
      </c>
      <c r="O135" s="5" t="s">
        <v>157</v>
      </c>
      <c r="P135" s="4" t="s">
        <v>160</v>
      </c>
      <c r="Q135" s="5" t="s">
        <v>157</v>
      </c>
      <c r="R135" s="5" t="n">
        <v>0</v>
      </c>
      <c r="S135" s="5" t="s">
        <v>158</v>
      </c>
      <c r="T135" s="4"/>
      <c r="U135" s="5" t="s">
        <v>158</v>
      </c>
      <c r="V135" s="5" t="n">
        <v>0</v>
      </c>
      <c r="W135" s="5" t="s">
        <v>158</v>
      </c>
      <c r="X135" s="5" t="n">
        <v>4</v>
      </c>
      <c r="Y135" s="4" t="s">
        <v>161</v>
      </c>
    </row>
    <row r="136" customFormat="false" ht="23.85" hidden="false" customHeight="false" outlineLevel="0" collapsed="false">
      <c r="A136" s="5" t="n">
        <v>42723</v>
      </c>
      <c r="B136" s="5" t="s">
        <v>70</v>
      </c>
      <c r="C136" s="5" t="s">
        <v>635</v>
      </c>
      <c r="D136" s="4" t="s">
        <v>28</v>
      </c>
      <c r="E136" s="4" t="s">
        <v>153</v>
      </c>
      <c r="F136" s="4" t="s">
        <v>154</v>
      </c>
      <c r="G136" s="4" t="s">
        <v>636</v>
      </c>
      <c r="H136" s="4" t="s">
        <v>637</v>
      </c>
      <c r="I136" s="5" t="s">
        <v>157</v>
      </c>
      <c r="J136" s="4"/>
      <c r="K136" s="5" t="s">
        <v>158</v>
      </c>
      <c r="L136" s="4" t="s">
        <v>638</v>
      </c>
      <c r="M136" s="5" t="s">
        <v>157</v>
      </c>
      <c r="N136" s="4" t="s">
        <v>639</v>
      </c>
      <c r="O136" s="5" t="s">
        <v>157</v>
      </c>
      <c r="P136" s="4" t="s">
        <v>160</v>
      </c>
      <c r="Q136" s="5" t="s">
        <v>157</v>
      </c>
      <c r="R136" s="5" t="n">
        <v>0</v>
      </c>
      <c r="S136" s="5" t="s">
        <v>158</v>
      </c>
      <c r="T136" s="4"/>
      <c r="U136" s="5" t="s">
        <v>158</v>
      </c>
      <c r="V136" s="5" t="n">
        <v>0</v>
      </c>
      <c r="W136" s="5" t="s">
        <v>158</v>
      </c>
      <c r="X136" s="5" t="n">
        <v>4</v>
      </c>
      <c r="Y136" s="4" t="s">
        <v>161</v>
      </c>
    </row>
    <row r="137" customFormat="false" ht="23.85" hidden="false" customHeight="false" outlineLevel="0" collapsed="false">
      <c r="A137" s="5" t="n">
        <v>42724</v>
      </c>
      <c r="B137" s="5" t="s">
        <v>70</v>
      </c>
      <c r="C137" s="5" t="s">
        <v>640</v>
      </c>
      <c r="D137" s="4" t="s">
        <v>28</v>
      </c>
      <c r="E137" s="4" t="s">
        <v>153</v>
      </c>
      <c r="F137" s="4" t="s">
        <v>154</v>
      </c>
      <c r="G137" s="4" t="s">
        <v>377</v>
      </c>
      <c r="H137" s="4" t="s">
        <v>378</v>
      </c>
      <c r="I137" s="5" t="s">
        <v>157</v>
      </c>
      <c r="J137" s="4"/>
      <c r="K137" s="5" t="s">
        <v>158</v>
      </c>
      <c r="L137" s="4" t="s">
        <v>379</v>
      </c>
      <c r="M137" s="5" t="s">
        <v>157</v>
      </c>
      <c r="N137" s="4" t="s">
        <v>378</v>
      </c>
      <c r="O137" s="5" t="s">
        <v>157</v>
      </c>
      <c r="P137" s="4" t="s">
        <v>160</v>
      </c>
      <c r="Q137" s="5" t="s">
        <v>157</v>
      </c>
      <c r="R137" s="5" t="n">
        <v>0</v>
      </c>
      <c r="S137" s="5" t="s">
        <v>158</v>
      </c>
      <c r="T137" s="4"/>
      <c r="U137" s="5" t="s">
        <v>158</v>
      </c>
      <c r="V137" s="5" t="n">
        <v>0</v>
      </c>
      <c r="W137" s="5" t="s">
        <v>158</v>
      </c>
      <c r="X137" s="5" t="n">
        <v>4</v>
      </c>
      <c r="Y137" s="4" t="s">
        <v>161</v>
      </c>
    </row>
    <row r="138" customFormat="false" ht="23.85" hidden="false" customHeight="false" outlineLevel="0" collapsed="false">
      <c r="A138" s="5" t="n">
        <v>42725</v>
      </c>
      <c r="B138" s="5" t="s">
        <v>70</v>
      </c>
      <c r="C138" s="5" t="s">
        <v>641</v>
      </c>
      <c r="D138" s="4" t="s">
        <v>28</v>
      </c>
      <c r="E138" s="4" t="s">
        <v>153</v>
      </c>
      <c r="F138" s="4" t="s">
        <v>154</v>
      </c>
      <c r="G138" s="4" t="s">
        <v>642</v>
      </c>
      <c r="H138" s="4" t="s">
        <v>472</v>
      </c>
      <c r="I138" s="5" t="s">
        <v>157</v>
      </c>
      <c r="J138" s="4"/>
      <c r="K138" s="5" t="s">
        <v>158</v>
      </c>
      <c r="L138" s="4" t="s">
        <v>643</v>
      </c>
      <c r="M138" s="5" t="s">
        <v>157</v>
      </c>
      <c r="N138" s="4"/>
      <c r="O138" s="5" t="s">
        <v>158</v>
      </c>
      <c r="P138" s="4" t="s">
        <v>160</v>
      </c>
      <c r="Q138" s="5" t="s">
        <v>157</v>
      </c>
      <c r="R138" s="5" t="n">
        <v>0</v>
      </c>
      <c r="S138" s="5" t="s">
        <v>158</v>
      </c>
      <c r="T138" s="4"/>
      <c r="U138" s="5" t="s">
        <v>158</v>
      </c>
      <c r="V138" s="5" t="n">
        <v>0</v>
      </c>
      <c r="W138" s="5" t="s">
        <v>158</v>
      </c>
      <c r="X138" s="5" t="n">
        <v>5</v>
      </c>
      <c r="Y138" s="4" t="s">
        <v>248</v>
      </c>
    </row>
    <row r="139" customFormat="false" ht="23.85" hidden="false" customHeight="false" outlineLevel="0" collapsed="false">
      <c r="A139" s="5" t="n">
        <v>42726</v>
      </c>
      <c r="B139" s="5" t="s">
        <v>70</v>
      </c>
      <c r="C139" s="5" t="s">
        <v>419</v>
      </c>
      <c r="D139" s="4" t="s">
        <v>30</v>
      </c>
      <c r="E139" s="4" t="s">
        <v>153</v>
      </c>
      <c r="F139" s="4" t="s">
        <v>338</v>
      </c>
      <c r="G139" s="4" t="s">
        <v>644</v>
      </c>
      <c r="H139" s="4" t="s">
        <v>644</v>
      </c>
      <c r="I139" s="5" t="s">
        <v>157</v>
      </c>
      <c r="J139" s="4"/>
      <c r="K139" s="5" t="s">
        <v>158</v>
      </c>
      <c r="L139" s="4"/>
      <c r="M139" s="5" t="s">
        <v>158</v>
      </c>
      <c r="N139" s="4"/>
      <c r="O139" s="5" t="s">
        <v>158</v>
      </c>
      <c r="P139" s="4"/>
      <c r="Q139" s="5" t="s">
        <v>158</v>
      </c>
      <c r="R139" s="5" t="n">
        <v>0</v>
      </c>
      <c r="S139" s="5" t="s">
        <v>158</v>
      </c>
      <c r="T139" s="4"/>
      <c r="U139" s="5" t="s">
        <v>158</v>
      </c>
      <c r="V139" s="5" t="n">
        <v>0</v>
      </c>
      <c r="W139" s="5" t="s">
        <v>158</v>
      </c>
      <c r="X139" s="5" t="n">
        <v>7</v>
      </c>
      <c r="Y139" s="4" t="s">
        <v>320</v>
      </c>
    </row>
    <row r="140" customFormat="false" ht="23.85" hidden="false" customHeight="false" outlineLevel="0" collapsed="false">
      <c r="A140" s="5" t="n">
        <v>42738</v>
      </c>
      <c r="B140" s="5" t="s">
        <v>71</v>
      </c>
      <c r="C140" s="5" t="s">
        <v>485</v>
      </c>
      <c r="D140" s="4" t="s">
        <v>28</v>
      </c>
      <c r="E140" s="4" t="s">
        <v>153</v>
      </c>
      <c r="F140" s="4" t="s">
        <v>154</v>
      </c>
      <c r="G140" s="4" t="s">
        <v>226</v>
      </c>
      <c r="H140" s="4" t="s">
        <v>223</v>
      </c>
      <c r="I140" s="5" t="s">
        <v>157</v>
      </c>
      <c r="J140" s="4"/>
      <c r="K140" s="5" t="s">
        <v>158</v>
      </c>
      <c r="L140" s="4" t="s">
        <v>368</v>
      </c>
      <c r="M140" s="5" t="s">
        <v>157</v>
      </c>
      <c r="N140" s="4" t="s">
        <v>223</v>
      </c>
      <c r="O140" s="5" t="s">
        <v>157</v>
      </c>
      <c r="P140" s="4" t="s">
        <v>160</v>
      </c>
      <c r="Q140" s="5" t="s">
        <v>157</v>
      </c>
      <c r="R140" s="5" t="n">
        <v>0</v>
      </c>
      <c r="S140" s="5" t="s">
        <v>158</v>
      </c>
      <c r="T140" s="4"/>
      <c r="U140" s="5" t="s">
        <v>158</v>
      </c>
      <c r="V140" s="5" t="n">
        <v>0</v>
      </c>
      <c r="W140" s="5" t="s">
        <v>158</v>
      </c>
      <c r="X140" s="5" t="n">
        <v>4</v>
      </c>
      <c r="Y140" s="4" t="s">
        <v>161</v>
      </c>
    </row>
    <row r="141" customFormat="false" ht="23.85" hidden="false" customHeight="false" outlineLevel="0" collapsed="false">
      <c r="A141" s="5" t="n">
        <v>42739</v>
      </c>
      <c r="B141" s="5" t="s">
        <v>71</v>
      </c>
      <c r="C141" s="5" t="s">
        <v>340</v>
      </c>
      <c r="D141" s="4" t="s">
        <v>28</v>
      </c>
      <c r="E141" s="4" t="s">
        <v>153</v>
      </c>
      <c r="F141" s="4" t="s">
        <v>154</v>
      </c>
      <c r="G141" s="4" t="s">
        <v>645</v>
      </c>
      <c r="H141" s="4" t="s">
        <v>646</v>
      </c>
      <c r="I141" s="5" t="s">
        <v>157</v>
      </c>
      <c r="J141" s="4"/>
      <c r="K141" s="5" t="s">
        <v>158</v>
      </c>
      <c r="L141" s="4" t="s">
        <v>314</v>
      </c>
      <c r="M141" s="5" t="s">
        <v>157</v>
      </c>
      <c r="N141" s="4" t="s">
        <v>647</v>
      </c>
      <c r="O141" s="5" t="s">
        <v>157</v>
      </c>
      <c r="P141" s="4" t="s">
        <v>160</v>
      </c>
      <c r="Q141" s="5" t="s">
        <v>157</v>
      </c>
      <c r="R141" s="5" t="n">
        <v>0</v>
      </c>
      <c r="S141" s="5" t="s">
        <v>158</v>
      </c>
      <c r="T141" s="4"/>
      <c r="U141" s="5" t="s">
        <v>158</v>
      </c>
      <c r="V141" s="5" t="n">
        <v>0</v>
      </c>
      <c r="W141" s="5" t="s">
        <v>158</v>
      </c>
      <c r="X141" s="5" t="n">
        <v>4</v>
      </c>
      <c r="Y141" s="4" t="s">
        <v>161</v>
      </c>
    </row>
    <row r="142" customFormat="false" ht="23.85" hidden="false" customHeight="false" outlineLevel="0" collapsed="false">
      <c r="A142" s="5" t="n">
        <v>42740</v>
      </c>
      <c r="B142" s="5" t="s">
        <v>71</v>
      </c>
      <c r="C142" s="5" t="s">
        <v>344</v>
      </c>
      <c r="D142" s="4" t="s">
        <v>28</v>
      </c>
      <c r="E142" s="4" t="s">
        <v>153</v>
      </c>
      <c r="F142" s="4" t="s">
        <v>154</v>
      </c>
      <c r="G142" s="4" t="s">
        <v>648</v>
      </c>
      <c r="H142" s="4" t="s">
        <v>649</v>
      </c>
      <c r="I142" s="5" t="s">
        <v>157</v>
      </c>
      <c r="J142" s="4"/>
      <c r="K142" s="5" t="s">
        <v>158</v>
      </c>
      <c r="L142" s="4" t="s">
        <v>650</v>
      </c>
      <c r="M142" s="5" t="s">
        <v>157</v>
      </c>
      <c r="N142" s="4" t="s">
        <v>649</v>
      </c>
      <c r="O142" s="5" t="s">
        <v>157</v>
      </c>
      <c r="P142" s="4" t="s">
        <v>160</v>
      </c>
      <c r="Q142" s="5" t="s">
        <v>157</v>
      </c>
      <c r="R142" s="5" t="n">
        <v>0</v>
      </c>
      <c r="S142" s="5" t="s">
        <v>158</v>
      </c>
      <c r="T142" s="4"/>
      <c r="U142" s="5" t="s">
        <v>158</v>
      </c>
      <c r="V142" s="5" t="n">
        <v>0</v>
      </c>
      <c r="W142" s="5" t="s">
        <v>158</v>
      </c>
      <c r="X142" s="5" t="n">
        <v>4</v>
      </c>
      <c r="Y142" s="4" t="s">
        <v>161</v>
      </c>
    </row>
    <row r="143" customFormat="false" ht="23.85" hidden="false" customHeight="false" outlineLevel="0" collapsed="false">
      <c r="A143" s="5" t="n">
        <v>42741</v>
      </c>
      <c r="B143" s="5" t="s">
        <v>71</v>
      </c>
      <c r="C143" s="5" t="s">
        <v>162</v>
      </c>
      <c r="D143" s="4" t="s">
        <v>28</v>
      </c>
      <c r="E143" s="4" t="s">
        <v>153</v>
      </c>
      <c r="F143" s="4" t="s">
        <v>154</v>
      </c>
      <c r="G143" s="4" t="s">
        <v>651</v>
      </c>
      <c r="H143" s="4" t="s">
        <v>652</v>
      </c>
      <c r="I143" s="5" t="s">
        <v>157</v>
      </c>
      <c r="J143" s="4"/>
      <c r="K143" s="5" t="s">
        <v>158</v>
      </c>
      <c r="L143" s="4" t="s">
        <v>653</v>
      </c>
      <c r="M143" s="5" t="s">
        <v>157</v>
      </c>
      <c r="N143" s="4" t="s">
        <v>652</v>
      </c>
      <c r="O143" s="5" t="s">
        <v>157</v>
      </c>
      <c r="P143" s="4" t="s">
        <v>160</v>
      </c>
      <c r="Q143" s="5" t="s">
        <v>157</v>
      </c>
      <c r="R143" s="5" t="n">
        <v>0</v>
      </c>
      <c r="S143" s="5" t="s">
        <v>158</v>
      </c>
      <c r="T143" s="4"/>
      <c r="U143" s="5" t="s">
        <v>158</v>
      </c>
      <c r="V143" s="5" t="n">
        <v>0</v>
      </c>
      <c r="W143" s="5" t="s">
        <v>158</v>
      </c>
      <c r="X143" s="5" t="n">
        <v>4</v>
      </c>
      <c r="Y143" s="4" t="s">
        <v>161</v>
      </c>
    </row>
    <row r="144" customFormat="false" ht="23.85" hidden="false" customHeight="false" outlineLevel="0" collapsed="false">
      <c r="A144" s="5" t="n">
        <v>42742</v>
      </c>
      <c r="B144" s="5" t="s">
        <v>71</v>
      </c>
      <c r="C144" s="5" t="s">
        <v>356</v>
      </c>
      <c r="D144" s="4" t="s">
        <v>28</v>
      </c>
      <c r="E144" s="4" t="s">
        <v>153</v>
      </c>
      <c r="F144" s="4" t="s">
        <v>154</v>
      </c>
      <c r="G144" s="4" t="s">
        <v>654</v>
      </c>
      <c r="H144" s="4" t="s">
        <v>655</v>
      </c>
      <c r="I144" s="5" t="s">
        <v>157</v>
      </c>
      <c r="J144" s="4"/>
      <c r="K144" s="5" t="s">
        <v>158</v>
      </c>
      <c r="L144" s="4" t="s">
        <v>165</v>
      </c>
      <c r="M144" s="5" t="s">
        <v>157</v>
      </c>
      <c r="N144" s="4" t="s">
        <v>655</v>
      </c>
      <c r="O144" s="5" t="s">
        <v>157</v>
      </c>
      <c r="P144" s="4" t="s">
        <v>160</v>
      </c>
      <c r="Q144" s="5" t="s">
        <v>157</v>
      </c>
      <c r="R144" s="5" t="n">
        <v>0</v>
      </c>
      <c r="S144" s="5" t="s">
        <v>158</v>
      </c>
      <c r="T144" s="4"/>
      <c r="U144" s="5" t="s">
        <v>158</v>
      </c>
      <c r="V144" s="5" t="n">
        <v>0</v>
      </c>
      <c r="W144" s="5" t="s">
        <v>158</v>
      </c>
      <c r="X144" s="5" t="n">
        <v>4</v>
      </c>
      <c r="Y144" s="4" t="s">
        <v>161</v>
      </c>
    </row>
    <row r="145" customFormat="false" ht="23.85" hidden="false" customHeight="false" outlineLevel="0" collapsed="false">
      <c r="A145" s="5" t="n">
        <v>42743</v>
      </c>
      <c r="B145" s="5" t="s">
        <v>71</v>
      </c>
      <c r="C145" s="5" t="s">
        <v>360</v>
      </c>
      <c r="D145" s="4" t="s">
        <v>28</v>
      </c>
      <c r="E145" s="4" t="s">
        <v>153</v>
      </c>
      <c r="F145" s="4" t="s">
        <v>154</v>
      </c>
      <c r="G145" s="4" t="s">
        <v>292</v>
      </c>
      <c r="H145" s="4" t="s">
        <v>293</v>
      </c>
      <c r="I145" s="5" t="s">
        <v>157</v>
      </c>
      <c r="J145" s="4"/>
      <c r="K145" s="5" t="s">
        <v>158</v>
      </c>
      <c r="L145" s="4" t="s">
        <v>302</v>
      </c>
      <c r="M145" s="5" t="s">
        <v>157</v>
      </c>
      <c r="N145" s="4" t="s">
        <v>293</v>
      </c>
      <c r="O145" s="5" t="s">
        <v>157</v>
      </c>
      <c r="P145" s="4" t="s">
        <v>160</v>
      </c>
      <c r="Q145" s="5" t="s">
        <v>157</v>
      </c>
      <c r="R145" s="5" t="n">
        <v>0</v>
      </c>
      <c r="S145" s="5" t="s">
        <v>158</v>
      </c>
      <c r="T145" s="4"/>
      <c r="U145" s="5" t="s">
        <v>158</v>
      </c>
      <c r="V145" s="5" t="n">
        <v>0</v>
      </c>
      <c r="W145" s="5" t="s">
        <v>158</v>
      </c>
      <c r="X145" s="5" t="n">
        <v>4</v>
      </c>
      <c r="Y145" s="4" t="s">
        <v>161</v>
      </c>
    </row>
    <row r="146" customFormat="false" ht="23.85" hidden="false" customHeight="false" outlineLevel="0" collapsed="false">
      <c r="A146" s="5" t="n">
        <v>42744</v>
      </c>
      <c r="B146" s="5" t="s">
        <v>71</v>
      </c>
      <c r="C146" s="5" t="s">
        <v>557</v>
      </c>
      <c r="D146" s="4" t="s">
        <v>28</v>
      </c>
      <c r="E146" s="4" t="s">
        <v>153</v>
      </c>
      <c r="F146" s="4" t="s">
        <v>154</v>
      </c>
      <c r="G146" s="4" t="s">
        <v>656</v>
      </c>
      <c r="H146" s="4" t="s">
        <v>657</v>
      </c>
      <c r="I146" s="5" t="s">
        <v>157</v>
      </c>
      <c r="J146" s="4"/>
      <c r="K146" s="5" t="s">
        <v>158</v>
      </c>
      <c r="L146" s="4"/>
      <c r="M146" s="5" t="s">
        <v>158</v>
      </c>
      <c r="N146" s="4"/>
      <c r="O146" s="5" t="s">
        <v>158</v>
      </c>
      <c r="P146" s="4"/>
      <c r="Q146" s="5" t="s">
        <v>158</v>
      </c>
      <c r="R146" s="5" t="n">
        <v>0</v>
      </c>
      <c r="S146" s="5" t="s">
        <v>158</v>
      </c>
      <c r="T146" s="4"/>
      <c r="U146" s="5" t="s">
        <v>158</v>
      </c>
      <c r="V146" s="5" t="n">
        <v>0</v>
      </c>
      <c r="W146" s="5" t="s">
        <v>158</v>
      </c>
      <c r="X146" s="5" t="n">
        <v>7</v>
      </c>
      <c r="Y146" s="4" t="s">
        <v>320</v>
      </c>
    </row>
    <row r="147" customFormat="false" ht="23.85" hidden="false" customHeight="false" outlineLevel="0" collapsed="false">
      <c r="A147" s="5" t="n">
        <v>42746</v>
      </c>
      <c r="B147" s="5" t="s">
        <v>71</v>
      </c>
      <c r="C147" s="5" t="s">
        <v>658</v>
      </c>
      <c r="D147" s="4" t="s">
        <v>18</v>
      </c>
      <c r="E147" s="4" t="s">
        <v>194</v>
      </c>
      <c r="F147" s="4" t="s">
        <v>154</v>
      </c>
      <c r="G147" s="4" t="s">
        <v>659</v>
      </c>
      <c r="H147" s="4" t="s">
        <v>660</v>
      </c>
      <c r="I147" s="5" t="s">
        <v>157</v>
      </c>
      <c r="J147" s="4"/>
      <c r="K147" s="5" t="s">
        <v>158</v>
      </c>
      <c r="L147" s="4"/>
      <c r="M147" s="5" t="s">
        <v>158</v>
      </c>
      <c r="N147" s="4" t="s">
        <v>661</v>
      </c>
      <c r="O147" s="5" t="s">
        <v>157</v>
      </c>
      <c r="P147" s="4" t="s">
        <v>282</v>
      </c>
      <c r="Q147" s="5" t="s">
        <v>157</v>
      </c>
      <c r="R147" s="5" t="n">
        <v>0</v>
      </c>
      <c r="S147" s="5" t="s">
        <v>158</v>
      </c>
      <c r="T147" s="4"/>
      <c r="U147" s="5" t="s">
        <v>158</v>
      </c>
      <c r="V147" s="5" t="n">
        <v>65</v>
      </c>
      <c r="W147" s="5" t="s">
        <v>157</v>
      </c>
      <c r="X147" s="5" t="n">
        <v>4</v>
      </c>
      <c r="Y147" s="4" t="s">
        <v>435</v>
      </c>
    </row>
    <row r="148" customFormat="false" ht="23.85" hidden="false" customHeight="false" outlineLevel="0" collapsed="false">
      <c r="A148" s="5" t="n">
        <v>42758</v>
      </c>
      <c r="B148" s="5" t="s">
        <v>72</v>
      </c>
      <c r="C148" s="5" t="s">
        <v>662</v>
      </c>
      <c r="D148" s="4" t="s">
        <v>32</v>
      </c>
      <c r="E148" s="4" t="s">
        <v>194</v>
      </c>
      <c r="F148" s="4" t="s">
        <v>154</v>
      </c>
      <c r="G148" s="4" t="s">
        <v>663</v>
      </c>
      <c r="H148" s="4" t="s">
        <v>664</v>
      </c>
      <c r="I148" s="5" t="s">
        <v>157</v>
      </c>
      <c r="J148" s="4"/>
      <c r="K148" s="5" t="s">
        <v>158</v>
      </c>
      <c r="L148" s="4"/>
      <c r="M148" s="5" t="s">
        <v>158</v>
      </c>
      <c r="N148" s="4" t="s">
        <v>665</v>
      </c>
      <c r="O148" s="5" t="s">
        <v>157</v>
      </c>
      <c r="P148" s="4" t="s">
        <v>666</v>
      </c>
      <c r="Q148" s="5" t="s">
        <v>157</v>
      </c>
      <c r="R148" s="5" t="n">
        <v>0</v>
      </c>
      <c r="S148" s="5" t="s">
        <v>158</v>
      </c>
      <c r="T148" s="4"/>
      <c r="U148" s="5" t="s">
        <v>158</v>
      </c>
      <c r="V148" s="5" t="n">
        <v>142</v>
      </c>
      <c r="W148" s="5" t="s">
        <v>157</v>
      </c>
      <c r="X148" s="5" t="n">
        <v>4</v>
      </c>
      <c r="Y148" s="4" t="s">
        <v>435</v>
      </c>
    </row>
    <row r="149" customFormat="false" ht="23.85" hidden="false" customHeight="false" outlineLevel="0" collapsed="false">
      <c r="A149" s="5" t="n">
        <v>42760</v>
      </c>
      <c r="B149" s="5" t="s">
        <v>72</v>
      </c>
      <c r="C149" s="5" t="s">
        <v>667</v>
      </c>
      <c r="D149" s="4" t="s">
        <v>32</v>
      </c>
      <c r="E149" s="4" t="s">
        <v>194</v>
      </c>
      <c r="F149" s="4" t="s">
        <v>154</v>
      </c>
      <c r="G149" s="4" t="s">
        <v>668</v>
      </c>
      <c r="H149" s="4"/>
      <c r="I149" s="5" t="s">
        <v>158</v>
      </c>
      <c r="J149" s="4"/>
      <c r="K149" s="5" t="s">
        <v>158</v>
      </c>
      <c r="L149" s="4" t="s">
        <v>669</v>
      </c>
      <c r="M149" s="5" t="s">
        <v>157</v>
      </c>
      <c r="N149" s="4" t="s">
        <v>670</v>
      </c>
      <c r="O149" s="5" t="s">
        <v>157</v>
      </c>
      <c r="P149" s="4" t="s">
        <v>671</v>
      </c>
      <c r="Q149" s="5" t="s">
        <v>157</v>
      </c>
      <c r="R149" s="5" t="n">
        <v>0</v>
      </c>
      <c r="S149" s="5" t="s">
        <v>158</v>
      </c>
      <c r="T149" s="4"/>
      <c r="U149" s="5" t="s">
        <v>158</v>
      </c>
      <c r="V149" s="5" t="n">
        <v>0</v>
      </c>
      <c r="W149" s="5" t="s">
        <v>158</v>
      </c>
      <c r="X149" s="5" t="n">
        <v>5</v>
      </c>
      <c r="Y149" s="4" t="s">
        <v>672</v>
      </c>
    </row>
    <row r="150" customFormat="false" ht="23.85" hidden="false" customHeight="false" outlineLevel="0" collapsed="false">
      <c r="A150" s="5" t="n">
        <v>42761</v>
      </c>
      <c r="B150" s="5" t="s">
        <v>72</v>
      </c>
      <c r="C150" s="5" t="s">
        <v>673</v>
      </c>
      <c r="D150" s="4" t="s">
        <v>32</v>
      </c>
      <c r="E150" s="4" t="s">
        <v>194</v>
      </c>
      <c r="F150" s="4" t="s">
        <v>154</v>
      </c>
      <c r="G150" s="4" t="s">
        <v>674</v>
      </c>
      <c r="H150" s="4"/>
      <c r="I150" s="5" t="s">
        <v>158</v>
      </c>
      <c r="J150" s="4"/>
      <c r="K150" s="5" t="s">
        <v>158</v>
      </c>
      <c r="L150" s="4" t="s">
        <v>675</v>
      </c>
      <c r="M150" s="5" t="s">
        <v>157</v>
      </c>
      <c r="N150" s="4" t="s">
        <v>676</v>
      </c>
      <c r="O150" s="5" t="s">
        <v>157</v>
      </c>
      <c r="P150" s="4" t="s">
        <v>677</v>
      </c>
      <c r="Q150" s="5" t="s">
        <v>157</v>
      </c>
      <c r="R150" s="5" t="n">
        <v>0</v>
      </c>
      <c r="S150" s="5" t="s">
        <v>158</v>
      </c>
      <c r="T150" s="4"/>
      <c r="U150" s="5" t="s">
        <v>158</v>
      </c>
      <c r="V150" s="5" t="n">
        <v>11</v>
      </c>
      <c r="W150" s="5" t="s">
        <v>157</v>
      </c>
      <c r="X150" s="5" t="n">
        <v>4</v>
      </c>
      <c r="Y150" s="4" t="s">
        <v>678</v>
      </c>
    </row>
    <row r="151" customFormat="false" ht="15" hidden="false" customHeight="false" outlineLevel="0" collapsed="false">
      <c r="A151" s="5" t="n">
        <v>42763</v>
      </c>
      <c r="B151" s="5" t="s">
        <v>72</v>
      </c>
      <c r="C151" s="5" t="s">
        <v>557</v>
      </c>
      <c r="D151" s="4" t="s">
        <v>26</v>
      </c>
      <c r="E151" s="4" t="s">
        <v>194</v>
      </c>
      <c r="F151" s="4" t="s">
        <v>154</v>
      </c>
      <c r="G151" s="4" t="s">
        <v>679</v>
      </c>
      <c r="H151" s="4" t="s">
        <v>680</v>
      </c>
      <c r="I151" s="5" t="s">
        <v>157</v>
      </c>
      <c r="J151" s="4" t="s">
        <v>681</v>
      </c>
      <c r="K151" s="5" t="s">
        <v>157</v>
      </c>
      <c r="L151" s="4" t="s">
        <v>682</v>
      </c>
      <c r="M151" s="5" t="s">
        <v>157</v>
      </c>
      <c r="N151" s="4"/>
      <c r="O151" s="5" t="s">
        <v>158</v>
      </c>
      <c r="P151" s="4" t="s">
        <v>683</v>
      </c>
      <c r="Q151" s="5" t="s">
        <v>157</v>
      </c>
      <c r="R151" s="5" t="n">
        <v>2</v>
      </c>
      <c r="S151" s="5" t="s">
        <v>157</v>
      </c>
      <c r="T151" s="4" t="s">
        <v>289</v>
      </c>
      <c r="U151" s="5" t="s">
        <v>157</v>
      </c>
      <c r="V151" s="5" t="n">
        <v>10</v>
      </c>
      <c r="W151" s="5" t="s">
        <v>157</v>
      </c>
      <c r="X151" s="5" t="n">
        <v>1</v>
      </c>
      <c r="Y151" s="4" t="s">
        <v>684</v>
      </c>
    </row>
    <row r="152" customFormat="false" ht="23.85" hidden="false" customHeight="false" outlineLevel="0" collapsed="false">
      <c r="A152" s="5" t="n">
        <v>42764</v>
      </c>
      <c r="B152" s="5" t="s">
        <v>72</v>
      </c>
      <c r="C152" s="5" t="s">
        <v>179</v>
      </c>
      <c r="D152" s="4" t="s">
        <v>26</v>
      </c>
      <c r="E152" s="4" t="s">
        <v>194</v>
      </c>
      <c r="F152" s="4" t="s">
        <v>154</v>
      </c>
      <c r="G152" s="4" t="s">
        <v>685</v>
      </c>
      <c r="H152" s="4" t="s">
        <v>686</v>
      </c>
      <c r="I152" s="5" t="s">
        <v>157</v>
      </c>
      <c r="J152" s="4" t="s">
        <v>687</v>
      </c>
      <c r="K152" s="5" t="s">
        <v>157</v>
      </c>
      <c r="L152" s="4" t="s">
        <v>688</v>
      </c>
      <c r="M152" s="5" t="s">
        <v>157</v>
      </c>
      <c r="N152" s="4"/>
      <c r="O152" s="5" t="s">
        <v>158</v>
      </c>
      <c r="P152" s="4" t="s">
        <v>689</v>
      </c>
      <c r="Q152" s="5" t="s">
        <v>157</v>
      </c>
      <c r="R152" s="5" t="n">
        <v>1</v>
      </c>
      <c r="S152" s="5" t="s">
        <v>157</v>
      </c>
      <c r="T152" s="4" t="s">
        <v>289</v>
      </c>
      <c r="U152" s="5" t="s">
        <v>157</v>
      </c>
      <c r="V152" s="5" t="n">
        <v>0</v>
      </c>
      <c r="W152" s="5" t="s">
        <v>158</v>
      </c>
      <c r="X152" s="5" t="n">
        <v>2</v>
      </c>
      <c r="Y152" s="4" t="s">
        <v>690</v>
      </c>
    </row>
    <row r="153" customFormat="false" ht="23.85" hidden="false" customHeight="false" outlineLevel="0" collapsed="false">
      <c r="A153" s="5" t="n">
        <v>42765</v>
      </c>
      <c r="B153" s="5" t="s">
        <v>72</v>
      </c>
      <c r="C153" s="5" t="s">
        <v>691</v>
      </c>
      <c r="D153" s="4" t="s">
        <v>28</v>
      </c>
      <c r="E153" s="4" t="s">
        <v>153</v>
      </c>
      <c r="F153" s="4" t="s">
        <v>154</v>
      </c>
      <c r="G153" s="4" t="s">
        <v>692</v>
      </c>
      <c r="H153" s="4" t="s">
        <v>693</v>
      </c>
      <c r="I153" s="5" t="s">
        <v>157</v>
      </c>
      <c r="J153" s="4"/>
      <c r="K153" s="5" t="s">
        <v>158</v>
      </c>
      <c r="L153" s="4" t="s">
        <v>595</v>
      </c>
      <c r="M153" s="5" t="s">
        <v>157</v>
      </c>
      <c r="N153" s="4" t="s">
        <v>694</v>
      </c>
      <c r="O153" s="5" t="s">
        <v>157</v>
      </c>
      <c r="P153" s="4" t="s">
        <v>160</v>
      </c>
      <c r="Q153" s="5" t="s">
        <v>157</v>
      </c>
      <c r="R153" s="5" t="n">
        <v>0</v>
      </c>
      <c r="S153" s="5" t="s">
        <v>158</v>
      </c>
      <c r="T153" s="4"/>
      <c r="U153" s="5" t="s">
        <v>158</v>
      </c>
      <c r="V153" s="5" t="n">
        <v>0</v>
      </c>
      <c r="W153" s="5" t="s">
        <v>158</v>
      </c>
      <c r="X153" s="5" t="n">
        <v>4</v>
      </c>
      <c r="Y153" s="4" t="s">
        <v>161</v>
      </c>
    </row>
    <row r="154" customFormat="false" ht="23.85" hidden="false" customHeight="false" outlineLevel="0" collapsed="false">
      <c r="A154" s="5" t="n">
        <v>42766</v>
      </c>
      <c r="B154" s="5" t="s">
        <v>72</v>
      </c>
      <c r="C154" s="5" t="s">
        <v>695</v>
      </c>
      <c r="D154" s="4" t="s">
        <v>28</v>
      </c>
      <c r="E154" s="4" t="s">
        <v>153</v>
      </c>
      <c r="F154" s="4" t="s">
        <v>154</v>
      </c>
      <c r="G154" s="4" t="s">
        <v>696</v>
      </c>
      <c r="H154" s="4" t="s">
        <v>697</v>
      </c>
      <c r="I154" s="5" t="s">
        <v>157</v>
      </c>
      <c r="J154" s="4"/>
      <c r="K154" s="5" t="s">
        <v>158</v>
      </c>
      <c r="L154" s="4" t="s">
        <v>698</v>
      </c>
      <c r="M154" s="5" t="s">
        <v>157</v>
      </c>
      <c r="N154" s="4" t="s">
        <v>699</v>
      </c>
      <c r="O154" s="5" t="s">
        <v>157</v>
      </c>
      <c r="P154" s="4" t="s">
        <v>160</v>
      </c>
      <c r="Q154" s="5" t="s">
        <v>157</v>
      </c>
      <c r="R154" s="5" t="n">
        <v>0</v>
      </c>
      <c r="S154" s="5" t="s">
        <v>158</v>
      </c>
      <c r="T154" s="4"/>
      <c r="U154" s="5" t="s">
        <v>158</v>
      </c>
      <c r="V154" s="5" t="n">
        <v>0</v>
      </c>
      <c r="W154" s="5" t="s">
        <v>158</v>
      </c>
      <c r="X154" s="5" t="n">
        <v>4</v>
      </c>
      <c r="Y154" s="4" t="s">
        <v>161</v>
      </c>
    </row>
    <row r="155" customFormat="false" ht="23.85" hidden="false" customHeight="false" outlineLevel="0" collapsed="false">
      <c r="A155" s="5" t="n">
        <v>42767</v>
      </c>
      <c r="B155" s="5" t="s">
        <v>72</v>
      </c>
      <c r="C155" s="5" t="s">
        <v>700</v>
      </c>
      <c r="D155" s="4" t="s">
        <v>28</v>
      </c>
      <c r="E155" s="4" t="s">
        <v>153</v>
      </c>
      <c r="F155" s="4" t="s">
        <v>154</v>
      </c>
      <c r="G155" s="4" t="s">
        <v>218</v>
      </c>
      <c r="H155" s="4" t="s">
        <v>219</v>
      </c>
      <c r="I155" s="5" t="s">
        <v>157</v>
      </c>
      <c r="J155" s="4"/>
      <c r="K155" s="5" t="s">
        <v>158</v>
      </c>
      <c r="L155" s="4" t="s">
        <v>220</v>
      </c>
      <c r="M155" s="5" t="s">
        <v>157</v>
      </c>
      <c r="N155" s="4" t="s">
        <v>219</v>
      </c>
      <c r="O155" s="5" t="s">
        <v>157</v>
      </c>
      <c r="P155" s="4" t="s">
        <v>160</v>
      </c>
      <c r="Q155" s="5" t="s">
        <v>157</v>
      </c>
      <c r="R155" s="5" t="n">
        <v>0</v>
      </c>
      <c r="S155" s="5" t="s">
        <v>158</v>
      </c>
      <c r="T155" s="4"/>
      <c r="U155" s="5" t="s">
        <v>158</v>
      </c>
      <c r="V155" s="5" t="n">
        <v>0</v>
      </c>
      <c r="W155" s="5" t="s">
        <v>158</v>
      </c>
      <c r="X155" s="5" t="n">
        <v>4</v>
      </c>
      <c r="Y155" s="4" t="s">
        <v>161</v>
      </c>
    </row>
    <row r="156" customFormat="false" ht="23.85" hidden="false" customHeight="false" outlineLevel="0" collapsed="false">
      <c r="A156" s="5" t="n">
        <v>42768</v>
      </c>
      <c r="B156" s="5" t="s">
        <v>72</v>
      </c>
      <c r="C156" s="5" t="s">
        <v>701</v>
      </c>
      <c r="D156" s="4" t="s">
        <v>28</v>
      </c>
      <c r="E156" s="4" t="s">
        <v>153</v>
      </c>
      <c r="F156" s="4" t="s">
        <v>154</v>
      </c>
      <c r="G156" s="4" t="s">
        <v>702</v>
      </c>
      <c r="H156" s="4" t="s">
        <v>703</v>
      </c>
      <c r="I156" s="5" t="s">
        <v>157</v>
      </c>
      <c r="J156" s="4"/>
      <c r="K156" s="5" t="s">
        <v>158</v>
      </c>
      <c r="L156" s="4" t="s">
        <v>240</v>
      </c>
      <c r="M156" s="5" t="s">
        <v>157</v>
      </c>
      <c r="N156" s="4" t="s">
        <v>703</v>
      </c>
      <c r="O156" s="5" t="s">
        <v>157</v>
      </c>
      <c r="P156" s="4" t="s">
        <v>160</v>
      </c>
      <c r="Q156" s="5" t="s">
        <v>157</v>
      </c>
      <c r="R156" s="5" t="n">
        <v>0</v>
      </c>
      <c r="S156" s="5" t="s">
        <v>158</v>
      </c>
      <c r="T156" s="4"/>
      <c r="U156" s="5" t="s">
        <v>158</v>
      </c>
      <c r="V156" s="5" t="n">
        <v>0</v>
      </c>
      <c r="W156" s="5" t="s">
        <v>158</v>
      </c>
      <c r="X156" s="5" t="n">
        <v>4</v>
      </c>
      <c r="Y156" s="4" t="s">
        <v>161</v>
      </c>
    </row>
    <row r="157" customFormat="false" ht="23.85" hidden="false" customHeight="false" outlineLevel="0" collapsed="false">
      <c r="A157" s="5" t="n">
        <v>42769</v>
      </c>
      <c r="B157" s="5" t="s">
        <v>72</v>
      </c>
      <c r="C157" s="5" t="s">
        <v>704</v>
      </c>
      <c r="D157" s="4" t="s">
        <v>28</v>
      </c>
      <c r="E157" s="4" t="s">
        <v>153</v>
      </c>
      <c r="F157" s="4" t="s">
        <v>154</v>
      </c>
      <c r="G157" s="4" t="s">
        <v>705</v>
      </c>
      <c r="H157" s="4" t="s">
        <v>706</v>
      </c>
      <c r="I157" s="5" t="s">
        <v>157</v>
      </c>
      <c r="J157" s="4"/>
      <c r="K157" s="5" t="s">
        <v>158</v>
      </c>
      <c r="L157" s="4" t="s">
        <v>231</v>
      </c>
      <c r="M157" s="5" t="s">
        <v>157</v>
      </c>
      <c r="N157" s="4" t="s">
        <v>230</v>
      </c>
      <c r="O157" s="5" t="s">
        <v>157</v>
      </c>
      <c r="P157" s="4" t="s">
        <v>160</v>
      </c>
      <c r="Q157" s="5" t="s">
        <v>157</v>
      </c>
      <c r="R157" s="5" t="n">
        <v>0</v>
      </c>
      <c r="S157" s="5" t="s">
        <v>158</v>
      </c>
      <c r="T157" s="4"/>
      <c r="U157" s="5" t="s">
        <v>158</v>
      </c>
      <c r="V157" s="5" t="n">
        <v>0</v>
      </c>
      <c r="W157" s="5" t="s">
        <v>158</v>
      </c>
      <c r="X157" s="5" t="n">
        <v>4</v>
      </c>
      <c r="Y157" s="4" t="s">
        <v>161</v>
      </c>
    </row>
    <row r="158" customFormat="false" ht="23.85" hidden="false" customHeight="false" outlineLevel="0" collapsed="false">
      <c r="A158" s="5" t="n">
        <v>42770</v>
      </c>
      <c r="B158" s="5" t="s">
        <v>72</v>
      </c>
      <c r="C158" s="5" t="s">
        <v>707</v>
      </c>
      <c r="D158" s="4" t="s">
        <v>28</v>
      </c>
      <c r="E158" s="4" t="s">
        <v>153</v>
      </c>
      <c r="F158" s="4" t="s">
        <v>154</v>
      </c>
      <c r="G158" s="4" t="s">
        <v>708</v>
      </c>
      <c r="H158" s="4" t="s">
        <v>709</v>
      </c>
      <c r="I158" s="5" t="s">
        <v>157</v>
      </c>
      <c r="J158" s="4"/>
      <c r="K158" s="5" t="s">
        <v>158</v>
      </c>
      <c r="L158" s="4" t="s">
        <v>385</v>
      </c>
      <c r="M158" s="5" t="s">
        <v>157</v>
      </c>
      <c r="N158" s="4" t="s">
        <v>709</v>
      </c>
      <c r="O158" s="5" t="s">
        <v>157</v>
      </c>
      <c r="P158" s="4" t="s">
        <v>160</v>
      </c>
      <c r="Q158" s="5" t="s">
        <v>157</v>
      </c>
      <c r="R158" s="5" t="n">
        <v>0</v>
      </c>
      <c r="S158" s="5" t="s">
        <v>158</v>
      </c>
      <c r="T158" s="4"/>
      <c r="U158" s="5" t="s">
        <v>158</v>
      </c>
      <c r="V158" s="5" t="n">
        <v>0</v>
      </c>
      <c r="W158" s="5" t="s">
        <v>158</v>
      </c>
      <c r="X158" s="5" t="n">
        <v>4</v>
      </c>
      <c r="Y158" s="4" t="s">
        <v>161</v>
      </c>
    </row>
    <row r="159" customFormat="false" ht="23.85" hidden="false" customHeight="false" outlineLevel="0" collapsed="false">
      <c r="A159" s="5" t="n">
        <v>42771</v>
      </c>
      <c r="B159" s="5" t="s">
        <v>72</v>
      </c>
      <c r="C159" s="5" t="s">
        <v>710</v>
      </c>
      <c r="D159" s="4" t="s">
        <v>30</v>
      </c>
      <c r="E159" s="4" t="s">
        <v>153</v>
      </c>
      <c r="F159" s="4" t="s">
        <v>154</v>
      </c>
      <c r="G159" s="4" t="s">
        <v>711</v>
      </c>
      <c r="H159" s="4" t="s">
        <v>711</v>
      </c>
      <c r="I159" s="5" t="s">
        <v>157</v>
      </c>
      <c r="J159" s="4"/>
      <c r="K159" s="5" t="s">
        <v>158</v>
      </c>
      <c r="L159" s="4" t="s">
        <v>467</v>
      </c>
      <c r="M159" s="5" t="s">
        <v>157</v>
      </c>
      <c r="N159" s="4" t="s">
        <v>712</v>
      </c>
      <c r="O159" s="5" t="s">
        <v>157</v>
      </c>
      <c r="P159" s="4" t="s">
        <v>277</v>
      </c>
      <c r="Q159" s="5" t="s">
        <v>157</v>
      </c>
      <c r="R159" s="5" t="n">
        <v>0</v>
      </c>
      <c r="S159" s="5" t="s">
        <v>158</v>
      </c>
      <c r="T159" s="4" t="s">
        <v>289</v>
      </c>
      <c r="U159" s="5" t="s">
        <v>157</v>
      </c>
      <c r="V159" s="5" t="n">
        <v>0</v>
      </c>
      <c r="W159" s="5" t="s">
        <v>158</v>
      </c>
      <c r="X159" s="5" t="n">
        <v>3</v>
      </c>
      <c r="Y159" s="4" t="s">
        <v>209</v>
      </c>
    </row>
    <row r="160" customFormat="false" ht="15" hidden="false" customHeight="false" outlineLevel="0" collapsed="false">
      <c r="A160" s="5" t="n">
        <v>42772</v>
      </c>
      <c r="B160" s="5" t="s">
        <v>72</v>
      </c>
      <c r="C160" s="5" t="s">
        <v>713</v>
      </c>
      <c r="D160" s="4" t="s">
        <v>30</v>
      </c>
      <c r="E160" s="4" t="s">
        <v>153</v>
      </c>
      <c r="F160" s="4" t="s">
        <v>154</v>
      </c>
      <c r="G160" s="4" t="s">
        <v>714</v>
      </c>
      <c r="H160" s="4" t="s">
        <v>714</v>
      </c>
      <c r="I160" s="5" t="s">
        <v>157</v>
      </c>
      <c r="J160" s="4" t="s">
        <v>715</v>
      </c>
      <c r="K160" s="5" t="s">
        <v>157</v>
      </c>
      <c r="L160" s="4" t="s">
        <v>716</v>
      </c>
      <c r="M160" s="5" t="s">
        <v>157</v>
      </c>
      <c r="N160" s="4" t="s">
        <v>712</v>
      </c>
      <c r="O160" s="5" t="s">
        <v>157</v>
      </c>
      <c r="P160" s="4" t="s">
        <v>277</v>
      </c>
      <c r="Q160" s="5" t="s">
        <v>157</v>
      </c>
      <c r="R160" s="5" t="n">
        <v>0</v>
      </c>
      <c r="S160" s="5" t="s">
        <v>158</v>
      </c>
      <c r="T160" s="4" t="s">
        <v>289</v>
      </c>
      <c r="U160" s="5" t="s">
        <v>157</v>
      </c>
      <c r="V160" s="5" t="n">
        <v>0</v>
      </c>
      <c r="W160" s="5" t="s">
        <v>158</v>
      </c>
      <c r="X160" s="5" t="n">
        <v>2</v>
      </c>
      <c r="Y160" s="4" t="s">
        <v>192</v>
      </c>
    </row>
    <row r="161" customFormat="false" ht="23.85" hidden="false" customHeight="false" outlineLevel="0" collapsed="false">
      <c r="A161" s="5" t="n">
        <v>42773</v>
      </c>
      <c r="B161" s="5" t="s">
        <v>72</v>
      </c>
      <c r="C161" s="5" t="s">
        <v>717</v>
      </c>
      <c r="D161" s="4" t="s">
        <v>30</v>
      </c>
      <c r="E161" s="4" t="s">
        <v>153</v>
      </c>
      <c r="F161" s="4" t="s">
        <v>154</v>
      </c>
      <c r="G161" s="4" t="s">
        <v>718</v>
      </c>
      <c r="H161" s="4" t="s">
        <v>718</v>
      </c>
      <c r="I161" s="5" t="s">
        <v>157</v>
      </c>
      <c r="J161" s="4"/>
      <c r="K161" s="5" t="s">
        <v>158</v>
      </c>
      <c r="L161" s="4"/>
      <c r="M161" s="5" t="s">
        <v>158</v>
      </c>
      <c r="N161" s="4" t="s">
        <v>719</v>
      </c>
      <c r="O161" s="5" t="s">
        <v>157</v>
      </c>
      <c r="P161" s="4" t="s">
        <v>277</v>
      </c>
      <c r="Q161" s="5" t="s">
        <v>157</v>
      </c>
      <c r="R161" s="5" t="n">
        <v>0</v>
      </c>
      <c r="S161" s="5" t="s">
        <v>158</v>
      </c>
      <c r="T161" s="4" t="s">
        <v>289</v>
      </c>
      <c r="U161" s="5" t="s">
        <v>157</v>
      </c>
      <c r="V161" s="5" t="n">
        <v>0</v>
      </c>
      <c r="W161" s="5" t="s">
        <v>158</v>
      </c>
      <c r="X161" s="5" t="n">
        <v>4</v>
      </c>
      <c r="Y161" s="4" t="s">
        <v>480</v>
      </c>
    </row>
    <row r="162" customFormat="false" ht="23.85" hidden="false" customHeight="false" outlineLevel="0" collapsed="false">
      <c r="A162" s="5" t="n">
        <v>42774</v>
      </c>
      <c r="B162" s="5" t="s">
        <v>72</v>
      </c>
      <c r="C162" s="5" t="s">
        <v>720</v>
      </c>
      <c r="D162" s="4" t="s">
        <v>30</v>
      </c>
      <c r="E162" s="4" t="s">
        <v>153</v>
      </c>
      <c r="F162" s="4" t="s">
        <v>154</v>
      </c>
      <c r="G162" s="4" t="s">
        <v>721</v>
      </c>
      <c r="H162" s="4" t="s">
        <v>722</v>
      </c>
      <c r="I162" s="5" t="s">
        <v>157</v>
      </c>
      <c r="J162" s="4"/>
      <c r="K162" s="5" t="s">
        <v>158</v>
      </c>
      <c r="L162" s="4"/>
      <c r="M162" s="5" t="s">
        <v>158</v>
      </c>
      <c r="N162" s="4"/>
      <c r="O162" s="5" t="s">
        <v>158</v>
      </c>
      <c r="P162" s="4"/>
      <c r="Q162" s="5" t="s">
        <v>158</v>
      </c>
      <c r="R162" s="5" t="n">
        <v>0</v>
      </c>
      <c r="S162" s="5" t="s">
        <v>158</v>
      </c>
      <c r="T162" s="4"/>
      <c r="U162" s="5" t="s">
        <v>158</v>
      </c>
      <c r="V162" s="5" t="n">
        <v>0</v>
      </c>
      <c r="W162" s="5" t="s">
        <v>158</v>
      </c>
      <c r="X162" s="5" t="n">
        <v>7</v>
      </c>
      <c r="Y162" s="4" t="s">
        <v>320</v>
      </c>
    </row>
    <row r="163" customFormat="false" ht="23.85" hidden="false" customHeight="false" outlineLevel="0" collapsed="false">
      <c r="A163" s="5" t="n">
        <v>42775</v>
      </c>
      <c r="B163" s="5" t="s">
        <v>72</v>
      </c>
      <c r="C163" s="5" t="s">
        <v>723</v>
      </c>
      <c r="D163" s="4" t="s">
        <v>24</v>
      </c>
      <c r="E163" s="4" t="s">
        <v>194</v>
      </c>
      <c r="F163" s="4" t="s">
        <v>154</v>
      </c>
      <c r="G163" s="4" t="s">
        <v>724</v>
      </c>
      <c r="H163" s="4" t="s">
        <v>725</v>
      </c>
      <c r="I163" s="5" t="s">
        <v>157</v>
      </c>
      <c r="J163" s="4"/>
      <c r="K163" s="5" t="s">
        <v>158</v>
      </c>
      <c r="L163" s="4" t="s">
        <v>726</v>
      </c>
      <c r="M163" s="5" t="s">
        <v>157</v>
      </c>
      <c r="N163" s="4"/>
      <c r="O163" s="5" t="s">
        <v>158</v>
      </c>
      <c r="P163" s="4"/>
      <c r="Q163" s="5" t="s">
        <v>158</v>
      </c>
      <c r="R163" s="5" t="n">
        <v>0</v>
      </c>
      <c r="S163" s="5" t="s">
        <v>158</v>
      </c>
      <c r="T163" s="4"/>
      <c r="U163" s="5" t="s">
        <v>158</v>
      </c>
      <c r="V163" s="5" t="n">
        <v>0</v>
      </c>
      <c r="W163" s="5" t="s">
        <v>158</v>
      </c>
      <c r="X163" s="5" t="n">
        <v>6</v>
      </c>
      <c r="Y163" s="4" t="s">
        <v>265</v>
      </c>
    </row>
    <row r="164" customFormat="false" ht="23.85" hidden="false" customHeight="false" outlineLevel="0" collapsed="false">
      <c r="A164" s="5" t="n">
        <v>42776</v>
      </c>
      <c r="B164" s="5" t="s">
        <v>73</v>
      </c>
      <c r="C164" s="5" t="s">
        <v>727</v>
      </c>
      <c r="D164" s="4" t="s">
        <v>24</v>
      </c>
      <c r="E164" s="4" t="s">
        <v>194</v>
      </c>
      <c r="F164" s="4" t="s">
        <v>154</v>
      </c>
      <c r="G164" s="4" t="s">
        <v>728</v>
      </c>
      <c r="H164" s="4"/>
      <c r="I164" s="5" t="s">
        <v>158</v>
      </c>
      <c r="J164" s="4"/>
      <c r="K164" s="5" t="s">
        <v>158</v>
      </c>
      <c r="L164" s="4" t="s">
        <v>729</v>
      </c>
      <c r="M164" s="5" t="s">
        <v>157</v>
      </c>
      <c r="N164" s="4"/>
      <c r="O164" s="5" t="s">
        <v>158</v>
      </c>
      <c r="P164" s="4"/>
      <c r="Q164" s="5" t="s">
        <v>158</v>
      </c>
      <c r="R164" s="5" t="n">
        <v>0</v>
      </c>
      <c r="S164" s="5" t="s">
        <v>158</v>
      </c>
      <c r="T164" s="4"/>
      <c r="U164" s="5" t="s">
        <v>158</v>
      </c>
      <c r="V164" s="5" t="n">
        <v>0</v>
      </c>
      <c r="W164" s="5" t="s">
        <v>158</v>
      </c>
      <c r="X164" s="5" t="n">
        <v>7</v>
      </c>
      <c r="Y164" s="4" t="s">
        <v>261</v>
      </c>
    </row>
    <row r="165" customFormat="false" ht="23.85" hidden="false" customHeight="false" outlineLevel="0" collapsed="false">
      <c r="A165" s="5" t="n">
        <v>42780</v>
      </c>
      <c r="B165" s="5" t="s">
        <v>73</v>
      </c>
      <c r="C165" s="5" t="s">
        <v>730</v>
      </c>
      <c r="D165" s="4" t="s">
        <v>30</v>
      </c>
      <c r="E165" s="4" t="s">
        <v>153</v>
      </c>
      <c r="F165" s="4" t="s">
        <v>154</v>
      </c>
      <c r="G165" s="4" t="s">
        <v>731</v>
      </c>
      <c r="H165" s="4" t="s">
        <v>731</v>
      </c>
      <c r="I165" s="5" t="s">
        <v>157</v>
      </c>
      <c r="J165" s="4"/>
      <c r="K165" s="5" t="s">
        <v>158</v>
      </c>
      <c r="L165" s="4" t="s">
        <v>588</v>
      </c>
      <c r="M165" s="5" t="s">
        <v>157</v>
      </c>
      <c r="N165" s="4" t="s">
        <v>732</v>
      </c>
      <c r="O165" s="5" t="s">
        <v>157</v>
      </c>
      <c r="P165" s="4" t="s">
        <v>277</v>
      </c>
      <c r="Q165" s="5" t="s">
        <v>157</v>
      </c>
      <c r="R165" s="5" t="n">
        <v>0</v>
      </c>
      <c r="S165" s="5" t="s">
        <v>158</v>
      </c>
      <c r="T165" s="4" t="s">
        <v>479</v>
      </c>
      <c r="U165" s="5" t="s">
        <v>157</v>
      </c>
      <c r="V165" s="5" t="n">
        <v>0</v>
      </c>
      <c r="W165" s="5" t="s">
        <v>158</v>
      </c>
      <c r="X165" s="5" t="n">
        <v>3</v>
      </c>
      <c r="Y165" s="4" t="s">
        <v>209</v>
      </c>
    </row>
    <row r="166" customFormat="false" ht="23.85" hidden="false" customHeight="false" outlineLevel="0" collapsed="false">
      <c r="A166" s="5" t="n">
        <v>42781</v>
      </c>
      <c r="B166" s="5" t="s">
        <v>73</v>
      </c>
      <c r="C166" s="5" t="s">
        <v>733</v>
      </c>
      <c r="D166" s="4" t="s">
        <v>30</v>
      </c>
      <c r="E166" s="4" t="s">
        <v>153</v>
      </c>
      <c r="F166" s="4" t="s">
        <v>154</v>
      </c>
      <c r="G166" s="4" t="s">
        <v>734</v>
      </c>
      <c r="H166" s="4" t="s">
        <v>735</v>
      </c>
      <c r="I166" s="5" t="s">
        <v>157</v>
      </c>
      <c r="J166" s="4"/>
      <c r="K166" s="5" t="s">
        <v>158</v>
      </c>
      <c r="L166" s="4"/>
      <c r="M166" s="5" t="s">
        <v>158</v>
      </c>
      <c r="N166" s="4"/>
      <c r="O166" s="5" t="s">
        <v>158</v>
      </c>
      <c r="P166" s="4"/>
      <c r="Q166" s="5" t="s">
        <v>158</v>
      </c>
      <c r="R166" s="5" t="n">
        <v>0</v>
      </c>
      <c r="S166" s="5" t="s">
        <v>158</v>
      </c>
      <c r="T166" s="4"/>
      <c r="U166" s="5" t="s">
        <v>158</v>
      </c>
      <c r="V166" s="5" t="n">
        <v>0</v>
      </c>
      <c r="W166" s="5" t="s">
        <v>158</v>
      </c>
      <c r="X166" s="5" t="n">
        <v>7</v>
      </c>
      <c r="Y166" s="4" t="s">
        <v>320</v>
      </c>
    </row>
    <row r="167" customFormat="false" ht="35.05" hidden="false" customHeight="false" outlineLevel="0" collapsed="false">
      <c r="A167" s="5" t="n">
        <v>42784</v>
      </c>
      <c r="B167" s="5" t="s">
        <v>73</v>
      </c>
      <c r="C167" s="5" t="s">
        <v>736</v>
      </c>
      <c r="D167" s="4" t="s">
        <v>24</v>
      </c>
      <c r="E167" s="4" t="s">
        <v>194</v>
      </c>
      <c r="F167" s="4" t="s">
        <v>154</v>
      </c>
      <c r="G167" s="4" t="s">
        <v>737</v>
      </c>
      <c r="H167" s="4"/>
      <c r="I167" s="5" t="s">
        <v>158</v>
      </c>
      <c r="J167" s="4"/>
      <c r="K167" s="5" t="s">
        <v>158</v>
      </c>
      <c r="L167" s="4"/>
      <c r="M167" s="5" t="s">
        <v>158</v>
      </c>
      <c r="N167" s="4"/>
      <c r="O167" s="5" t="s">
        <v>158</v>
      </c>
      <c r="P167" s="4"/>
      <c r="Q167" s="5" t="s">
        <v>158</v>
      </c>
      <c r="R167" s="5" t="n">
        <v>0</v>
      </c>
      <c r="S167" s="5" t="s">
        <v>158</v>
      </c>
      <c r="T167" s="4"/>
      <c r="U167" s="5" t="s">
        <v>158</v>
      </c>
      <c r="V167" s="5" t="n">
        <v>0</v>
      </c>
      <c r="W167" s="5" t="s">
        <v>158</v>
      </c>
      <c r="X167" s="5" t="n">
        <v>8</v>
      </c>
      <c r="Y167" s="4" t="s">
        <v>224</v>
      </c>
    </row>
    <row r="168" customFormat="false" ht="23.85" hidden="false" customHeight="false" outlineLevel="0" collapsed="false">
      <c r="A168" s="5" t="n">
        <v>42785</v>
      </c>
      <c r="B168" s="5" t="s">
        <v>73</v>
      </c>
      <c r="C168" s="5" t="s">
        <v>738</v>
      </c>
      <c r="D168" s="4" t="s">
        <v>32</v>
      </c>
      <c r="E168" s="4" t="s">
        <v>194</v>
      </c>
      <c r="F168" s="4" t="s">
        <v>338</v>
      </c>
      <c r="G168" s="4" t="s">
        <v>739</v>
      </c>
      <c r="H168" s="4" t="s">
        <v>740</v>
      </c>
      <c r="I168" s="5" t="s">
        <v>157</v>
      </c>
      <c r="J168" s="4"/>
      <c r="K168" s="5" t="s">
        <v>158</v>
      </c>
      <c r="L168" s="4" t="s">
        <v>741</v>
      </c>
      <c r="M168" s="5" t="s">
        <v>157</v>
      </c>
      <c r="N168" s="4" t="s">
        <v>742</v>
      </c>
      <c r="O168" s="5" t="s">
        <v>157</v>
      </c>
      <c r="P168" s="4" t="s">
        <v>743</v>
      </c>
      <c r="Q168" s="5" t="s">
        <v>157</v>
      </c>
      <c r="R168" s="5" t="n">
        <v>0</v>
      </c>
      <c r="S168" s="5" t="s">
        <v>158</v>
      </c>
      <c r="T168" s="4" t="s">
        <v>289</v>
      </c>
      <c r="U168" s="5" t="s">
        <v>157</v>
      </c>
      <c r="V168" s="5" t="n">
        <v>189</v>
      </c>
      <c r="W168" s="5" t="s">
        <v>157</v>
      </c>
      <c r="X168" s="5" t="n">
        <v>2</v>
      </c>
      <c r="Y168" s="4" t="s">
        <v>290</v>
      </c>
    </row>
    <row r="169" customFormat="false" ht="23.85" hidden="false" customHeight="false" outlineLevel="0" collapsed="false">
      <c r="A169" s="5" t="n">
        <v>42789</v>
      </c>
      <c r="B169" s="5" t="s">
        <v>73</v>
      </c>
      <c r="C169" s="5" t="s">
        <v>744</v>
      </c>
      <c r="D169" s="4" t="s">
        <v>28</v>
      </c>
      <c r="E169" s="4" t="s">
        <v>153</v>
      </c>
      <c r="F169" s="4" t="s">
        <v>154</v>
      </c>
      <c r="G169" s="4" t="s">
        <v>745</v>
      </c>
      <c r="H169" s="4" t="s">
        <v>746</v>
      </c>
      <c r="I169" s="5" t="s">
        <v>157</v>
      </c>
      <c r="J169" s="4"/>
      <c r="K169" s="5" t="s">
        <v>158</v>
      </c>
      <c r="L169" s="4" t="s">
        <v>747</v>
      </c>
      <c r="M169" s="5" t="s">
        <v>157</v>
      </c>
      <c r="N169" s="4" t="s">
        <v>746</v>
      </c>
      <c r="O169" s="5" t="s">
        <v>157</v>
      </c>
      <c r="P169" s="4" t="s">
        <v>160</v>
      </c>
      <c r="Q169" s="5" t="s">
        <v>157</v>
      </c>
      <c r="R169" s="5" t="n">
        <v>0</v>
      </c>
      <c r="S169" s="5" t="s">
        <v>158</v>
      </c>
      <c r="T169" s="4"/>
      <c r="U169" s="5" t="s">
        <v>158</v>
      </c>
      <c r="V169" s="5" t="n">
        <v>0</v>
      </c>
      <c r="W169" s="5" t="s">
        <v>158</v>
      </c>
      <c r="X169" s="5" t="n">
        <v>4</v>
      </c>
      <c r="Y169" s="4" t="s">
        <v>161</v>
      </c>
    </row>
    <row r="170" customFormat="false" ht="23.85" hidden="false" customHeight="false" outlineLevel="0" collapsed="false">
      <c r="A170" s="5" t="n">
        <v>42790</v>
      </c>
      <c r="B170" s="5" t="s">
        <v>73</v>
      </c>
      <c r="C170" s="5" t="s">
        <v>748</v>
      </c>
      <c r="D170" s="4" t="s">
        <v>28</v>
      </c>
      <c r="E170" s="4" t="s">
        <v>153</v>
      </c>
      <c r="F170" s="4" t="s">
        <v>154</v>
      </c>
      <c r="G170" s="4" t="s">
        <v>607</v>
      </c>
      <c r="H170" s="4" t="s">
        <v>408</v>
      </c>
      <c r="I170" s="5" t="s">
        <v>157</v>
      </c>
      <c r="J170" s="4"/>
      <c r="K170" s="5" t="s">
        <v>158</v>
      </c>
      <c r="L170" s="4" t="s">
        <v>165</v>
      </c>
      <c r="M170" s="5" t="s">
        <v>157</v>
      </c>
      <c r="N170" s="4"/>
      <c r="O170" s="5" t="s">
        <v>158</v>
      </c>
      <c r="P170" s="4" t="s">
        <v>160</v>
      </c>
      <c r="Q170" s="5" t="s">
        <v>157</v>
      </c>
      <c r="R170" s="5" t="n">
        <v>0</v>
      </c>
      <c r="S170" s="5" t="s">
        <v>158</v>
      </c>
      <c r="T170" s="4"/>
      <c r="U170" s="5" t="s">
        <v>158</v>
      </c>
      <c r="V170" s="5" t="n">
        <v>0</v>
      </c>
      <c r="W170" s="5" t="s">
        <v>158</v>
      </c>
      <c r="X170" s="5" t="n">
        <v>5</v>
      </c>
      <c r="Y170" s="4" t="s">
        <v>248</v>
      </c>
    </row>
    <row r="171" customFormat="false" ht="23.85" hidden="false" customHeight="false" outlineLevel="0" collapsed="false">
      <c r="A171" s="5" t="n">
        <v>42791</v>
      </c>
      <c r="B171" s="5" t="s">
        <v>73</v>
      </c>
      <c r="C171" s="5" t="s">
        <v>749</v>
      </c>
      <c r="D171" s="4" t="s">
        <v>28</v>
      </c>
      <c r="E171" s="4" t="s">
        <v>153</v>
      </c>
      <c r="F171" s="4" t="s">
        <v>154</v>
      </c>
      <c r="G171" s="4" t="s">
        <v>750</v>
      </c>
      <c r="H171" s="4" t="s">
        <v>751</v>
      </c>
      <c r="I171" s="5" t="s">
        <v>157</v>
      </c>
      <c r="J171" s="4"/>
      <c r="K171" s="5" t="s">
        <v>158</v>
      </c>
      <c r="L171" s="4" t="s">
        <v>165</v>
      </c>
      <c r="M171" s="5" t="s">
        <v>157</v>
      </c>
      <c r="N171" s="4" t="s">
        <v>751</v>
      </c>
      <c r="O171" s="5" t="s">
        <v>157</v>
      </c>
      <c r="P171" s="4" t="s">
        <v>160</v>
      </c>
      <c r="Q171" s="5" t="s">
        <v>157</v>
      </c>
      <c r="R171" s="5" t="n">
        <v>0</v>
      </c>
      <c r="S171" s="5" t="s">
        <v>158</v>
      </c>
      <c r="T171" s="4"/>
      <c r="U171" s="5" t="s">
        <v>158</v>
      </c>
      <c r="V171" s="5" t="n">
        <v>0</v>
      </c>
      <c r="W171" s="5" t="s">
        <v>158</v>
      </c>
      <c r="X171" s="5" t="n">
        <v>4</v>
      </c>
      <c r="Y171" s="4" t="s">
        <v>161</v>
      </c>
    </row>
    <row r="172" customFormat="false" ht="23.85" hidden="false" customHeight="false" outlineLevel="0" collapsed="false">
      <c r="A172" s="5" t="n">
        <v>42792</v>
      </c>
      <c r="B172" s="5" t="s">
        <v>73</v>
      </c>
      <c r="C172" s="5" t="s">
        <v>752</v>
      </c>
      <c r="D172" s="4" t="s">
        <v>28</v>
      </c>
      <c r="E172" s="4" t="s">
        <v>153</v>
      </c>
      <c r="F172" s="4" t="s">
        <v>154</v>
      </c>
      <c r="G172" s="4" t="s">
        <v>753</v>
      </c>
      <c r="H172" s="4" t="s">
        <v>754</v>
      </c>
      <c r="I172" s="5" t="s">
        <v>157</v>
      </c>
      <c r="J172" s="4"/>
      <c r="K172" s="5" t="s">
        <v>158</v>
      </c>
      <c r="L172" s="4" t="s">
        <v>343</v>
      </c>
      <c r="M172" s="5" t="s">
        <v>157</v>
      </c>
      <c r="N172" s="4" t="s">
        <v>754</v>
      </c>
      <c r="O172" s="5" t="s">
        <v>157</v>
      </c>
      <c r="P172" s="4" t="s">
        <v>160</v>
      </c>
      <c r="Q172" s="5" t="s">
        <v>157</v>
      </c>
      <c r="R172" s="5" t="n">
        <v>0</v>
      </c>
      <c r="S172" s="5" t="s">
        <v>158</v>
      </c>
      <c r="T172" s="4"/>
      <c r="U172" s="5" t="s">
        <v>158</v>
      </c>
      <c r="V172" s="5" t="n">
        <v>0</v>
      </c>
      <c r="W172" s="5" t="s">
        <v>158</v>
      </c>
      <c r="X172" s="5" t="n">
        <v>4</v>
      </c>
      <c r="Y172" s="4" t="s">
        <v>161</v>
      </c>
    </row>
    <row r="173" customFormat="false" ht="23.85" hidden="false" customHeight="false" outlineLevel="0" collapsed="false">
      <c r="A173" s="5" t="n">
        <v>42793</v>
      </c>
      <c r="B173" s="5" t="s">
        <v>73</v>
      </c>
      <c r="C173" s="5" t="s">
        <v>700</v>
      </c>
      <c r="D173" s="4" t="s">
        <v>28</v>
      </c>
      <c r="E173" s="4" t="s">
        <v>153</v>
      </c>
      <c r="F173" s="4" t="s">
        <v>154</v>
      </c>
      <c r="G173" s="4" t="s">
        <v>755</v>
      </c>
      <c r="H173" s="4" t="s">
        <v>756</v>
      </c>
      <c r="I173" s="5" t="s">
        <v>157</v>
      </c>
      <c r="J173" s="4"/>
      <c r="K173" s="5" t="s">
        <v>158</v>
      </c>
      <c r="L173" s="4" t="s">
        <v>385</v>
      </c>
      <c r="M173" s="5" t="s">
        <v>157</v>
      </c>
      <c r="N173" s="4" t="s">
        <v>756</v>
      </c>
      <c r="O173" s="5" t="s">
        <v>157</v>
      </c>
      <c r="P173" s="4" t="s">
        <v>160</v>
      </c>
      <c r="Q173" s="5" t="s">
        <v>157</v>
      </c>
      <c r="R173" s="5" t="n">
        <v>0</v>
      </c>
      <c r="S173" s="5" t="s">
        <v>158</v>
      </c>
      <c r="T173" s="4"/>
      <c r="U173" s="5" t="s">
        <v>158</v>
      </c>
      <c r="V173" s="5" t="n">
        <v>0</v>
      </c>
      <c r="W173" s="5" t="s">
        <v>158</v>
      </c>
      <c r="X173" s="5" t="n">
        <v>4</v>
      </c>
      <c r="Y173" s="4" t="s">
        <v>161</v>
      </c>
    </row>
    <row r="174" customFormat="false" ht="23.85" hidden="false" customHeight="false" outlineLevel="0" collapsed="false">
      <c r="A174" s="5" t="n">
        <v>42794</v>
      </c>
      <c r="B174" s="5" t="s">
        <v>73</v>
      </c>
      <c r="C174" s="5" t="s">
        <v>701</v>
      </c>
      <c r="D174" s="4" t="s">
        <v>28</v>
      </c>
      <c r="E174" s="4" t="s">
        <v>153</v>
      </c>
      <c r="F174" s="4" t="s">
        <v>154</v>
      </c>
      <c r="G174" s="4" t="s">
        <v>570</v>
      </c>
      <c r="H174" s="4" t="s">
        <v>571</v>
      </c>
      <c r="I174" s="5" t="s">
        <v>157</v>
      </c>
      <c r="J174" s="4"/>
      <c r="K174" s="5" t="s">
        <v>158</v>
      </c>
      <c r="L174" s="4" t="s">
        <v>177</v>
      </c>
      <c r="M174" s="5" t="s">
        <v>157</v>
      </c>
      <c r="N174" s="4" t="s">
        <v>712</v>
      </c>
      <c r="O174" s="5" t="s">
        <v>157</v>
      </c>
      <c r="P174" s="4" t="s">
        <v>160</v>
      </c>
      <c r="Q174" s="5" t="s">
        <v>157</v>
      </c>
      <c r="R174" s="5" t="n">
        <v>0</v>
      </c>
      <c r="S174" s="5" t="s">
        <v>158</v>
      </c>
      <c r="T174" s="4"/>
      <c r="U174" s="5" t="s">
        <v>158</v>
      </c>
      <c r="V174" s="5" t="n">
        <v>0</v>
      </c>
      <c r="W174" s="5" t="s">
        <v>158</v>
      </c>
      <c r="X174" s="5" t="n">
        <v>4</v>
      </c>
      <c r="Y174" s="4" t="s">
        <v>161</v>
      </c>
    </row>
    <row r="175" customFormat="false" ht="23.85" hidden="false" customHeight="false" outlineLevel="0" collapsed="false">
      <c r="A175" s="5" t="n">
        <v>42795</v>
      </c>
      <c r="B175" s="5" t="s">
        <v>73</v>
      </c>
      <c r="C175" s="5" t="s">
        <v>757</v>
      </c>
      <c r="D175" s="4" t="s">
        <v>28</v>
      </c>
      <c r="E175" s="4" t="s">
        <v>153</v>
      </c>
      <c r="F175" s="4" t="s">
        <v>154</v>
      </c>
      <c r="G175" s="4" t="s">
        <v>758</v>
      </c>
      <c r="H175" s="4" t="s">
        <v>759</v>
      </c>
      <c r="I175" s="5" t="s">
        <v>157</v>
      </c>
      <c r="J175" s="4"/>
      <c r="K175" s="5" t="s">
        <v>158</v>
      </c>
      <c r="L175" s="4"/>
      <c r="M175" s="5" t="s">
        <v>158</v>
      </c>
      <c r="N175" s="4"/>
      <c r="O175" s="5" t="s">
        <v>158</v>
      </c>
      <c r="P175" s="4"/>
      <c r="Q175" s="5" t="s">
        <v>158</v>
      </c>
      <c r="R175" s="5" t="n">
        <v>0</v>
      </c>
      <c r="S175" s="5" t="s">
        <v>158</v>
      </c>
      <c r="T175" s="4"/>
      <c r="U175" s="5" t="s">
        <v>158</v>
      </c>
      <c r="V175" s="5" t="n">
        <v>0</v>
      </c>
      <c r="W175" s="5" t="s">
        <v>158</v>
      </c>
      <c r="X175" s="5" t="n">
        <v>7</v>
      </c>
      <c r="Y175" s="4" t="s">
        <v>320</v>
      </c>
    </row>
    <row r="176" customFormat="false" ht="23.85" hidden="false" customHeight="false" outlineLevel="0" collapsed="false">
      <c r="A176" s="5" t="n">
        <v>42796</v>
      </c>
      <c r="B176" s="5" t="s">
        <v>73</v>
      </c>
      <c r="C176" s="5" t="s">
        <v>760</v>
      </c>
      <c r="D176" s="4" t="s">
        <v>18</v>
      </c>
      <c r="E176" s="4" t="s">
        <v>194</v>
      </c>
      <c r="F176" s="4" t="s">
        <v>154</v>
      </c>
      <c r="G176" s="4" t="s">
        <v>761</v>
      </c>
      <c r="H176" s="4" t="s">
        <v>762</v>
      </c>
      <c r="I176" s="5" t="s">
        <v>157</v>
      </c>
      <c r="J176" s="4"/>
      <c r="K176" s="5" t="s">
        <v>158</v>
      </c>
      <c r="L176" s="4"/>
      <c r="M176" s="5" t="s">
        <v>158</v>
      </c>
      <c r="N176" s="4" t="s">
        <v>763</v>
      </c>
      <c r="O176" s="5" t="s">
        <v>157</v>
      </c>
      <c r="P176" s="4" t="s">
        <v>282</v>
      </c>
      <c r="Q176" s="5" t="s">
        <v>157</v>
      </c>
      <c r="R176" s="5" t="n">
        <v>0</v>
      </c>
      <c r="S176" s="5" t="s">
        <v>158</v>
      </c>
      <c r="T176" s="4"/>
      <c r="U176" s="5" t="s">
        <v>158</v>
      </c>
      <c r="V176" s="5" t="n">
        <v>0</v>
      </c>
      <c r="W176" s="5" t="s">
        <v>158</v>
      </c>
      <c r="X176" s="5" t="n">
        <v>5</v>
      </c>
      <c r="Y176" s="4" t="s">
        <v>254</v>
      </c>
    </row>
    <row r="177" customFormat="false" ht="23.85" hidden="false" customHeight="false" outlineLevel="0" collapsed="false">
      <c r="A177" s="5" t="n">
        <v>42797</v>
      </c>
      <c r="B177" s="5" t="s">
        <v>73</v>
      </c>
      <c r="C177" s="5" t="s">
        <v>764</v>
      </c>
      <c r="D177" s="4" t="s">
        <v>22</v>
      </c>
      <c r="E177" s="4" t="s">
        <v>185</v>
      </c>
      <c r="F177" s="4" t="s">
        <v>244</v>
      </c>
      <c r="G177" s="4" t="s">
        <v>765</v>
      </c>
      <c r="H177" s="4" t="s">
        <v>766</v>
      </c>
      <c r="I177" s="5" t="s">
        <v>157</v>
      </c>
      <c r="J177" s="4"/>
      <c r="K177" s="5" t="s">
        <v>158</v>
      </c>
      <c r="L177" s="4"/>
      <c r="M177" s="5" t="s">
        <v>158</v>
      </c>
      <c r="N177" s="4" t="s">
        <v>767</v>
      </c>
      <c r="O177" s="5" t="s">
        <v>157</v>
      </c>
      <c r="P177" s="4" t="s">
        <v>253</v>
      </c>
      <c r="Q177" s="5" t="s">
        <v>157</v>
      </c>
      <c r="R177" s="5" t="n">
        <v>0</v>
      </c>
      <c r="S177" s="5" t="s">
        <v>158</v>
      </c>
      <c r="T177" s="4"/>
      <c r="U177" s="5" t="s">
        <v>158</v>
      </c>
      <c r="V177" s="5" t="n">
        <v>19</v>
      </c>
      <c r="W177" s="5" t="s">
        <v>157</v>
      </c>
      <c r="X177" s="5" t="n">
        <v>4</v>
      </c>
      <c r="Y177" s="4" t="s">
        <v>435</v>
      </c>
    </row>
    <row r="178" customFormat="false" ht="23.85" hidden="false" customHeight="false" outlineLevel="0" collapsed="false">
      <c r="A178" s="5" t="n">
        <v>42798</v>
      </c>
      <c r="B178" s="5" t="s">
        <v>73</v>
      </c>
      <c r="C178" s="5" t="s">
        <v>768</v>
      </c>
      <c r="D178" s="4" t="s">
        <v>22</v>
      </c>
      <c r="E178" s="4" t="s">
        <v>185</v>
      </c>
      <c r="F178" s="4" t="s">
        <v>244</v>
      </c>
      <c r="G178" s="4" t="s">
        <v>769</v>
      </c>
      <c r="H178" s="4" t="s">
        <v>770</v>
      </c>
      <c r="I178" s="5" t="s">
        <v>157</v>
      </c>
      <c r="J178" s="4"/>
      <c r="K178" s="5" t="s">
        <v>158</v>
      </c>
      <c r="L178" s="4"/>
      <c r="M178" s="5" t="s">
        <v>158</v>
      </c>
      <c r="N178" s="4" t="s">
        <v>566</v>
      </c>
      <c r="O178" s="5" t="s">
        <v>157</v>
      </c>
      <c r="P178" s="4" t="s">
        <v>253</v>
      </c>
      <c r="Q178" s="5" t="s">
        <v>157</v>
      </c>
      <c r="R178" s="5" t="n">
        <v>0</v>
      </c>
      <c r="S178" s="5" t="s">
        <v>158</v>
      </c>
      <c r="T178" s="4"/>
      <c r="U178" s="5" t="s">
        <v>158</v>
      </c>
      <c r="V178" s="5" t="n">
        <v>0</v>
      </c>
      <c r="W178" s="5" t="s">
        <v>158</v>
      </c>
      <c r="X178" s="5" t="n">
        <v>5</v>
      </c>
      <c r="Y178" s="4" t="s">
        <v>254</v>
      </c>
    </row>
    <row r="179" customFormat="false" ht="35.05" hidden="false" customHeight="false" outlineLevel="0" collapsed="false">
      <c r="A179" s="5" t="n">
        <v>42799</v>
      </c>
      <c r="B179" s="5" t="s">
        <v>73</v>
      </c>
      <c r="C179" s="5" t="s">
        <v>771</v>
      </c>
      <c r="D179" s="4" t="s">
        <v>24</v>
      </c>
      <c r="E179" s="4" t="s">
        <v>194</v>
      </c>
      <c r="F179" s="4" t="s">
        <v>154</v>
      </c>
      <c r="G179" s="4" t="s">
        <v>772</v>
      </c>
      <c r="H179" s="4"/>
      <c r="I179" s="5" t="s">
        <v>158</v>
      </c>
      <c r="J179" s="4"/>
      <c r="K179" s="5" t="s">
        <v>158</v>
      </c>
      <c r="L179" s="4"/>
      <c r="M179" s="5" t="s">
        <v>158</v>
      </c>
      <c r="N179" s="4"/>
      <c r="O179" s="5" t="s">
        <v>158</v>
      </c>
      <c r="P179" s="4"/>
      <c r="Q179" s="5" t="s">
        <v>158</v>
      </c>
      <c r="R179" s="5" t="n">
        <v>0</v>
      </c>
      <c r="S179" s="5" t="s">
        <v>158</v>
      </c>
      <c r="T179" s="4"/>
      <c r="U179" s="5" t="s">
        <v>158</v>
      </c>
      <c r="V179" s="5" t="n">
        <v>0</v>
      </c>
      <c r="W179" s="5" t="s">
        <v>158</v>
      </c>
      <c r="X179" s="5" t="n">
        <v>8</v>
      </c>
      <c r="Y179" s="4" t="s">
        <v>224</v>
      </c>
    </row>
    <row r="180" customFormat="false" ht="23.85" hidden="false" customHeight="false" outlineLevel="0" collapsed="false">
      <c r="A180" s="5" t="n">
        <v>42819</v>
      </c>
      <c r="B180" s="5" t="s">
        <v>74</v>
      </c>
      <c r="C180" s="5" t="s">
        <v>414</v>
      </c>
      <c r="D180" s="4" t="s">
        <v>28</v>
      </c>
      <c r="E180" s="4" t="s">
        <v>153</v>
      </c>
      <c r="F180" s="4" t="s">
        <v>154</v>
      </c>
      <c r="G180" s="4" t="s">
        <v>226</v>
      </c>
      <c r="H180" s="4" t="s">
        <v>223</v>
      </c>
      <c r="I180" s="5" t="s">
        <v>157</v>
      </c>
      <c r="J180" s="4"/>
      <c r="K180" s="5" t="s">
        <v>158</v>
      </c>
      <c r="L180" s="4" t="s">
        <v>368</v>
      </c>
      <c r="M180" s="5" t="s">
        <v>157</v>
      </c>
      <c r="N180" s="4" t="s">
        <v>223</v>
      </c>
      <c r="O180" s="5" t="s">
        <v>157</v>
      </c>
      <c r="P180" s="4" t="s">
        <v>160</v>
      </c>
      <c r="Q180" s="5" t="s">
        <v>157</v>
      </c>
      <c r="R180" s="5" t="n">
        <v>0</v>
      </c>
      <c r="S180" s="5" t="s">
        <v>158</v>
      </c>
      <c r="T180" s="4"/>
      <c r="U180" s="5" t="s">
        <v>158</v>
      </c>
      <c r="V180" s="5" t="n">
        <v>0</v>
      </c>
      <c r="W180" s="5" t="s">
        <v>158</v>
      </c>
      <c r="X180" s="5" t="n">
        <v>4</v>
      </c>
      <c r="Y180" s="4" t="s">
        <v>161</v>
      </c>
    </row>
    <row r="181" customFormat="false" ht="23.85" hidden="false" customHeight="false" outlineLevel="0" collapsed="false">
      <c r="A181" s="5" t="n">
        <v>42820</v>
      </c>
      <c r="B181" s="5" t="s">
        <v>74</v>
      </c>
      <c r="C181" s="5" t="s">
        <v>483</v>
      </c>
      <c r="D181" s="4" t="s">
        <v>28</v>
      </c>
      <c r="E181" s="4" t="s">
        <v>153</v>
      </c>
      <c r="F181" s="4" t="s">
        <v>154</v>
      </c>
      <c r="G181" s="4" t="s">
        <v>773</v>
      </c>
      <c r="H181" s="4" t="s">
        <v>774</v>
      </c>
      <c r="I181" s="5" t="s">
        <v>157</v>
      </c>
      <c r="J181" s="4"/>
      <c r="K181" s="5" t="s">
        <v>158</v>
      </c>
      <c r="L181" s="4" t="s">
        <v>775</v>
      </c>
      <c r="M181" s="5" t="s">
        <v>157</v>
      </c>
      <c r="N181" s="4" t="s">
        <v>774</v>
      </c>
      <c r="O181" s="5" t="s">
        <v>157</v>
      </c>
      <c r="P181" s="4" t="s">
        <v>160</v>
      </c>
      <c r="Q181" s="5" t="s">
        <v>157</v>
      </c>
      <c r="R181" s="5" t="n">
        <v>0</v>
      </c>
      <c r="S181" s="5" t="s">
        <v>158</v>
      </c>
      <c r="T181" s="4"/>
      <c r="U181" s="5" t="s">
        <v>158</v>
      </c>
      <c r="V181" s="5" t="n">
        <v>0</v>
      </c>
      <c r="W181" s="5" t="s">
        <v>158</v>
      </c>
      <c r="X181" s="5" t="n">
        <v>4</v>
      </c>
      <c r="Y181" s="4" t="s">
        <v>161</v>
      </c>
    </row>
    <row r="182" customFormat="false" ht="23.85" hidden="false" customHeight="false" outlineLevel="0" collapsed="false">
      <c r="A182" s="5" t="n">
        <v>42821</v>
      </c>
      <c r="B182" s="5" t="s">
        <v>74</v>
      </c>
      <c r="C182" s="5" t="s">
        <v>152</v>
      </c>
      <c r="D182" s="4" t="s">
        <v>28</v>
      </c>
      <c r="E182" s="4" t="s">
        <v>153</v>
      </c>
      <c r="F182" s="4" t="s">
        <v>154</v>
      </c>
      <c r="G182" s="4" t="s">
        <v>776</v>
      </c>
      <c r="H182" s="4" t="s">
        <v>777</v>
      </c>
      <c r="I182" s="5" t="s">
        <v>157</v>
      </c>
      <c r="J182" s="4"/>
      <c r="K182" s="5" t="s">
        <v>158</v>
      </c>
      <c r="L182" s="4" t="s">
        <v>385</v>
      </c>
      <c r="M182" s="5" t="s">
        <v>157</v>
      </c>
      <c r="N182" s="4" t="s">
        <v>777</v>
      </c>
      <c r="O182" s="5" t="s">
        <v>157</v>
      </c>
      <c r="P182" s="4" t="s">
        <v>160</v>
      </c>
      <c r="Q182" s="5" t="s">
        <v>157</v>
      </c>
      <c r="R182" s="5" t="n">
        <v>0</v>
      </c>
      <c r="S182" s="5" t="s">
        <v>158</v>
      </c>
      <c r="T182" s="4" t="s">
        <v>160</v>
      </c>
      <c r="U182" s="5" t="s">
        <v>157</v>
      </c>
      <c r="V182" s="5" t="n">
        <v>0</v>
      </c>
      <c r="W182" s="5" t="s">
        <v>158</v>
      </c>
      <c r="X182" s="5" t="n">
        <v>3</v>
      </c>
      <c r="Y182" s="4" t="s">
        <v>209</v>
      </c>
    </row>
    <row r="183" customFormat="false" ht="23.85" hidden="false" customHeight="false" outlineLevel="0" collapsed="false">
      <c r="A183" s="5" t="n">
        <v>42822</v>
      </c>
      <c r="B183" s="5" t="s">
        <v>74</v>
      </c>
      <c r="C183" s="5" t="s">
        <v>162</v>
      </c>
      <c r="D183" s="4" t="s">
        <v>28</v>
      </c>
      <c r="E183" s="4" t="s">
        <v>153</v>
      </c>
      <c r="F183" s="4" t="s">
        <v>154</v>
      </c>
      <c r="G183" s="4" t="s">
        <v>778</v>
      </c>
      <c r="H183" s="4" t="s">
        <v>779</v>
      </c>
      <c r="I183" s="5" t="s">
        <v>157</v>
      </c>
      <c r="J183" s="4"/>
      <c r="K183" s="5" t="s">
        <v>158</v>
      </c>
      <c r="L183" s="4" t="s">
        <v>780</v>
      </c>
      <c r="M183" s="5" t="s">
        <v>157</v>
      </c>
      <c r="N183" s="4" t="s">
        <v>779</v>
      </c>
      <c r="O183" s="5" t="s">
        <v>157</v>
      </c>
      <c r="P183" s="4" t="s">
        <v>282</v>
      </c>
      <c r="Q183" s="5" t="s">
        <v>157</v>
      </c>
      <c r="R183" s="5" t="n">
        <v>0</v>
      </c>
      <c r="S183" s="5" t="s">
        <v>158</v>
      </c>
      <c r="T183" s="4"/>
      <c r="U183" s="5" t="s">
        <v>158</v>
      </c>
      <c r="V183" s="5" t="n">
        <v>0</v>
      </c>
      <c r="W183" s="5" t="s">
        <v>158</v>
      </c>
      <c r="X183" s="5" t="n">
        <v>4</v>
      </c>
      <c r="Y183" s="4" t="s">
        <v>161</v>
      </c>
    </row>
    <row r="184" customFormat="false" ht="23.85" hidden="false" customHeight="false" outlineLevel="0" collapsed="false">
      <c r="A184" s="5" t="n">
        <v>42825</v>
      </c>
      <c r="B184" s="5" t="s">
        <v>74</v>
      </c>
      <c r="C184" s="5" t="s">
        <v>781</v>
      </c>
      <c r="D184" s="4" t="s">
        <v>28</v>
      </c>
      <c r="E184" s="4" t="s">
        <v>153</v>
      </c>
      <c r="F184" s="4" t="s">
        <v>154</v>
      </c>
      <c r="G184" s="4" t="s">
        <v>242</v>
      </c>
      <c r="H184" s="4" t="s">
        <v>181</v>
      </c>
      <c r="I184" s="5" t="s">
        <v>157</v>
      </c>
      <c r="J184" s="4"/>
      <c r="K184" s="5" t="s">
        <v>158</v>
      </c>
      <c r="L184" s="4"/>
      <c r="M184" s="5" t="s">
        <v>158</v>
      </c>
      <c r="N184" s="4"/>
      <c r="O184" s="5" t="s">
        <v>158</v>
      </c>
      <c r="P184" s="4" t="s">
        <v>182</v>
      </c>
      <c r="Q184" s="5" t="s">
        <v>157</v>
      </c>
      <c r="R184" s="5" t="n">
        <v>0</v>
      </c>
      <c r="S184" s="5" t="s">
        <v>158</v>
      </c>
      <c r="T184" s="4"/>
      <c r="U184" s="5" t="s">
        <v>158</v>
      </c>
      <c r="V184" s="5" t="n">
        <v>0</v>
      </c>
      <c r="W184" s="5" t="s">
        <v>158</v>
      </c>
      <c r="X184" s="5" t="n">
        <v>6</v>
      </c>
      <c r="Y184" s="4" t="s">
        <v>183</v>
      </c>
    </row>
    <row r="185" customFormat="false" ht="23.85" hidden="false" customHeight="false" outlineLevel="0" collapsed="false">
      <c r="A185" s="5" t="n">
        <v>42826</v>
      </c>
      <c r="B185" s="5" t="s">
        <v>74</v>
      </c>
      <c r="C185" s="5" t="s">
        <v>782</v>
      </c>
      <c r="D185" s="4" t="s">
        <v>22</v>
      </c>
      <c r="E185" s="4" t="s">
        <v>185</v>
      </c>
      <c r="F185" s="4" t="s">
        <v>244</v>
      </c>
      <c r="G185" s="4" t="s">
        <v>783</v>
      </c>
      <c r="H185" s="4" t="s">
        <v>784</v>
      </c>
      <c r="I185" s="5" t="s">
        <v>157</v>
      </c>
      <c r="J185" s="4"/>
      <c r="K185" s="5" t="s">
        <v>158</v>
      </c>
      <c r="L185" s="4"/>
      <c r="M185" s="5" t="s">
        <v>158</v>
      </c>
      <c r="N185" s="4" t="s">
        <v>785</v>
      </c>
      <c r="O185" s="5" t="s">
        <v>157</v>
      </c>
      <c r="P185" s="4" t="s">
        <v>253</v>
      </c>
      <c r="Q185" s="5" t="s">
        <v>157</v>
      </c>
      <c r="R185" s="5" t="n">
        <v>0</v>
      </c>
      <c r="S185" s="5" t="s">
        <v>158</v>
      </c>
      <c r="T185" s="4"/>
      <c r="U185" s="5" t="s">
        <v>158</v>
      </c>
      <c r="V185" s="5" t="n">
        <v>0</v>
      </c>
      <c r="W185" s="5" t="s">
        <v>158</v>
      </c>
      <c r="X185" s="5" t="n">
        <v>5</v>
      </c>
      <c r="Y185" s="4" t="s">
        <v>254</v>
      </c>
    </row>
    <row r="186" customFormat="false" ht="23.85" hidden="false" customHeight="false" outlineLevel="0" collapsed="false">
      <c r="A186" s="5" t="n">
        <v>42827</v>
      </c>
      <c r="B186" s="5" t="s">
        <v>74</v>
      </c>
      <c r="C186" s="5" t="s">
        <v>786</v>
      </c>
      <c r="D186" s="4" t="s">
        <v>18</v>
      </c>
      <c r="E186" s="4" t="s">
        <v>194</v>
      </c>
      <c r="F186" s="4" t="s">
        <v>154</v>
      </c>
      <c r="G186" s="4" t="s">
        <v>787</v>
      </c>
      <c r="H186" s="4" t="s">
        <v>788</v>
      </c>
      <c r="I186" s="5" t="s">
        <v>157</v>
      </c>
      <c r="J186" s="4"/>
      <c r="K186" s="5" t="s">
        <v>158</v>
      </c>
      <c r="L186" s="4"/>
      <c r="M186" s="5" t="s">
        <v>158</v>
      </c>
      <c r="N186" s="4" t="s">
        <v>789</v>
      </c>
      <c r="O186" s="5" t="s">
        <v>157</v>
      </c>
      <c r="P186" s="4" t="s">
        <v>277</v>
      </c>
      <c r="Q186" s="5" t="s">
        <v>157</v>
      </c>
      <c r="R186" s="5" t="n">
        <v>0</v>
      </c>
      <c r="S186" s="5" t="s">
        <v>158</v>
      </c>
      <c r="T186" s="4"/>
      <c r="U186" s="5" t="s">
        <v>158</v>
      </c>
      <c r="V186" s="5" t="n">
        <v>24</v>
      </c>
      <c r="W186" s="5" t="s">
        <v>157</v>
      </c>
      <c r="X186" s="5" t="n">
        <v>4</v>
      </c>
      <c r="Y186" s="4" t="s">
        <v>435</v>
      </c>
    </row>
    <row r="187" customFormat="false" ht="23.85" hidden="false" customHeight="false" outlineLevel="0" collapsed="false">
      <c r="A187" s="5" t="n">
        <v>42835</v>
      </c>
      <c r="B187" s="5" t="s">
        <v>75</v>
      </c>
      <c r="C187" s="5" t="s">
        <v>790</v>
      </c>
      <c r="D187" s="4" t="s">
        <v>32</v>
      </c>
      <c r="E187" s="4" t="s">
        <v>194</v>
      </c>
      <c r="F187" s="4" t="s">
        <v>154</v>
      </c>
      <c r="G187" s="4" t="s">
        <v>791</v>
      </c>
      <c r="H187" s="4" t="s">
        <v>792</v>
      </c>
      <c r="I187" s="5" t="s">
        <v>157</v>
      </c>
      <c r="J187" s="4" t="s">
        <v>793</v>
      </c>
      <c r="K187" s="5" t="s">
        <v>157</v>
      </c>
      <c r="L187" s="4" t="s">
        <v>794</v>
      </c>
      <c r="M187" s="5" t="s">
        <v>157</v>
      </c>
      <c r="N187" s="4" t="s">
        <v>795</v>
      </c>
      <c r="O187" s="5" t="s">
        <v>157</v>
      </c>
      <c r="P187" s="4" t="s">
        <v>796</v>
      </c>
      <c r="Q187" s="5" t="s">
        <v>157</v>
      </c>
      <c r="R187" s="5" t="n">
        <v>0</v>
      </c>
      <c r="S187" s="5" t="s">
        <v>158</v>
      </c>
      <c r="T187" s="4" t="s">
        <v>289</v>
      </c>
      <c r="U187" s="5" t="s">
        <v>157</v>
      </c>
      <c r="V187" s="5" t="n">
        <v>0</v>
      </c>
      <c r="W187" s="5" t="s">
        <v>158</v>
      </c>
      <c r="X187" s="5" t="n">
        <v>2</v>
      </c>
      <c r="Y187" s="4" t="s">
        <v>192</v>
      </c>
    </row>
    <row r="188" customFormat="false" ht="23.85" hidden="false" customHeight="false" outlineLevel="0" collapsed="false">
      <c r="A188" s="5" t="n">
        <v>42836</v>
      </c>
      <c r="B188" s="5" t="s">
        <v>75</v>
      </c>
      <c r="C188" s="5" t="s">
        <v>797</v>
      </c>
      <c r="D188" s="4" t="s">
        <v>28</v>
      </c>
      <c r="E188" s="4" t="s">
        <v>153</v>
      </c>
      <c r="F188" s="4" t="s">
        <v>154</v>
      </c>
      <c r="G188" s="4" t="s">
        <v>798</v>
      </c>
      <c r="H188" s="4" t="s">
        <v>799</v>
      </c>
      <c r="I188" s="5" t="s">
        <v>157</v>
      </c>
      <c r="J188" s="4"/>
      <c r="K188" s="5" t="s">
        <v>158</v>
      </c>
      <c r="L188" s="4" t="s">
        <v>800</v>
      </c>
      <c r="M188" s="5" t="s">
        <v>157</v>
      </c>
      <c r="N188" s="4" t="s">
        <v>801</v>
      </c>
      <c r="O188" s="5" t="s">
        <v>157</v>
      </c>
      <c r="P188" s="4" t="s">
        <v>160</v>
      </c>
      <c r="Q188" s="5" t="s">
        <v>157</v>
      </c>
      <c r="R188" s="5" t="n">
        <v>0</v>
      </c>
      <c r="S188" s="5" t="s">
        <v>158</v>
      </c>
      <c r="T188" s="4" t="s">
        <v>160</v>
      </c>
      <c r="U188" s="5" t="s">
        <v>157</v>
      </c>
      <c r="V188" s="5" t="n">
        <v>0</v>
      </c>
      <c r="W188" s="5" t="s">
        <v>158</v>
      </c>
      <c r="X188" s="5" t="n">
        <v>3</v>
      </c>
      <c r="Y188" s="4" t="s">
        <v>209</v>
      </c>
    </row>
    <row r="189" customFormat="false" ht="23.85" hidden="false" customHeight="false" outlineLevel="0" collapsed="false">
      <c r="A189" s="5" t="n">
        <v>42837</v>
      </c>
      <c r="B189" s="5" t="s">
        <v>75</v>
      </c>
      <c r="C189" s="5" t="s">
        <v>802</v>
      </c>
      <c r="D189" s="4" t="s">
        <v>28</v>
      </c>
      <c r="E189" s="4" t="s">
        <v>153</v>
      </c>
      <c r="F189" s="4" t="s">
        <v>154</v>
      </c>
      <c r="G189" s="4" t="s">
        <v>803</v>
      </c>
      <c r="H189" s="4" t="s">
        <v>302</v>
      </c>
      <c r="I189" s="5" t="s">
        <v>157</v>
      </c>
      <c r="J189" s="4"/>
      <c r="K189" s="5" t="s">
        <v>158</v>
      </c>
      <c r="L189" s="4" t="s">
        <v>302</v>
      </c>
      <c r="M189" s="5" t="s">
        <v>157</v>
      </c>
      <c r="N189" s="4"/>
      <c r="O189" s="5" t="s">
        <v>158</v>
      </c>
      <c r="P189" s="4" t="s">
        <v>160</v>
      </c>
      <c r="Q189" s="5" t="s">
        <v>157</v>
      </c>
      <c r="R189" s="5" t="n">
        <v>0</v>
      </c>
      <c r="S189" s="5" t="s">
        <v>158</v>
      </c>
      <c r="T189" s="4" t="s">
        <v>160</v>
      </c>
      <c r="U189" s="5" t="s">
        <v>157</v>
      </c>
      <c r="V189" s="5" t="n">
        <v>0</v>
      </c>
      <c r="W189" s="5" t="s">
        <v>158</v>
      </c>
      <c r="X189" s="5" t="n">
        <v>4</v>
      </c>
      <c r="Y189" s="4" t="s">
        <v>519</v>
      </c>
    </row>
    <row r="190" customFormat="false" ht="23.85" hidden="false" customHeight="false" outlineLevel="0" collapsed="false">
      <c r="A190" s="5" t="n">
        <v>42838</v>
      </c>
      <c r="B190" s="5" t="s">
        <v>75</v>
      </c>
      <c r="C190" s="5" t="s">
        <v>804</v>
      </c>
      <c r="D190" s="4" t="s">
        <v>28</v>
      </c>
      <c r="E190" s="4" t="s">
        <v>153</v>
      </c>
      <c r="F190" s="4" t="s">
        <v>154</v>
      </c>
      <c r="G190" s="4" t="s">
        <v>805</v>
      </c>
      <c r="H190" s="4" t="s">
        <v>806</v>
      </c>
      <c r="I190" s="5" t="s">
        <v>157</v>
      </c>
      <c r="J190" s="4"/>
      <c r="K190" s="5" t="s">
        <v>158</v>
      </c>
      <c r="L190" s="4"/>
      <c r="M190" s="5" t="s">
        <v>158</v>
      </c>
      <c r="N190" s="4"/>
      <c r="O190" s="5" t="s">
        <v>158</v>
      </c>
      <c r="P190" s="4" t="s">
        <v>160</v>
      </c>
      <c r="Q190" s="5" t="s">
        <v>157</v>
      </c>
      <c r="R190" s="5" t="n">
        <v>0</v>
      </c>
      <c r="S190" s="5" t="s">
        <v>158</v>
      </c>
      <c r="T190" s="4" t="s">
        <v>160</v>
      </c>
      <c r="U190" s="5" t="s">
        <v>157</v>
      </c>
      <c r="V190" s="5" t="n">
        <v>0</v>
      </c>
      <c r="W190" s="5" t="s">
        <v>158</v>
      </c>
      <c r="X190" s="5" t="n">
        <v>5</v>
      </c>
      <c r="Y190" s="4" t="s">
        <v>513</v>
      </c>
    </row>
    <row r="191" customFormat="false" ht="23.85" hidden="false" customHeight="false" outlineLevel="0" collapsed="false">
      <c r="A191" s="5" t="n">
        <v>42839</v>
      </c>
      <c r="B191" s="5" t="s">
        <v>75</v>
      </c>
      <c r="C191" s="5" t="s">
        <v>807</v>
      </c>
      <c r="D191" s="4" t="s">
        <v>28</v>
      </c>
      <c r="E191" s="4" t="s">
        <v>153</v>
      </c>
      <c r="F191" s="4" t="s">
        <v>154</v>
      </c>
      <c r="G191" s="4" t="s">
        <v>808</v>
      </c>
      <c r="H191" s="4" t="s">
        <v>809</v>
      </c>
      <c r="I191" s="5" t="s">
        <v>157</v>
      </c>
      <c r="J191" s="4"/>
      <c r="K191" s="5" t="s">
        <v>158</v>
      </c>
      <c r="L191" s="4"/>
      <c r="M191" s="5" t="s">
        <v>158</v>
      </c>
      <c r="N191" s="4"/>
      <c r="O191" s="5" t="s">
        <v>158</v>
      </c>
      <c r="P191" s="4"/>
      <c r="Q191" s="5" t="s">
        <v>158</v>
      </c>
      <c r="R191" s="5" t="n">
        <v>0</v>
      </c>
      <c r="S191" s="5" t="s">
        <v>158</v>
      </c>
      <c r="T191" s="4"/>
      <c r="U191" s="5" t="s">
        <v>158</v>
      </c>
      <c r="V191" s="5" t="n">
        <v>0</v>
      </c>
      <c r="W191" s="5" t="s">
        <v>158</v>
      </c>
      <c r="X191" s="5" t="n">
        <v>7</v>
      </c>
      <c r="Y191" s="4" t="s">
        <v>320</v>
      </c>
    </row>
    <row r="192" customFormat="false" ht="23.85" hidden="false" customHeight="false" outlineLevel="0" collapsed="false">
      <c r="A192" s="5" t="n">
        <v>42840</v>
      </c>
      <c r="B192" s="5" t="s">
        <v>75</v>
      </c>
      <c r="C192" s="5" t="s">
        <v>810</v>
      </c>
      <c r="D192" s="4" t="s">
        <v>30</v>
      </c>
      <c r="E192" s="4" t="s">
        <v>153</v>
      </c>
      <c r="F192" s="4" t="s">
        <v>154</v>
      </c>
      <c r="G192" s="4" t="s">
        <v>811</v>
      </c>
      <c r="H192" s="4" t="s">
        <v>811</v>
      </c>
      <c r="I192" s="5" t="s">
        <v>157</v>
      </c>
      <c r="J192" s="4"/>
      <c r="K192" s="5" t="s">
        <v>158</v>
      </c>
      <c r="L192" s="4" t="s">
        <v>491</v>
      </c>
      <c r="M192" s="5" t="s">
        <v>157</v>
      </c>
      <c r="N192" s="4" t="s">
        <v>811</v>
      </c>
      <c r="O192" s="5" t="s">
        <v>157</v>
      </c>
      <c r="P192" s="4" t="s">
        <v>277</v>
      </c>
      <c r="Q192" s="5" t="s">
        <v>157</v>
      </c>
      <c r="R192" s="5" t="n">
        <v>0</v>
      </c>
      <c r="S192" s="5" t="s">
        <v>158</v>
      </c>
      <c r="T192" s="4"/>
      <c r="U192" s="5" t="s">
        <v>158</v>
      </c>
      <c r="V192" s="5" t="n">
        <v>0</v>
      </c>
      <c r="W192" s="5" t="s">
        <v>158</v>
      </c>
      <c r="X192" s="5" t="n">
        <v>4</v>
      </c>
      <c r="Y192" s="4" t="s">
        <v>161</v>
      </c>
    </row>
    <row r="193" customFormat="false" ht="23.85" hidden="false" customHeight="false" outlineLevel="0" collapsed="false">
      <c r="A193" s="5" t="n">
        <v>42841</v>
      </c>
      <c r="B193" s="5" t="s">
        <v>75</v>
      </c>
      <c r="C193" s="5" t="s">
        <v>812</v>
      </c>
      <c r="D193" s="4" t="s">
        <v>30</v>
      </c>
      <c r="E193" s="4" t="s">
        <v>153</v>
      </c>
      <c r="F193" s="4" t="s">
        <v>154</v>
      </c>
      <c r="G193" s="4" t="s">
        <v>813</v>
      </c>
      <c r="H193" s="4" t="s">
        <v>814</v>
      </c>
      <c r="I193" s="5" t="s">
        <v>157</v>
      </c>
      <c r="J193" s="4"/>
      <c r="K193" s="5" t="s">
        <v>158</v>
      </c>
      <c r="L193" s="4"/>
      <c r="M193" s="5" t="s">
        <v>158</v>
      </c>
      <c r="N193" s="4"/>
      <c r="O193" s="5" t="s">
        <v>158</v>
      </c>
      <c r="P193" s="4"/>
      <c r="Q193" s="5" t="s">
        <v>158</v>
      </c>
      <c r="R193" s="5" t="n">
        <v>0</v>
      </c>
      <c r="S193" s="5" t="s">
        <v>158</v>
      </c>
      <c r="T193" s="4"/>
      <c r="U193" s="5" t="s">
        <v>158</v>
      </c>
      <c r="V193" s="5" t="n">
        <v>0</v>
      </c>
      <c r="W193" s="5" t="s">
        <v>158</v>
      </c>
      <c r="X193" s="5" t="n">
        <v>7</v>
      </c>
      <c r="Y193" s="4" t="s">
        <v>320</v>
      </c>
    </row>
    <row r="194" customFormat="false" ht="23.85" hidden="false" customHeight="false" outlineLevel="0" collapsed="false">
      <c r="A194" s="5" t="n">
        <v>42842</v>
      </c>
      <c r="B194" s="5" t="s">
        <v>76</v>
      </c>
      <c r="C194" s="5" t="s">
        <v>815</v>
      </c>
      <c r="D194" s="4" t="s">
        <v>22</v>
      </c>
      <c r="E194" s="4" t="s">
        <v>185</v>
      </c>
      <c r="F194" s="4" t="s">
        <v>244</v>
      </c>
      <c r="G194" s="4" t="s">
        <v>816</v>
      </c>
      <c r="H194" s="4" t="s">
        <v>817</v>
      </c>
      <c r="I194" s="5" t="s">
        <v>157</v>
      </c>
      <c r="J194" s="4"/>
      <c r="K194" s="5" t="s">
        <v>158</v>
      </c>
      <c r="L194" s="4" t="s">
        <v>818</v>
      </c>
      <c r="M194" s="5" t="s">
        <v>157</v>
      </c>
      <c r="N194" s="4"/>
      <c r="O194" s="5" t="s">
        <v>158</v>
      </c>
      <c r="P194" s="4" t="s">
        <v>247</v>
      </c>
      <c r="Q194" s="5" t="s">
        <v>157</v>
      </c>
      <c r="R194" s="5" t="n">
        <v>0</v>
      </c>
      <c r="S194" s="5" t="s">
        <v>158</v>
      </c>
      <c r="T194" s="4"/>
      <c r="U194" s="5" t="s">
        <v>158</v>
      </c>
      <c r="V194" s="5" t="n">
        <v>0</v>
      </c>
      <c r="W194" s="5" t="s">
        <v>158</v>
      </c>
      <c r="X194" s="5" t="n">
        <v>5</v>
      </c>
      <c r="Y194" s="4" t="s">
        <v>248</v>
      </c>
    </row>
    <row r="195" customFormat="false" ht="23.85" hidden="false" customHeight="false" outlineLevel="0" collapsed="false">
      <c r="A195" s="5" t="n">
        <v>42843</v>
      </c>
      <c r="B195" s="5" t="s">
        <v>76</v>
      </c>
      <c r="C195" s="5" t="s">
        <v>819</v>
      </c>
      <c r="D195" s="4" t="s">
        <v>22</v>
      </c>
      <c r="E195" s="4" t="s">
        <v>185</v>
      </c>
      <c r="F195" s="4" t="s">
        <v>244</v>
      </c>
      <c r="G195" s="4" t="s">
        <v>820</v>
      </c>
      <c r="H195" s="4" t="s">
        <v>821</v>
      </c>
      <c r="I195" s="5" t="s">
        <v>157</v>
      </c>
      <c r="J195" s="4"/>
      <c r="K195" s="5" t="s">
        <v>158</v>
      </c>
      <c r="L195" s="4" t="s">
        <v>822</v>
      </c>
      <c r="M195" s="5" t="s">
        <v>157</v>
      </c>
      <c r="N195" s="4"/>
      <c r="O195" s="5" t="s">
        <v>158</v>
      </c>
      <c r="P195" s="4" t="s">
        <v>247</v>
      </c>
      <c r="Q195" s="5" t="s">
        <v>157</v>
      </c>
      <c r="R195" s="5" t="n">
        <v>0</v>
      </c>
      <c r="S195" s="5" t="s">
        <v>158</v>
      </c>
      <c r="T195" s="4"/>
      <c r="U195" s="5" t="s">
        <v>158</v>
      </c>
      <c r="V195" s="5" t="n">
        <v>0</v>
      </c>
      <c r="W195" s="5" t="s">
        <v>158</v>
      </c>
      <c r="X195" s="5" t="n">
        <v>5</v>
      </c>
      <c r="Y195" s="4" t="s">
        <v>248</v>
      </c>
    </row>
    <row r="196" customFormat="false" ht="23.85" hidden="false" customHeight="false" outlineLevel="0" collapsed="false">
      <c r="A196" s="5" t="n">
        <v>42844</v>
      </c>
      <c r="B196" s="5" t="s">
        <v>76</v>
      </c>
      <c r="C196" s="5" t="s">
        <v>823</v>
      </c>
      <c r="D196" s="4" t="s">
        <v>22</v>
      </c>
      <c r="E196" s="4" t="s">
        <v>185</v>
      </c>
      <c r="F196" s="4" t="s">
        <v>244</v>
      </c>
      <c r="G196" s="4" t="s">
        <v>824</v>
      </c>
      <c r="H196" s="4" t="s">
        <v>825</v>
      </c>
      <c r="I196" s="5" t="s">
        <v>157</v>
      </c>
      <c r="J196" s="4"/>
      <c r="K196" s="5" t="s">
        <v>158</v>
      </c>
      <c r="L196" s="4"/>
      <c r="M196" s="5" t="s">
        <v>158</v>
      </c>
      <c r="N196" s="4" t="s">
        <v>826</v>
      </c>
      <c r="O196" s="5" t="s">
        <v>157</v>
      </c>
      <c r="P196" s="4" t="s">
        <v>253</v>
      </c>
      <c r="Q196" s="5" t="s">
        <v>157</v>
      </c>
      <c r="R196" s="5" t="n">
        <v>0</v>
      </c>
      <c r="S196" s="5" t="s">
        <v>158</v>
      </c>
      <c r="T196" s="4"/>
      <c r="U196" s="5" t="s">
        <v>158</v>
      </c>
      <c r="V196" s="5" t="n">
        <v>0</v>
      </c>
      <c r="W196" s="5" t="s">
        <v>158</v>
      </c>
      <c r="X196" s="5" t="n">
        <v>5</v>
      </c>
      <c r="Y196" s="4" t="s">
        <v>254</v>
      </c>
    </row>
    <row r="197" customFormat="false" ht="23.85" hidden="false" customHeight="false" outlineLevel="0" collapsed="false">
      <c r="A197" s="5" t="n">
        <v>42845</v>
      </c>
      <c r="B197" s="5" t="s">
        <v>76</v>
      </c>
      <c r="C197" s="5" t="s">
        <v>827</v>
      </c>
      <c r="D197" s="4" t="s">
        <v>22</v>
      </c>
      <c r="E197" s="4" t="s">
        <v>185</v>
      </c>
      <c r="F197" s="4" t="s">
        <v>828</v>
      </c>
      <c r="G197" s="4" t="s">
        <v>829</v>
      </c>
      <c r="H197" s="4" t="s">
        <v>830</v>
      </c>
      <c r="I197" s="5" t="s">
        <v>157</v>
      </c>
      <c r="J197" s="4"/>
      <c r="K197" s="5" t="s">
        <v>158</v>
      </c>
      <c r="L197" s="4" t="s">
        <v>831</v>
      </c>
      <c r="M197" s="5" t="s">
        <v>157</v>
      </c>
      <c r="N197" s="4" t="s">
        <v>832</v>
      </c>
      <c r="O197" s="5" t="s">
        <v>157</v>
      </c>
      <c r="P197" s="4"/>
      <c r="Q197" s="5" t="s">
        <v>158</v>
      </c>
      <c r="R197" s="5" t="n">
        <v>0</v>
      </c>
      <c r="S197" s="5" t="s">
        <v>158</v>
      </c>
      <c r="T197" s="4"/>
      <c r="U197" s="5" t="s">
        <v>158</v>
      </c>
      <c r="V197" s="5" t="n">
        <v>0</v>
      </c>
      <c r="W197" s="5" t="s">
        <v>158</v>
      </c>
      <c r="X197" s="5" t="n">
        <v>5</v>
      </c>
      <c r="Y197" s="4" t="s">
        <v>527</v>
      </c>
    </row>
    <row r="198" customFormat="false" ht="23.85" hidden="false" customHeight="false" outlineLevel="0" collapsed="false">
      <c r="A198" s="5" t="n">
        <v>42848</v>
      </c>
      <c r="B198" s="5" t="s">
        <v>77</v>
      </c>
      <c r="C198" s="5" t="s">
        <v>311</v>
      </c>
      <c r="D198" s="4" t="s">
        <v>32</v>
      </c>
      <c r="E198" s="4" t="s">
        <v>194</v>
      </c>
      <c r="F198" s="4" t="s">
        <v>154</v>
      </c>
      <c r="G198" s="4" t="s">
        <v>833</v>
      </c>
      <c r="H198" s="4" t="s">
        <v>834</v>
      </c>
      <c r="I198" s="5" t="s">
        <v>157</v>
      </c>
      <c r="J198" s="4"/>
      <c r="K198" s="5" t="s">
        <v>158</v>
      </c>
      <c r="L198" s="4" t="s">
        <v>835</v>
      </c>
      <c r="M198" s="5" t="s">
        <v>157</v>
      </c>
      <c r="N198" s="4" t="s">
        <v>836</v>
      </c>
      <c r="O198" s="5" t="s">
        <v>157</v>
      </c>
      <c r="P198" s="4" t="s">
        <v>677</v>
      </c>
      <c r="Q198" s="5" t="s">
        <v>157</v>
      </c>
      <c r="R198" s="5" t="n">
        <v>0</v>
      </c>
      <c r="S198" s="5" t="s">
        <v>158</v>
      </c>
      <c r="T198" s="4" t="s">
        <v>160</v>
      </c>
      <c r="U198" s="5" t="s">
        <v>157</v>
      </c>
      <c r="V198" s="5" t="n">
        <v>0</v>
      </c>
      <c r="W198" s="5" t="s">
        <v>158</v>
      </c>
      <c r="X198" s="5" t="n">
        <v>3</v>
      </c>
      <c r="Y198" s="4" t="s">
        <v>209</v>
      </c>
    </row>
    <row r="199" customFormat="false" ht="23.85" hidden="false" customHeight="false" outlineLevel="0" collapsed="false">
      <c r="A199" s="5" t="n">
        <v>42853</v>
      </c>
      <c r="B199" s="5" t="s">
        <v>77</v>
      </c>
      <c r="C199" s="5" t="s">
        <v>837</v>
      </c>
      <c r="D199" s="4" t="s">
        <v>26</v>
      </c>
      <c r="E199" s="4" t="s">
        <v>194</v>
      </c>
      <c r="F199" s="4" t="s">
        <v>338</v>
      </c>
      <c r="G199" s="4" t="s">
        <v>838</v>
      </c>
      <c r="H199" s="4" t="s">
        <v>839</v>
      </c>
      <c r="I199" s="5" t="s">
        <v>157</v>
      </c>
      <c r="J199" s="4" t="s">
        <v>840</v>
      </c>
      <c r="K199" s="5" t="s">
        <v>157</v>
      </c>
      <c r="L199" s="4" t="s">
        <v>841</v>
      </c>
      <c r="M199" s="5" t="s">
        <v>157</v>
      </c>
      <c r="N199" s="4" t="s">
        <v>842</v>
      </c>
      <c r="O199" s="5" t="s">
        <v>157</v>
      </c>
      <c r="P199" s="4" t="s">
        <v>843</v>
      </c>
      <c r="Q199" s="5" t="s">
        <v>157</v>
      </c>
      <c r="R199" s="5" t="n">
        <v>0</v>
      </c>
      <c r="S199" s="5" t="s">
        <v>158</v>
      </c>
      <c r="T199" s="4" t="s">
        <v>518</v>
      </c>
      <c r="U199" s="5" t="s">
        <v>157</v>
      </c>
      <c r="V199" s="5" t="n">
        <v>60</v>
      </c>
      <c r="W199" s="5" t="s">
        <v>157</v>
      </c>
      <c r="X199" s="5" t="n">
        <v>1</v>
      </c>
      <c r="Y199" s="4" t="s">
        <v>844</v>
      </c>
    </row>
    <row r="200" customFormat="false" ht="23.85" hidden="false" customHeight="false" outlineLevel="0" collapsed="false">
      <c r="A200" s="5" t="n">
        <v>42855</v>
      </c>
      <c r="B200" s="5" t="s">
        <v>77</v>
      </c>
      <c r="C200" s="5" t="s">
        <v>845</v>
      </c>
      <c r="D200" s="4" t="s">
        <v>32</v>
      </c>
      <c r="E200" s="4" t="s">
        <v>194</v>
      </c>
      <c r="F200" s="4" t="s">
        <v>244</v>
      </c>
      <c r="G200" s="4" t="s">
        <v>846</v>
      </c>
      <c r="H200" s="4" t="s">
        <v>847</v>
      </c>
      <c r="I200" s="5" t="s">
        <v>157</v>
      </c>
      <c r="J200" s="4"/>
      <c r="K200" s="5" t="s">
        <v>158</v>
      </c>
      <c r="L200" s="4" t="s">
        <v>848</v>
      </c>
      <c r="M200" s="5" t="s">
        <v>157</v>
      </c>
      <c r="N200" s="4" t="s">
        <v>849</v>
      </c>
      <c r="O200" s="5" t="s">
        <v>157</v>
      </c>
      <c r="P200" s="4" t="s">
        <v>160</v>
      </c>
      <c r="Q200" s="5" t="s">
        <v>157</v>
      </c>
      <c r="R200" s="5" t="n">
        <v>0</v>
      </c>
      <c r="S200" s="5" t="s">
        <v>158</v>
      </c>
      <c r="T200" s="4" t="s">
        <v>160</v>
      </c>
      <c r="U200" s="5" t="s">
        <v>157</v>
      </c>
      <c r="V200" s="5" t="n">
        <v>0</v>
      </c>
      <c r="W200" s="5" t="s">
        <v>158</v>
      </c>
      <c r="X200" s="5" t="n">
        <v>3</v>
      </c>
      <c r="Y200" s="4" t="s">
        <v>209</v>
      </c>
    </row>
    <row r="201" customFormat="false" ht="23.85" hidden="false" customHeight="false" outlineLevel="0" collapsed="false">
      <c r="A201" s="5" t="n">
        <v>42856</v>
      </c>
      <c r="B201" s="5" t="s">
        <v>77</v>
      </c>
      <c r="C201" s="5" t="s">
        <v>850</v>
      </c>
      <c r="D201" s="4" t="s">
        <v>24</v>
      </c>
      <c r="E201" s="4" t="s">
        <v>194</v>
      </c>
      <c r="F201" s="4" t="s">
        <v>154</v>
      </c>
      <c r="G201" s="4" t="s">
        <v>851</v>
      </c>
      <c r="H201" s="4"/>
      <c r="I201" s="5" t="s">
        <v>158</v>
      </c>
      <c r="J201" s="4"/>
      <c r="K201" s="5" t="s">
        <v>158</v>
      </c>
      <c r="L201" s="4" t="s">
        <v>852</v>
      </c>
      <c r="M201" s="5" t="s">
        <v>157</v>
      </c>
      <c r="N201" s="4"/>
      <c r="O201" s="5" t="s">
        <v>158</v>
      </c>
      <c r="P201" s="4" t="s">
        <v>191</v>
      </c>
      <c r="Q201" s="5" t="s">
        <v>157</v>
      </c>
      <c r="R201" s="5" t="n">
        <v>0</v>
      </c>
      <c r="S201" s="5" t="s">
        <v>158</v>
      </c>
      <c r="T201" s="4"/>
      <c r="U201" s="5" t="s">
        <v>158</v>
      </c>
      <c r="V201" s="5" t="n">
        <v>0</v>
      </c>
      <c r="W201" s="5" t="s">
        <v>158</v>
      </c>
      <c r="X201" s="5" t="n">
        <v>6</v>
      </c>
      <c r="Y201" s="4" t="s">
        <v>428</v>
      </c>
    </row>
    <row r="202" customFormat="false" ht="23.85" hidden="false" customHeight="false" outlineLevel="0" collapsed="false">
      <c r="A202" s="5" t="n">
        <v>42857</v>
      </c>
      <c r="B202" s="5" t="s">
        <v>77</v>
      </c>
      <c r="C202" s="5" t="s">
        <v>853</v>
      </c>
      <c r="D202" s="4" t="s">
        <v>24</v>
      </c>
      <c r="E202" s="4" t="s">
        <v>194</v>
      </c>
      <c r="F202" s="4" t="s">
        <v>154</v>
      </c>
      <c r="G202" s="4" t="s">
        <v>854</v>
      </c>
      <c r="H202" s="4"/>
      <c r="I202" s="5" t="s">
        <v>158</v>
      </c>
      <c r="J202" s="4"/>
      <c r="K202" s="5" t="s">
        <v>158</v>
      </c>
      <c r="L202" s="4" t="s">
        <v>852</v>
      </c>
      <c r="M202" s="5" t="s">
        <v>157</v>
      </c>
      <c r="N202" s="4" t="s">
        <v>855</v>
      </c>
      <c r="O202" s="5" t="s">
        <v>157</v>
      </c>
      <c r="P202" s="4" t="s">
        <v>856</v>
      </c>
      <c r="Q202" s="5" t="s">
        <v>157</v>
      </c>
      <c r="R202" s="5" t="n">
        <v>0</v>
      </c>
      <c r="S202" s="5" t="s">
        <v>158</v>
      </c>
      <c r="T202" s="4" t="s">
        <v>289</v>
      </c>
      <c r="U202" s="5" t="s">
        <v>157</v>
      </c>
      <c r="V202" s="5" t="n">
        <v>0</v>
      </c>
      <c r="W202" s="5" t="s">
        <v>158</v>
      </c>
      <c r="X202" s="5" t="n">
        <v>4</v>
      </c>
      <c r="Y202" s="4" t="s">
        <v>857</v>
      </c>
    </row>
    <row r="203" customFormat="false" ht="23.85" hidden="false" customHeight="false" outlineLevel="0" collapsed="false">
      <c r="A203" s="5" t="n">
        <v>42858</v>
      </c>
      <c r="B203" s="5" t="s">
        <v>77</v>
      </c>
      <c r="C203" s="5" t="s">
        <v>462</v>
      </c>
      <c r="D203" s="4" t="s">
        <v>32</v>
      </c>
      <c r="E203" s="4" t="s">
        <v>194</v>
      </c>
      <c r="F203" s="4" t="s">
        <v>154</v>
      </c>
      <c r="G203" s="4" t="s">
        <v>858</v>
      </c>
      <c r="H203" s="4" t="s">
        <v>859</v>
      </c>
      <c r="I203" s="5" t="s">
        <v>157</v>
      </c>
      <c r="J203" s="4"/>
      <c r="K203" s="5" t="s">
        <v>158</v>
      </c>
      <c r="L203" s="4" t="s">
        <v>583</v>
      </c>
      <c r="M203" s="5" t="s">
        <v>157</v>
      </c>
      <c r="N203" s="4" t="s">
        <v>859</v>
      </c>
      <c r="O203" s="5" t="s">
        <v>157</v>
      </c>
      <c r="P203" s="4" t="s">
        <v>860</v>
      </c>
      <c r="Q203" s="5" t="s">
        <v>157</v>
      </c>
      <c r="R203" s="5" t="n">
        <v>0</v>
      </c>
      <c r="S203" s="5" t="s">
        <v>158</v>
      </c>
      <c r="T203" s="4" t="s">
        <v>160</v>
      </c>
      <c r="U203" s="5" t="s">
        <v>157</v>
      </c>
      <c r="V203" s="5" t="n">
        <v>0</v>
      </c>
      <c r="W203" s="5" t="s">
        <v>158</v>
      </c>
      <c r="X203" s="5" t="n">
        <v>3</v>
      </c>
      <c r="Y203" s="4" t="s">
        <v>209</v>
      </c>
    </row>
    <row r="204" customFormat="false" ht="23.85" hidden="false" customHeight="false" outlineLevel="0" collapsed="false">
      <c r="A204" s="5" t="n">
        <v>42859</v>
      </c>
      <c r="B204" s="5" t="s">
        <v>77</v>
      </c>
      <c r="C204" s="5" t="s">
        <v>861</v>
      </c>
      <c r="D204" s="4" t="s">
        <v>32</v>
      </c>
      <c r="E204" s="4" t="s">
        <v>194</v>
      </c>
      <c r="F204" s="4" t="s">
        <v>154</v>
      </c>
      <c r="G204" s="4" t="s">
        <v>862</v>
      </c>
      <c r="H204" s="4" t="s">
        <v>863</v>
      </c>
      <c r="I204" s="5" t="s">
        <v>157</v>
      </c>
      <c r="J204" s="4"/>
      <c r="K204" s="5" t="s">
        <v>158</v>
      </c>
      <c r="L204" s="4" t="s">
        <v>864</v>
      </c>
      <c r="M204" s="5" t="s">
        <v>157</v>
      </c>
      <c r="N204" s="4" t="s">
        <v>865</v>
      </c>
      <c r="O204" s="5" t="s">
        <v>157</v>
      </c>
      <c r="P204" s="4" t="s">
        <v>160</v>
      </c>
      <c r="Q204" s="5" t="s">
        <v>157</v>
      </c>
      <c r="R204" s="5" t="n">
        <v>0</v>
      </c>
      <c r="S204" s="5" t="s">
        <v>158</v>
      </c>
      <c r="T204" s="4" t="s">
        <v>160</v>
      </c>
      <c r="U204" s="5" t="s">
        <v>157</v>
      </c>
      <c r="V204" s="5" t="n">
        <v>0</v>
      </c>
      <c r="W204" s="5" t="s">
        <v>158</v>
      </c>
      <c r="X204" s="5" t="n">
        <v>3</v>
      </c>
      <c r="Y204" s="4" t="s">
        <v>209</v>
      </c>
    </row>
    <row r="205" customFormat="false" ht="23.85" hidden="false" customHeight="false" outlineLevel="0" collapsed="false">
      <c r="A205" s="5" t="n">
        <v>42860</v>
      </c>
      <c r="B205" s="5" t="s">
        <v>77</v>
      </c>
      <c r="C205" s="5" t="s">
        <v>278</v>
      </c>
      <c r="D205" s="4" t="s">
        <v>32</v>
      </c>
      <c r="E205" s="4" t="s">
        <v>194</v>
      </c>
      <c r="F205" s="4" t="s">
        <v>154</v>
      </c>
      <c r="G205" s="4" t="s">
        <v>866</v>
      </c>
      <c r="H205" s="4"/>
      <c r="I205" s="5" t="s">
        <v>158</v>
      </c>
      <c r="J205" s="4"/>
      <c r="K205" s="5" t="s">
        <v>158</v>
      </c>
      <c r="L205" s="4" t="s">
        <v>867</v>
      </c>
      <c r="M205" s="5" t="s">
        <v>157</v>
      </c>
      <c r="N205" s="4" t="s">
        <v>868</v>
      </c>
      <c r="O205" s="5" t="s">
        <v>157</v>
      </c>
      <c r="P205" s="4" t="s">
        <v>671</v>
      </c>
      <c r="Q205" s="5" t="s">
        <v>157</v>
      </c>
      <c r="R205" s="5" t="n">
        <v>0</v>
      </c>
      <c r="S205" s="5" t="s">
        <v>158</v>
      </c>
      <c r="T205" s="4" t="s">
        <v>160</v>
      </c>
      <c r="U205" s="5" t="s">
        <v>157</v>
      </c>
      <c r="V205" s="5" t="n">
        <v>0</v>
      </c>
      <c r="W205" s="5" t="s">
        <v>158</v>
      </c>
      <c r="X205" s="5" t="n">
        <v>4</v>
      </c>
      <c r="Y205" s="4" t="s">
        <v>857</v>
      </c>
    </row>
    <row r="206" customFormat="false" ht="23.85" hidden="false" customHeight="false" outlineLevel="0" collapsed="false">
      <c r="A206" s="5" t="n">
        <v>42861</v>
      </c>
      <c r="B206" s="5" t="s">
        <v>77</v>
      </c>
      <c r="C206" s="5" t="s">
        <v>869</v>
      </c>
      <c r="D206" s="4" t="s">
        <v>32</v>
      </c>
      <c r="E206" s="4" t="s">
        <v>194</v>
      </c>
      <c r="F206" s="4" t="s">
        <v>154</v>
      </c>
      <c r="G206" s="4" t="s">
        <v>870</v>
      </c>
      <c r="H206" s="4" t="s">
        <v>792</v>
      </c>
      <c r="I206" s="5" t="s">
        <v>157</v>
      </c>
      <c r="J206" s="4"/>
      <c r="K206" s="5" t="s">
        <v>158</v>
      </c>
      <c r="L206" s="4" t="s">
        <v>508</v>
      </c>
      <c r="M206" s="5" t="s">
        <v>157</v>
      </c>
      <c r="N206" s="4" t="s">
        <v>795</v>
      </c>
      <c r="O206" s="5" t="s">
        <v>157</v>
      </c>
      <c r="P206" s="4" t="s">
        <v>871</v>
      </c>
      <c r="Q206" s="5" t="s">
        <v>157</v>
      </c>
      <c r="R206" s="5" t="n">
        <v>0</v>
      </c>
      <c r="S206" s="5" t="s">
        <v>158</v>
      </c>
      <c r="T206" s="4" t="s">
        <v>289</v>
      </c>
      <c r="U206" s="5" t="s">
        <v>157</v>
      </c>
      <c r="V206" s="5" t="n">
        <v>0</v>
      </c>
      <c r="W206" s="5" t="s">
        <v>158</v>
      </c>
      <c r="X206" s="5" t="n">
        <v>3</v>
      </c>
      <c r="Y206" s="4" t="s">
        <v>209</v>
      </c>
    </row>
    <row r="207" customFormat="false" ht="23.85" hidden="false" customHeight="false" outlineLevel="0" collapsed="false">
      <c r="A207" s="5" t="n">
        <v>42862</v>
      </c>
      <c r="B207" s="5" t="s">
        <v>77</v>
      </c>
      <c r="C207" s="5" t="s">
        <v>872</v>
      </c>
      <c r="D207" s="4" t="s">
        <v>32</v>
      </c>
      <c r="E207" s="4" t="s">
        <v>194</v>
      </c>
      <c r="F207" s="4" t="s">
        <v>154</v>
      </c>
      <c r="G207" s="4" t="s">
        <v>873</v>
      </c>
      <c r="H207" s="4" t="s">
        <v>874</v>
      </c>
      <c r="I207" s="5" t="s">
        <v>157</v>
      </c>
      <c r="J207" s="4"/>
      <c r="K207" s="5" t="s">
        <v>158</v>
      </c>
      <c r="L207" s="4" t="s">
        <v>875</v>
      </c>
      <c r="M207" s="5" t="s">
        <v>157</v>
      </c>
      <c r="N207" s="4" t="s">
        <v>874</v>
      </c>
      <c r="O207" s="5" t="s">
        <v>157</v>
      </c>
      <c r="P207" s="4" t="s">
        <v>160</v>
      </c>
      <c r="Q207" s="5" t="s">
        <v>157</v>
      </c>
      <c r="R207" s="5" t="n">
        <v>0</v>
      </c>
      <c r="S207" s="5" t="s">
        <v>158</v>
      </c>
      <c r="T207" s="4" t="s">
        <v>160</v>
      </c>
      <c r="U207" s="5" t="s">
        <v>157</v>
      </c>
      <c r="V207" s="5" t="n">
        <v>0</v>
      </c>
      <c r="W207" s="5" t="s">
        <v>158</v>
      </c>
      <c r="X207" s="5" t="n">
        <v>3</v>
      </c>
      <c r="Y207" s="4" t="s">
        <v>209</v>
      </c>
    </row>
    <row r="208" customFormat="false" ht="23.85" hidden="false" customHeight="false" outlineLevel="0" collapsed="false">
      <c r="A208" s="5" t="n">
        <v>42865</v>
      </c>
      <c r="B208" s="5" t="s">
        <v>77</v>
      </c>
      <c r="C208" s="5" t="s">
        <v>876</v>
      </c>
      <c r="D208" s="4" t="s">
        <v>22</v>
      </c>
      <c r="E208" s="4" t="s">
        <v>185</v>
      </c>
      <c r="F208" s="4" t="s">
        <v>154</v>
      </c>
      <c r="G208" s="4" t="s">
        <v>877</v>
      </c>
      <c r="H208" s="4" t="s">
        <v>878</v>
      </c>
      <c r="I208" s="5" t="s">
        <v>157</v>
      </c>
      <c r="J208" s="4"/>
      <c r="K208" s="5" t="s">
        <v>158</v>
      </c>
      <c r="L208" s="4"/>
      <c r="M208" s="5" t="s">
        <v>158</v>
      </c>
      <c r="N208" s="4" t="s">
        <v>879</v>
      </c>
      <c r="O208" s="5" t="s">
        <v>157</v>
      </c>
      <c r="P208" s="4" t="s">
        <v>191</v>
      </c>
      <c r="Q208" s="5" t="s">
        <v>157</v>
      </c>
      <c r="R208" s="5" t="n">
        <v>0</v>
      </c>
      <c r="S208" s="5" t="s">
        <v>158</v>
      </c>
      <c r="T208" s="4"/>
      <c r="U208" s="5" t="s">
        <v>158</v>
      </c>
      <c r="V208" s="5" t="n">
        <v>0</v>
      </c>
      <c r="W208" s="5" t="s">
        <v>158</v>
      </c>
      <c r="X208" s="5" t="n">
        <v>5</v>
      </c>
      <c r="Y208" s="4" t="s">
        <v>254</v>
      </c>
    </row>
    <row r="209" customFormat="false" ht="23.85" hidden="false" customHeight="false" outlineLevel="0" collapsed="false">
      <c r="A209" s="5" t="n">
        <v>42870</v>
      </c>
      <c r="B209" s="5" t="s">
        <v>77</v>
      </c>
      <c r="C209" s="5" t="s">
        <v>880</v>
      </c>
      <c r="D209" s="4" t="s">
        <v>28</v>
      </c>
      <c r="E209" s="4" t="s">
        <v>153</v>
      </c>
      <c r="F209" s="4" t="s">
        <v>154</v>
      </c>
      <c r="G209" s="4" t="s">
        <v>881</v>
      </c>
      <c r="H209" s="4" t="s">
        <v>882</v>
      </c>
      <c r="I209" s="5" t="s">
        <v>157</v>
      </c>
      <c r="J209" s="4"/>
      <c r="K209" s="5" t="s">
        <v>158</v>
      </c>
      <c r="L209" s="4" t="s">
        <v>883</v>
      </c>
      <c r="M209" s="5" t="s">
        <v>157</v>
      </c>
      <c r="N209" s="4" t="s">
        <v>882</v>
      </c>
      <c r="O209" s="5" t="s">
        <v>157</v>
      </c>
      <c r="P209" s="4" t="s">
        <v>160</v>
      </c>
      <c r="Q209" s="5" t="s">
        <v>157</v>
      </c>
      <c r="R209" s="5" t="n">
        <v>0</v>
      </c>
      <c r="S209" s="5" t="s">
        <v>158</v>
      </c>
      <c r="T209" s="4" t="s">
        <v>160</v>
      </c>
      <c r="U209" s="5" t="s">
        <v>157</v>
      </c>
      <c r="V209" s="5" t="n">
        <v>0</v>
      </c>
      <c r="W209" s="5" t="s">
        <v>158</v>
      </c>
      <c r="X209" s="5" t="n">
        <v>3</v>
      </c>
      <c r="Y209" s="4" t="s">
        <v>209</v>
      </c>
    </row>
    <row r="210" customFormat="false" ht="23.85" hidden="false" customHeight="false" outlineLevel="0" collapsed="false">
      <c r="A210" s="5" t="n">
        <v>42871</v>
      </c>
      <c r="B210" s="5" t="s">
        <v>77</v>
      </c>
      <c r="C210" s="5" t="s">
        <v>884</v>
      </c>
      <c r="D210" s="4" t="s">
        <v>28</v>
      </c>
      <c r="E210" s="4" t="s">
        <v>153</v>
      </c>
      <c r="F210" s="4" t="s">
        <v>154</v>
      </c>
      <c r="G210" s="4" t="s">
        <v>469</v>
      </c>
      <c r="H210" s="4" t="s">
        <v>470</v>
      </c>
      <c r="I210" s="5" t="s">
        <v>157</v>
      </c>
      <c r="J210" s="4"/>
      <c r="K210" s="5" t="s">
        <v>158</v>
      </c>
      <c r="L210" s="4" t="s">
        <v>885</v>
      </c>
      <c r="M210" s="5" t="s">
        <v>157</v>
      </c>
      <c r="N210" s="4" t="s">
        <v>470</v>
      </c>
      <c r="O210" s="5" t="s">
        <v>157</v>
      </c>
      <c r="P210" s="4" t="s">
        <v>160</v>
      </c>
      <c r="Q210" s="5" t="s">
        <v>157</v>
      </c>
      <c r="R210" s="5" t="n">
        <v>0</v>
      </c>
      <c r="S210" s="5" t="s">
        <v>158</v>
      </c>
      <c r="T210" s="4" t="s">
        <v>160</v>
      </c>
      <c r="U210" s="5" t="s">
        <v>157</v>
      </c>
      <c r="V210" s="5" t="n">
        <v>0</v>
      </c>
      <c r="W210" s="5" t="s">
        <v>158</v>
      </c>
      <c r="X210" s="5" t="n">
        <v>3</v>
      </c>
      <c r="Y210" s="4" t="s">
        <v>209</v>
      </c>
    </row>
    <row r="211" customFormat="false" ht="23.85" hidden="false" customHeight="false" outlineLevel="0" collapsed="false">
      <c r="A211" s="5" t="n">
        <v>42872</v>
      </c>
      <c r="B211" s="5" t="s">
        <v>77</v>
      </c>
      <c r="C211" s="5" t="s">
        <v>886</v>
      </c>
      <c r="D211" s="4" t="s">
        <v>28</v>
      </c>
      <c r="E211" s="4" t="s">
        <v>153</v>
      </c>
      <c r="F211" s="4" t="s">
        <v>154</v>
      </c>
      <c r="G211" s="4" t="s">
        <v>887</v>
      </c>
      <c r="H211" s="4" t="s">
        <v>888</v>
      </c>
      <c r="I211" s="5" t="s">
        <v>157</v>
      </c>
      <c r="J211" s="4"/>
      <c r="K211" s="5" t="s">
        <v>158</v>
      </c>
      <c r="L211" s="4" t="s">
        <v>889</v>
      </c>
      <c r="M211" s="5" t="s">
        <v>157</v>
      </c>
      <c r="N211" s="4" t="s">
        <v>888</v>
      </c>
      <c r="O211" s="5" t="s">
        <v>157</v>
      </c>
      <c r="P211" s="4" t="s">
        <v>160</v>
      </c>
      <c r="Q211" s="5" t="s">
        <v>157</v>
      </c>
      <c r="R211" s="5" t="n">
        <v>0</v>
      </c>
      <c r="S211" s="5" t="s">
        <v>158</v>
      </c>
      <c r="T211" s="4" t="s">
        <v>160</v>
      </c>
      <c r="U211" s="5" t="s">
        <v>157</v>
      </c>
      <c r="V211" s="5" t="n">
        <v>0</v>
      </c>
      <c r="W211" s="5" t="s">
        <v>158</v>
      </c>
      <c r="X211" s="5" t="n">
        <v>3</v>
      </c>
      <c r="Y211" s="4" t="s">
        <v>209</v>
      </c>
    </row>
    <row r="212" customFormat="false" ht="23.85" hidden="false" customHeight="false" outlineLevel="0" collapsed="false">
      <c r="A212" s="5" t="n">
        <v>42873</v>
      </c>
      <c r="B212" s="5" t="s">
        <v>77</v>
      </c>
      <c r="C212" s="5" t="s">
        <v>890</v>
      </c>
      <c r="D212" s="4" t="s">
        <v>28</v>
      </c>
      <c r="E212" s="4" t="s">
        <v>153</v>
      </c>
      <c r="F212" s="4" t="s">
        <v>154</v>
      </c>
      <c r="G212" s="4" t="s">
        <v>891</v>
      </c>
      <c r="H212" s="4" t="s">
        <v>381</v>
      </c>
      <c r="I212" s="5" t="s">
        <v>157</v>
      </c>
      <c r="J212" s="4"/>
      <c r="K212" s="5" t="s">
        <v>158</v>
      </c>
      <c r="L212" s="4"/>
      <c r="M212" s="5" t="s">
        <v>158</v>
      </c>
      <c r="N212" s="4"/>
      <c r="O212" s="5" t="s">
        <v>158</v>
      </c>
      <c r="P212" s="4" t="s">
        <v>160</v>
      </c>
      <c r="Q212" s="5" t="s">
        <v>157</v>
      </c>
      <c r="R212" s="5" t="n">
        <v>0</v>
      </c>
      <c r="S212" s="5" t="s">
        <v>158</v>
      </c>
      <c r="T212" s="4" t="s">
        <v>160</v>
      </c>
      <c r="U212" s="5" t="s">
        <v>157</v>
      </c>
      <c r="V212" s="5" t="n">
        <v>0</v>
      </c>
      <c r="W212" s="5" t="s">
        <v>158</v>
      </c>
      <c r="X212" s="5" t="n">
        <v>5</v>
      </c>
      <c r="Y212" s="4" t="s">
        <v>513</v>
      </c>
    </row>
    <row r="213" customFormat="false" ht="23.85" hidden="false" customHeight="false" outlineLevel="0" collapsed="false">
      <c r="A213" s="5" t="n">
        <v>42874</v>
      </c>
      <c r="B213" s="5" t="s">
        <v>77</v>
      </c>
      <c r="C213" s="5" t="s">
        <v>892</v>
      </c>
      <c r="D213" s="4" t="s">
        <v>28</v>
      </c>
      <c r="E213" s="4" t="s">
        <v>153</v>
      </c>
      <c r="F213" s="4" t="s">
        <v>154</v>
      </c>
      <c r="G213" s="4" t="s">
        <v>574</v>
      </c>
      <c r="H213" s="4" t="s">
        <v>575</v>
      </c>
      <c r="I213" s="5" t="s">
        <v>157</v>
      </c>
      <c r="J213" s="4"/>
      <c r="K213" s="5" t="s">
        <v>158</v>
      </c>
      <c r="L213" s="4" t="s">
        <v>314</v>
      </c>
      <c r="M213" s="5" t="s">
        <v>157</v>
      </c>
      <c r="N213" s="4"/>
      <c r="O213" s="5" t="s">
        <v>158</v>
      </c>
      <c r="P213" s="4" t="s">
        <v>160</v>
      </c>
      <c r="Q213" s="5" t="s">
        <v>157</v>
      </c>
      <c r="R213" s="5" t="n">
        <v>0</v>
      </c>
      <c r="S213" s="5" t="s">
        <v>158</v>
      </c>
      <c r="T213" s="4" t="s">
        <v>160</v>
      </c>
      <c r="U213" s="5" t="s">
        <v>157</v>
      </c>
      <c r="V213" s="5" t="n">
        <v>0</v>
      </c>
      <c r="W213" s="5" t="s">
        <v>158</v>
      </c>
      <c r="X213" s="5" t="n">
        <v>4</v>
      </c>
      <c r="Y213" s="4" t="s">
        <v>519</v>
      </c>
    </row>
    <row r="214" customFormat="false" ht="23.85" hidden="false" customHeight="false" outlineLevel="0" collapsed="false">
      <c r="A214" s="5" t="n">
        <v>42882</v>
      </c>
      <c r="B214" s="5" t="s">
        <v>78</v>
      </c>
      <c r="C214" s="5" t="s">
        <v>893</v>
      </c>
      <c r="D214" s="4" t="s">
        <v>24</v>
      </c>
      <c r="E214" s="4" t="s">
        <v>194</v>
      </c>
      <c r="F214" s="4" t="s">
        <v>154</v>
      </c>
      <c r="G214" s="4" t="s">
        <v>894</v>
      </c>
      <c r="H214" s="4"/>
      <c r="I214" s="5" t="s">
        <v>158</v>
      </c>
      <c r="J214" s="4" t="s">
        <v>895</v>
      </c>
      <c r="K214" s="5" t="s">
        <v>157</v>
      </c>
      <c r="L214" s="4" t="s">
        <v>852</v>
      </c>
      <c r="M214" s="5" t="s">
        <v>157</v>
      </c>
      <c r="N214" s="4" t="s">
        <v>896</v>
      </c>
      <c r="O214" s="5" t="s">
        <v>157</v>
      </c>
      <c r="P214" s="4" t="s">
        <v>897</v>
      </c>
      <c r="Q214" s="5" t="s">
        <v>157</v>
      </c>
      <c r="R214" s="5" t="n">
        <v>0</v>
      </c>
      <c r="S214" s="5" t="s">
        <v>158</v>
      </c>
      <c r="T214" s="4" t="s">
        <v>289</v>
      </c>
      <c r="U214" s="5" t="s">
        <v>157</v>
      </c>
      <c r="V214" s="5" t="n">
        <v>0</v>
      </c>
      <c r="W214" s="5" t="s">
        <v>158</v>
      </c>
      <c r="X214" s="5" t="n">
        <v>3</v>
      </c>
      <c r="Y214" s="4" t="s">
        <v>898</v>
      </c>
    </row>
    <row r="215" customFormat="false" ht="23.85" hidden="false" customHeight="false" outlineLevel="0" collapsed="false">
      <c r="A215" s="5" t="n">
        <v>42883</v>
      </c>
      <c r="B215" s="5" t="s">
        <v>78</v>
      </c>
      <c r="C215" s="5" t="s">
        <v>899</v>
      </c>
      <c r="D215" s="4" t="s">
        <v>24</v>
      </c>
      <c r="E215" s="4" t="s">
        <v>194</v>
      </c>
      <c r="F215" s="4" t="s">
        <v>154</v>
      </c>
      <c r="G215" s="4" t="s">
        <v>900</v>
      </c>
      <c r="H215" s="4"/>
      <c r="I215" s="5" t="s">
        <v>158</v>
      </c>
      <c r="J215" s="4" t="s">
        <v>901</v>
      </c>
      <c r="K215" s="5" t="s">
        <v>157</v>
      </c>
      <c r="L215" s="4" t="s">
        <v>852</v>
      </c>
      <c r="M215" s="5" t="s">
        <v>157</v>
      </c>
      <c r="N215" s="4" t="s">
        <v>902</v>
      </c>
      <c r="O215" s="5" t="s">
        <v>157</v>
      </c>
      <c r="P215" s="4" t="s">
        <v>856</v>
      </c>
      <c r="Q215" s="5" t="s">
        <v>157</v>
      </c>
      <c r="R215" s="5" t="n">
        <v>1</v>
      </c>
      <c r="S215" s="5" t="s">
        <v>157</v>
      </c>
      <c r="T215" s="4" t="s">
        <v>289</v>
      </c>
      <c r="U215" s="5" t="s">
        <v>157</v>
      </c>
      <c r="V215" s="5" t="n">
        <v>0</v>
      </c>
      <c r="W215" s="5" t="s">
        <v>158</v>
      </c>
      <c r="X215" s="5" t="n">
        <v>2</v>
      </c>
      <c r="Y215" s="4" t="s">
        <v>903</v>
      </c>
    </row>
    <row r="216" customFormat="false" ht="23.85" hidden="false" customHeight="false" outlineLevel="0" collapsed="false">
      <c r="A216" s="5" t="n">
        <v>42884</v>
      </c>
      <c r="B216" s="5" t="s">
        <v>78</v>
      </c>
      <c r="C216" s="5" t="s">
        <v>904</v>
      </c>
      <c r="D216" s="4" t="s">
        <v>24</v>
      </c>
      <c r="E216" s="4" t="s">
        <v>194</v>
      </c>
      <c r="F216" s="4" t="s">
        <v>154</v>
      </c>
      <c r="G216" s="4" t="s">
        <v>905</v>
      </c>
      <c r="H216" s="4"/>
      <c r="I216" s="5" t="s">
        <v>158</v>
      </c>
      <c r="J216" s="4" t="s">
        <v>906</v>
      </c>
      <c r="K216" s="5" t="s">
        <v>157</v>
      </c>
      <c r="L216" s="4" t="s">
        <v>852</v>
      </c>
      <c r="M216" s="5" t="s">
        <v>157</v>
      </c>
      <c r="N216" s="4"/>
      <c r="O216" s="5" t="s">
        <v>158</v>
      </c>
      <c r="P216" s="4" t="s">
        <v>856</v>
      </c>
      <c r="Q216" s="5" t="s">
        <v>157</v>
      </c>
      <c r="R216" s="5" t="n">
        <v>0</v>
      </c>
      <c r="S216" s="5" t="s">
        <v>158</v>
      </c>
      <c r="T216" s="4" t="s">
        <v>289</v>
      </c>
      <c r="U216" s="5" t="s">
        <v>157</v>
      </c>
      <c r="V216" s="5" t="n">
        <v>0</v>
      </c>
      <c r="W216" s="5" t="s">
        <v>158</v>
      </c>
      <c r="X216" s="5" t="n">
        <v>4</v>
      </c>
      <c r="Y216" s="4" t="s">
        <v>907</v>
      </c>
    </row>
    <row r="217" customFormat="false" ht="23.85" hidden="false" customHeight="false" outlineLevel="0" collapsed="false">
      <c r="A217" s="5" t="n">
        <v>42889</v>
      </c>
      <c r="B217" s="5" t="s">
        <v>78</v>
      </c>
      <c r="C217" s="5" t="s">
        <v>662</v>
      </c>
      <c r="D217" s="4" t="s">
        <v>32</v>
      </c>
      <c r="E217" s="4" t="s">
        <v>194</v>
      </c>
      <c r="F217" s="4" t="s">
        <v>244</v>
      </c>
      <c r="G217" s="4" t="s">
        <v>908</v>
      </c>
      <c r="H217" s="4" t="s">
        <v>908</v>
      </c>
      <c r="I217" s="5" t="s">
        <v>157</v>
      </c>
      <c r="J217" s="4"/>
      <c r="K217" s="5" t="s">
        <v>158</v>
      </c>
      <c r="L217" s="4"/>
      <c r="M217" s="5" t="s">
        <v>158</v>
      </c>
      <c r="N217" s="4"/>
      <c r="O217" s="5" t="s">
        <v>158</v>
      </c>
      <c r="P217" s="4" t="s">
        <v>909</v>
      </c>
      <c r="Q217" s="5" t="s">
        <v>157</v>
      </c>
      <c r="R217" s="5" t="n">
        <v>0</v>
      </c>
      <c r="S217" s="5" t="s">
        <v>158</v>
      </c>
      <c r="T217" s="4" t="s">
        <v>910</v>
      </c>
      <c r="U217" s="5" t="s">
        <v>157</v>
      </c>
      <c r="V217" s="5" t="n">
        <v>0</v>
      </c>
      <c r="W217" s="5" t="s">
        <v>158</v>
      </c>
      <c r="X217" s="5" t="n">
        <v>5</v>
      </c>
      <c r="Y217" s="4" t="s">
        <v>513</v>
      </c>
    </row>
    <row r="218" customFormat="false" ht="23.85" hidden="false" customHeight="false" outlineLevel="0" collapsed="false">
      <c r="A218" s="5" t="n">
        <v>42894</v>
      </c>
      <c r="B218" s="5" t="s">
        <v>78</v>
      </c>
      <c r="C218" s="5" t="s">
        <v>356</v>
      </c>
      <c r="D218" s="4" t="s">
        <v>32</v>
      </c>
      <c r="E218" s="4" t="s">
        <v>194</v>
      </c>
      <c r="F218" s="4" t="s">
        <v>154</v>
      </c>
      <c r="G218" s="4" t="s">
        <v>911</v>
      </c>
      <c r="H218" s="4" t="s">
        <v>912</v>
      </c>
      <c r="I218" s="5" t="s">
        <v>157</v>
      </c>
      <c r="J218" s="4"/>
      <c r="K218" s="5" t="s">
        <v>158</v>
      </c>
      <c r="L218" s="4" t="s">
        <v>913</v>
      </c>
      <c r="M218" s="5" t="s">
        <v>157</v>
      </c>
      <c r="N218" s="4" t="s">
        <v>914</v>
      </c>
      <c r="O218" s="5" t="s">
        <v>157</v>
      </c>
      <c r="P218" s="4" t="s">
        <v>160</v>
      </c>
      <c r="Q218" s="5" t="s">
        <v>157</v>
      </c>
      <c r="R218" s="5" t="n">
        <v>0</v>
      </c>
      <c r="S218" s="5" t="s">
        <v>158</v>
      </c>
      <c r="T218" s="4" t="s">
        <v>160</v>
      </c>
      <c r="U218" s="5" t="s">
        <v>157</v>
      </c>
      <c r="V218" s="5" t="n">
        <v>0</v>
      </c>
      <c r="W218" s="5" t="s">
        <v>158</v>
      </c>
      <c r="X218" s="5" t="n">
        <v>3</v>
      </c>
      <c r="Y218" s="4" t="s">
        <v>209</v>
      </c>
    </row>
    <row r="219" customFormat="false" ht="23.85" hidden="false" customHeight="false" outlineLevel="0" collapsed="false">
      <c r="A219" s="5" t="n">
        <v>42895</v>
      </c>
      <c r="B219" s="5" t="s">
        <v>78</v>
      </c>
      <c r="C219" s="5" t="s">
        <v>915</v>
      </c>
      <c r="D219" s="4" t="s">
        <v>28</v>
      </c>
      <c r="E219" s="4" t="s">
        <v>153</v>
      </c>
      <c r="F219" s="4" t="s">
        <v>154</v>
      </c>
      <c r="G219" s="4" t="s">
        <v>755</v>
      </c>
      <c r="H219" s="4" t="s">
        <v>756</v>
      </c>
      <c r="I219" s="5" t="s">
        <v>157</v>
      </c>
      <c r="J219" s="4"/>
      <c r="K219" s="5" t="s">
        <v>158</v>
      </c>
      <c r="L219" s="4" t="s">
        <v>408</v>
      </c>
      <c r="M219" s="5" t="s">
        <v>157</v>
      </c>
      <c r="N219" s="4" t="s">
        <v>756</v>
      </c>
      <c r="O219" s="5" t="s">
        <v>157</v>
      </c>
      <c r="P219" s="4" t="s">
        <v>160</v>
      </c>
      <c r="Q219" s="5" t="s">
        <v>157</v>
      </c>
      <c r="R219" s="5" t="n">
        <v>0</v>
      </c>
      <c r="S219" s="5" t="s">
        <v>158</v>
      </c>
      <c r="T219" s="4" t="s">
        <v>160</v>
      </c>
      <c r="U219" s="5" t="s">
        <v>157</v>
      </c>
      <c r="V219" s="5" t="n">
        <v>0</v>
      </c>
      <c r="W219" s="5" t="s">
        <v>158</v>
      </c>
      <c r="X219" s="5" t="n">
        <v>3</v>
      </c>
      <c r="Y219" s="4" t="s">
        <v>209</v>
      </c>
    </row>
    <row r="220" customFormat="false" ht="23.85" hidden="false" customHeight="false" outlineLevel="0" collapsed="false">
      <c r="A220" s="5" t="n">
        <v>42896</v>
      </c>
      <c r="B220" s="5" t="s">
        <v>78</v>
      </c>
      <c r="C220" s="5" t="s">
        <v>916</v>
      </c>
      <c r="D220" s="4" t="s">
        <v>28</v>
      </c>
      <c r="E220" s="4" t="s">
        <v>153</v>
      </c>
      <c r="F220" s="4" t="s">
        <v>154</v>
      </c>
      <c r="G220" s="4" t="s">
        <v>492</v>
      </c>
      <c r="H220" s="4" t="s">
        <v>493</v>
      </c>
      <c r="I220" s="5" t="s">
        <v>157</v>
      </c>
      <c r="J220" s="4"/>
      <c r="K220" s="5" t="s">
        <v>158</v>
      </c>
      <c r="L220" s="4" t="s">
        <v>494</v>
      </c>
      <c r="M220" s="5" t="s">
        <v>157</v>
      </c>
      <c r="N220" s="4" t="s">
        <v>493</v>
      </c>
      <c r="O220" s="5" t="s">
        <v>157</v>
      </c>
      <c r="P220" s="4" t="s">
        <v>160</v>
      </c>
      <c r="Q220" s="5" t="s">
        <v>157</v>
      </c>
      <c r="R220" s="5" t="n">
        <v>0</v>
      </c>
      <c r="S220" s="5" t="s">
        <v>158</v>
      </c>
      <c r="T220" s="4" t="s">
        <v>160</v>
      </c>
      <c r="U220" s="5" t="s">
        <v>157</v>
      </c>
      <c r="V220" s="5" t="n">
        <v>0</v>
      </c>
      <c r="W220" s="5" t="s">
        <v>158</v>
      </c>
      <c r="X220" s="5" t="n">
        <v>3</v>
      </c>
      <c r="Y220" s="4" t="s">
        <v>209</v>
      </c>
    </row>
    <row r="221" customFormat="false" ht="23.85" hidden="false" customHeight="false" outlineLevel="0" collapsed="false">
      <c r="A221" s="5" t="n">
        <v>42897</v>
      </c>
      <c r="B221" s="5" t="s">
        <v>78</v>
      </c>
      <c r="C221" s="5" t="s">
        <v>917</v>
      </c>
      <c r="D221" s="4" t="s">
        <v>28</v>
      </c>
      <c r="E221" s="4" t="s">
        <v>153</v>
      </c>
      <c r="F221" s="4" t="s">
        <v>154</v>
      </c>
      <c r="G221" s="4" t="s">
        <v>377</v>
      </c>
      <c r="H221" s="4" t="s">
        <v>378</v>
      </c>
      <c r="I221" s="5" t="s">
        <v>157</v>
      </c>
      <c r="J221" s="4"/>
      <c r="K221" s="5" t="s">
        <v>158</v>
      </c>
      <c r="L221" s="4"/>
      <c r="M221" s="5" t="s">
        <v>158</v>
      </c>
      <c r="N221" s="4"/>
      <c r="O221" s="5" t="s">
        <v>158</v>
      </c>
      <c r="P221" s="4"/>
      <c r="Q221" s="5" t="s">
        <v>158</v>
      </c>
      <c r="R221" s="5" t="n">
        <v>0</v>
      </c>
      <c r="S221" s="5" t="s">
        <v>158</v>
      </c>
      <c r="T221" s="4"/>
      <c r="U221" s="5" t="s">
        <v>158</v>
      </c>
      <c r="V221" s="5" t="n">
        <v>0</v>
      </c>
      <c r="W221" s="5" t="s">
        <v>158</v>
      </c>
      <c r="X221" s="5" t="n">
        <v>7</v>
      </c>
      <c r="Y221" s="4" t="s">
        <v>320</v>
      </c>
    </row>
    <row r="222" customFormat="false" ht="23.85" hidden="false" customHeight="false" outlineLevel="0" collapsed="false">
      <c r="A222" s="5" t="n">
        <v>42898</v>
      </c>
      <c r="B222" s="5" t="s">
        <v>78</v>
      </c>
      <c r="C222" s="5" t="s">
        <v>704</v>
      </c>
      <c r="D222" s="4" t="s">
        <v>28</v>
      </c>
      <c r="E222" s="4" t="s">
        <v>153</v>
      </c>
      <c r="F222" s="4" t="s">
        <v>154</v>
      </c>
      <c r="G222" s="4" t="s">
        <v>361</v>
      </c>
      <c r="H222" s="4" t="s">
        <v>362</v>
      </c>
      <c r="I222" s="5" t="s">
        <v>157</v>
      </c>
      <c r="J222" s="4"/>
      <c r="K222" s="5" t="s">
        <v>158</v>
      </c>
      <c r="L222" s="4"/>
      <c r="M222" s="5" t="s">
        <v>158</v>
      </c>
      <c r="N222" s="4"/>
      <c r="O222" s="5" t="s">
        <v>158</v>
      </c>
      <c r="P222" s="4" t="s">
        <v>247</v>
      </c>
      <c r="Q222" s="5" t="s">
        <v>157</v>
      </c>
      <c r="R222" s="5" t="n">
        <v>0</v>
      </c>
      <c r="S222" s="5" t="s">
        <v>158</v>
      </c>
      <c r="T222" s="4" t="s">
        <v>289</v>
      </c>
      <c r="U222" s="5" t="s">
        <v>157</v>
      </c>
      <c r="V222" s="5" t="n">
        <v>0</v>
      </c>
      <c r="W222" s="5" t="s">
        <v>158</v>
      </c>
      <c r="X222" s="5" t="n">
        <v>5</v>
      </c>
      <c r="Y222" s="4" t="s">
        <v>513</v>
      </c>
    </row>
    <row r="223" customFormat="false" ht="23.85" hidden="false" customHeight="false" outlineLevel="0" collapsed="false">
      <c r="A223" s="5" t="n">
        <v>42899</v>
      </c>
      <c r="B223" s="5" t="s">
        <v>78</v>
      </c>
      <c r="C223" s="5" t="s">
        <v>635</v>
      </c>
      <c r="D223" s="4" t="s">
        <v>28</v>
      </c>
      <c r="E223" s="4" t="s">
        <v>153</v>
      </c>
      <c r="F223" s="4" t="s">
        <v>154</v>
      </c>
      <c r="G223" s="4" t="s">
        <v>918</v>
      </c>
      <c r="H223" s="4" t="s">
        <v>919</v>
      </c>
      <c r="I223" s="5" t="s">
        <v>157</v>
      </c>
      <c r="J223" s="4"/>
      <c r="K223" s="5" t="s">
        <v>158</v>
      </c>
      <c r="L223" s="4" t="s">
        <v>343</v>
      </c>
      <c r="M223" s="5" t="s">
        <v>157</v>
      </c>
      <c r="N223" s="4"/>
      <c r="O223" s="5" t="s">
        <v>158</v>
      </c>
      <c r="P223" s="4" t="s">
        <v>247</v>
      </c>
      <c r="Q223" s="5" t="s">
        <v>157</v>
      </c>
      <c r="R223" s="5" t="n">
        <v>0</v>
      </c>
      <c r="S223" s="5" t="s">
        <v>158</v>
      </c>
      <c r="T223" s="4" t="s">
        <v>289</v>
      </c>
      <c r="U223" s="5" t="s">
        <v>157</v>
      </c>
      <c r="V223" s="5" t="n">
        <v>0</v>
      </c>
      <c r="W223" s="5" t="s">
        <v>158</v>
      </c>
      <c r="X223" s="5" t="n">
        <v>4</v>
      </c>
      <c r="Y223" s="4" t="s">
        <v>519</v>
      </c>
    </row>
    <row r="224" customFormat="false" ht="23.85" hidden="false" customHeight="false" outlineLevel="0" collapsed="false">
      <c r="A224" s="5" t="n">
        <v>42900</v>
      </c>
      <c r="B224" s="5" t="s">
        <v>78</v>
      </c>
      <c r="C224" s="5" t="s">
        <v>640</v>
      </c>
      <c r="D224" s="4" t="s">
        <v>28</v>
      </c>
      <c r="E224" s="4" t="s">
        <v>153</v>
      </c>
      <c r="F224" s="4" t="s">
        <v>154</v>
      </c>
      <c r="G224" s="4" t="s">
        <v>920</v>
      </c>
      <c r="H224" s="4" t="s">
        <v>921</v>
      </c>
      <c r="I224" s="5" t="s">
        <v>157</v>
      </c>
      <c r="J224" s="4"/>
      <c r="K224" s="5" t="s">
        <v>158</v>
      </c>
      <c r="L224" s="4"/>
      <c r="M224" s="5" t="s">
        <v>158</v>
      </c>
      <c r="N224" s="4"/>
      <c r="O224" s="5" t="s">
        <v>158</v>
      </c>
      <c r="P224" s="4" t="s">
        <v>253</v>
      </c>
      <c r="Q224" s="5" t="s">
        <v>157</v>
      </c>
      <c r="R224" s="5" t="n">
        <v>0</v>
      </c>
      <c r="S224" s="5" t="s">
        <v>158</v>
      </c>
      <c r="T224" s="4" t="s">
        <v>289</v>
      </c>
      <c r="U224" s="5" t="s">
        <v>157</v>
      </c>
      <c r="V224" s="5" t="n">
        <v>0</v>
      </c>
      <c r="W224" s="5" t="s">
        <v>158</v>
      </c>
      <c r="X224" s="5" t="n">
        <v>5</v>
      </c>
      <c r="Y224" s="4" t="s">
        <v>513</v>
      </c>
    </row>
    <row r="225" customFormat="false" ht="23.85" hidden="false" customHeight="false" outlineLevel="0" collapsed="false">
      <c r="A225" s="5" t="n">
        <v>42901</v>
      </c>
      <c r="B225" s="5" t="s">
        <v>78</v>
      </c>
      <c r="C225" s="5" t="s">
        <v>641</v>
      </c>
      <c r="D225" s="4" t="s">
        <v>28</v>
      </c>
      <c r="E225" s="4" t="s">
        <v>153</v>
      </c>
      <c r="F225" s="4" t="s">
        <v>154</v>
      </c>
      <c r="G225" s="4" t="s">
        <v>341</v>
      </c>
      <c r="H225" s="4" t="s">
        <v>342</v>
      </c>
      <c r="I225" s="5" t="s">
        <v>157</v>
      </c>
      <c r="J225" s="4"/>
      <c r="K225" s="5" t="s">
        <v>158</v>
      </c>
      <c r="L225" s="4"/>
      <c r="M225" s="5" t="s">
        <v>158</v>
      </c>
      <c r="N225" s="4"/>
      <c r="O225" s="5" t="s">
        <v>158</v>
      </c>
      <c r="P225" s="4" t="s">
        <v>253</v>
      </c>
      <c r="Q225" s="5" t="s">
        <v>157</v>
      </c>
      <c r="R225" s="5" t="n">
        <v>0</v>
      </c>
      <c r="S225" s="5" t="s">
        <v>158</v>
      </c>
      <c r="T225" s="4" t="s">
        <v>289</v>
      </c>
      <c r="U225" s="5" t="s">
        <v>157</v>
      </c>
      <c r="V225" s="5" t="n">
        <v>0</v>
      </c>
      <c r="W225" s="5" t="s">
        <v>158</v>
      </c>
      <c r="X225" s="5" t="n">
        <v>5</v>
      </c>
      <c r="Y225" s="4" t="s">
        <v>513</v>
      </c>
    </row>
    <row r="226" customFormat="false" ht="23.85" hidden="false" customHeight="false" outlineLevel="0" collapsed="false">
      <c r="A226" s="5" t="n">
        <v>42902</v>
      </c>
      <c r="B226" s="5" t="s">
        <v>78</v>
      </c>
      <c r="C226" s="5" t="s">
        <v>922</v>
      </c>
      <c r="D226" s="4" t="s">
        <v>28</v>
      </c>
      <c r="E226" s="4" t="s">
        <v>153</v>
      </c>
      <c r="F226" s="4" t="s">
        <v>154</v>
      </c>
      <c r="G226" s="4" t="s">
        <v>503</v>
      </c>
      <c r="H226" s="4" t="s">
        <v>504</v>
      </c>
      <c r="I226" s="5" t="s">
        <v>157</v>
      </c>
      <c r="J226" s="4"/>
      <c r="K226" s="5" t="s">
        <v>158</v>
      </c>
      <c r="L226" s="4"/>
      <c r="M226" s="5" t="s">
        <v>158</v>
      </c>
      <c r="N226" s="4"/>
      <c r="O226" s="5" t="s">
        <v>158</v>
      </c>
      <c r="P226" s="4"/>
      <c r="Q226" s="5" t="s">
        <v>158</v>
      </c>
      <c r="R226" s="5" t="n">
        <v>0</v>
      </c>
      <c r="S226" s="5" t="s">
        <v>158</v>
      </c>
      <c r="T226" s="4"/>
      <c r="U226" s="5" t="s">
        <v>158</v>
      </c>
      <c r="V226" s="5" t="n">
        <v>0</v>
      </c>
      <c r="W226" s="5" t="s">
        <v>158</v>
      </c>
      <c r="X226" s="5" t="n">
        <v>7</v>
      </c>
      <c r="Y226" s="4" t="s">
        <v>320</v>
      </c>
    </row>
    <row r="227" customFormat="false" ht="23.85" hidden="false" customHeight="false" outlineLevel="0" collapsed="false">
      <c r="A227" s="5" t="n">
        <v>42903</v>
      </c>
      <c r="B227" s="5" t="s">
        <v>78</v>
      </c>
      <c r="C227" s="5" t="s">
        <v>782</v>
      </c>
      <c r="D227" s="4" t="s">
        <v>22</v>
      </c>
      <c r="E227" s="4" t="s">
        <v>185</v>
      </c>
      <c r="F227" s="4" t="s">
        <v>154</v>
      </c>
      <c r="G227" s="4" t="s">
        <v>923</v>
      </c>
      <c r="H227" s="4" t="s">
        <v>924</v>
      </c>
      <c r="I227" s="5" t="s">
        <v>157</v>
      </c>
      <c r="J227" s="4"/>
      <c r="K227" s="5" t="s">
        <v>158</v>
      </c>
      <c r="L227" s="4"/>
      <c r="M227" s="5" t="s">
        <v>158</v>
      </c>
      <c r="N227" s="4" t="s">
        <v>925</v>
      </c>
      <c r="O227" s="5" t="s">
        <v>157</v>
      </c>
      <c r="P227" s="4" t="s">
        <v>191</v>
      </c>
      <c r="Q227" s="5" t="s">
        <v>157</v>
      </c>
      <c r="R227" s="5" t="n">
        <v>0</v>
      </c>
      <c r="S227" s="5" t="s">
        <v>158</v>
      </c>
      <c r="T227" s="4" t="s">
        <v>289</v>
      </c>
      <c r="U227" s="5" t="s">
        <v>157</v>
      </c>
      <c r="V227" s="5" t="n">
        <v>0</v>
      </c>
      <c r="W227" s="5" t="s">
        <v>158</v>
      </c>
      <c r="X227" s="5" t="n">
        <v>4</v>
      </c>
      <c r="Y227" s="4" t="s">
        <v>480</v>
      </c>
    </row>
    <row r="228" customFormat="false" ht="23.85" hidden="false" customHeight="false" outlineLevel="0" collapsed="false">
      <c r="A228" s="5" t="n">
        <v>42904</v>
      </c>
      <c r="B228" s="5" t="s">
        <v>78</v>
      </c>
      <c r="C228" s="5" t="s">
        <v>926</v>
      </c>
      <c r="D228" s="4" t="s">
        <v>22</v>
      </c>
      <c r="E228" s="4" t="s">
        <v>185</v>
      </c>
      <c r="F228" s="4" t="s">
        <v>244</v>
      </c>
      <c r="G228" s="4" t="s">
        <v>927</v>
      </c>
      <c r="H228" s="4" t="s">
        <v>928</v>
      </c>
      <c r="I228" s="5" t="s">
        <v>157</v>
      </c>
      <c r="J228" s="4"/>
      <c r="K228" s="5" t="s">
        <v>158</v>
      </c>
      <c r="L228" s="4"/>
      <c r="M228" s="5" t="s">
        <v>158</v>
      </c>
      <c r="N228" s="4" t="s">
        <v>925</v>
      </c>
      <c r="O228" s="5" t="s">
        <v>157</v>
      </c>
      <c r="P228" s="4" t="s">
        <v>253</v>
      </c>
      <c r="Q228" s="5" t="s">
        <v>157</v>
      </c>
      <c r="R228" s="5" t="n">
        <v>0</v>
      </c>
      <c r="S228" s="5" t="s">
        <v>158</v>
      </c>
      <c r="T228" s="4"/>
      <c r="U228" s="5" t="s">
        <v>158</v>
      </c>
      <c r="V228" s="5" t="n">
        <v>0</v>
      </c>
      <c r="W228" s="5" t="s">
        <v>158</v>
      </c>
      <c r="X228" s="5" t="n">
        <v>5</v>
      </c>
      <c r="Y228" s="4" t="s">
        <v>254</v>
      </c>
    </row>
    <row r="229" customFormat="false" ht="23.85" hidden="false" customHeight="false" outlineLevel="0" collapsed="false">
      <c r="A229" s="5" t="n">
        <v>42905</v>
      </c>
      <c r="B229" s="5" t="s">
        <v>78</v>
      </c>
      <c r="C229" s="5" t="s">
        <v>929</v>
      </c>
      <c r="D229" s="4" t="s">
        <v>22</v>
      </c>
      <c r="E229" s="4" t="s">
        <v>185</v>
      </c>
      <c r="F229" s="4" t="s">
        <v>244</v>
      </c>
      <c r="G229" s="4" t="s">
        <v>930</v>
      </c>
      <c r="H229" s="4" t="s">
        <v>931</v>
      </c>
      <c r="I229" s="5" t="s">
        <v>157</v>
      </c>
      <c r="J229" s="4"/>
      <c r="K229" s="5" t="s">
        <v>158</v>
      </c>
      <c r="L229" s="4"/>
      <c r="M229" s="5" t="s">
        <v>158</v>
      </c>
      <c r="N229" s="4" t="s">
        <v>932</v>
      </c>
      <c r="O229" s="5" t="s">
        <v>157</v>
      </c>
      <c r="P229" s="4" t="s">
        <v>253</v>
      </c>
      <c r="Q229" s="5" t="s">
        <v>157</v>
      </c>
      <c r="R229" s="5" t="n">
        <v>0</v>
      </c>
      <c r="S229" s="5" t="s">
        <v>158</v>
      </c>
      <c r="T229" s="4"/>
      <c r="U229" s="5" t="s">
        <v>158</v>
      </c>
      <c r="V229" s="5" t="n">
        <v>0</v>
      </c>
      <c r="W229" s="5" t="s">
        <v>158</v>
      </c>
      <c r="X229" s="5" t="n">
        <v>5</v>
      </c>
      <c r="Y229" s="4" t="s">
        <v>254</v>
      </c>
    </row>
    <row r="230" customFormat="false" ht="23.85" hidden="false" customHeight="false" outlineLevel="0" collapsed="false">
      <c r="A230" s="5" t="n">
        <v>42906</v>
      </c>
      <c r="B230" s="5" t="s">
        <v>78</v>
      </c>
      <c r="C230" s="5" t="s">
        <v>933</v>
      </c>
      <c r="D230" s="4" t="s">
        <v>22</v>
      </c>
      <c r="E230" s="4" t="s">
        <v>185</v>
      </c>
      <c r="F230" s="4" t="s">
        <v>154</v>
      </c>
      <c r="G230" s="4" t="s">
        <v>934</v>
      </c>
      <c r="H230" s="4" t="s">
        <v>935</v>
      </c>
      <c r="I230" s="5" t="s">
        <v>157</v>
      </c>
      <c r="J230" s="4" t="s">
        <v>936</v>
      </c>
      <c r="K230" s="5" t="s">
        <v>157</v>
      </c>
      <c r="L230" s="4" t="s">
        <v>852</v>
      </c>
      <c r="M230" s="5" t="s">
        <v>157</v>
      </c>
      <c r="N230" s="4" t="s">
        <v>932</v>
      </c>
      <c r="O230" s="5" t="s">
        <v>157</v>
      </c>
      <c r="P230" s="4" t="s">
        <v>288</v>
      </c>
      <c r="Q230" s="5" t="s">
        <v>157</v>
      </c>
      <c r="R230" s="5" t="n">
        <v>0</v>
      </c>
      <c r="S230" s="5" t="s">
        <v>158</v>
      </c>
      <c r="T230" s="4" t="s">
        <v>289</v>
      </c>
      <c r="U230" s="5" t="s">
        <v>157</v>
      </c>
      <c r="V230" s="5" t="n">
        <v>0</v>
      </c>
      <c r="W230" s="5" t="s">
        <v>158</v>
      </c>
      <c r="X230" s="5" t="n">
        <v>2</v>
      </c>
      <c r="Y230" s="4" t="s">
        <v>192</v>
      </c>
    </row>
    <row r="231" customFormat="false" ht="23.85" hidden="false" customHeight="false" outlineLevel="0" collapsed="false">
      <c r="A231" s="5" t="n">
        <v>42907</v>
      </c>
      <c r="B231" s="5" t="s">
        <v>79</v>
      </c>
      <c r="C231" s="5" t="s">
        <v>937</v>
      </c>
      <c r="D231" s="4" t="s">
        <v>32</v>
      </c>
      <c r="E231" s="4" t="s">
        <v>194</v>
      </c>
      <c r="F231" s="4" t="s">
        <v>154</v>
      </c>
      <c r="G231" s="4" t="s">
        <v>938</v>
      </c>
      <c r="H231" s="4" t="s">
        <v>939</v>
      </c>
      <c r="I231" s="5" t="s">
        <v>157</v>
      </c>
      <c r="J231" s="4"/>
      <c r="K231" s="5" t="s">
        <v>158</v>
      </c>
      <c r="L231" s="4" t="s">
        <v>741</v>
      </c>
      <c r="M231" s="5" t="s">
        <v>157</v>
      </c>
      <c r="N231" s="4" t="s">
        <v>940</v>
      </c>
      <c r="O231" s="5" t="s">
        <v>157</v>
      </c>
      <c r="P231" s="4" t="s">
        <v>277</v>
      </c>
      <c r="Q231" s="5" t="s">
        <v>157</v>
      </c>
      <c r="R231" s="5" t="n">
        <v>0</v>
      </c>
      <c r="S231" s="5" t="s">
        <v>158</v>
      </c>
      <c r="T231" s="4" t="s">
        <v>160</v>
      </c>
      <c r="U231" s="5" t="s">
        <v>157</v>
      </c>
      <c r="V231" s="5" t="n">
        <v>0</v>
      </c>
      <c r="W231" s="5" t="s">
        <v>158</v>
      </c>
      <c r="X231" s="5" t="n">
        <v>3</v>
      </c>
      <c r="Y231" s="4" t="s">
        <v>209</v>
      </c>
    </row>
    <row r="232" customFormat="false" ht="23.85" hidden="false" customHeight="false" outlineLevel="0" collapsed="false">
      <c r="A232" s="5" t="n">
        <v>42910</v>
      </c>
      <c r="B232" s="5" t="s">
        <v>79</v>
      </c>
      <c r="C232" s="5" t="s">
        <v>904</v>
      </c>
      <c r="D232" s="4" t="s">
        <v>32</v>
      </c>
      <c r="E232" s="4" t="s">
        <v>194</v>
      </c>
      <c r="F232" s="4" t="s">
        <v>154</v>
      </c>
      <c r="G232" s="4" t="s">
        <v>941</v>
      </c>
      <c r="H232" s="4" t="s">
        <v>942</v>
      </c>
      <c r="I232" s="5" t="s">
        <v>157</v>
      </c>
      <c r="J232" s="4"/>
      <c r="K232" s="5" t="s">
        <v>158</v>
      </c>
      <c r="L232" s="4" t="s">
        <v>943</v>
      </c>
      <c r="M232" s="5" t="s">
        <v>157</v>
      </c>
      <c r="N232" s="4" t="s">
        <v>944</v>
      </c>
      <c r="O232" s="5" t="s">
        <v>157</v>
      </c>
      <c r="P232" s="4" t="s">
        <v>677</v>
      </c>
      <c r="Q232" s="5" t="s">
        <v>157</v>
      </c>
      <c r="R232" s="5" t="n">
        <v>0</v>
      </c>
      <c r="S232" s="5" t="s">
        <v>158</v>
      </c>
      <c r="T232" s="4" t="s">
        <v>160</v>
      </c>
      <c r="U232" s="5" t="s">
        <v>157</v>
      </c>
      <c r="V232" s="5" t="n">
        <v>0</v>
      </c>
      <c r="W232" s="5" t="s">
        <v>158</v>
      </c>
      <c r="X232" s="5" t="n">
        <v>3</v>
      </c>
      <c r="Y232" s="4" t="s">
        <v>209</v>
      </c>
    </row>
    <row r="233" customFormat="false" ht="23.85" hidden="false" customHeight="false" outlineLevel="0" collapsed="false">
      <c r="A233" s="5" t="n">
        <v>42913</v>
      </c>
      <c r="B233" s="5" t="s">
        <v>79</v>
      </c>
      <c r="C233" s="5" t="s">
        <v>945</v>
      </c>
      <c r="D233" s="4" t="s">
        <v>24</v>
      </c>
      <c r="E233" s="4" t="s">
        <v>194</v>
      </c>
      <c r="F233" s="4" t="s">
        <v>154</v>
      </c>
      <c r="G233" s="4" t="s">
        <v>946</v>
      </c>
      <c r="H233" s="4"/>
      <c r="I233" s="5" t="s">
        <v>158</v>
      </c>
      <c r="J233" s="4" t="s">
        <v>947</v>
      </c>
      <c r="K233" s="5" t="s">
        <v>157</v>
      </c>
      <c r="L233" s="4"/>
      <c r="M233" s="5" t="s">
        <v>158</v>
      </c>
      <c r="N233" s="4"/>
      <c r="O233" s="5" t="s">
        <v>158</v>
      </c>
      <c r="P233" s="4" t="s">
        <v>277</v>
      </c>
      <c r="Q233" s="5" t="s">
        <v>157</v>
      </c>
      <c r="R233" s="5" t="n">
        <v>0</v>
      </c>
      <c r="S233" s="5" t="s">
        <v>158</v>
      </c>
      <c r="T233" s="4"/>
      <c r="U233" s="5" t="s">
        <v>158</v>
      </c>
      <c r="V233" s="5" t="n">
        <v>0</v>
      </c>
      <c r="W233" s="5" t="s">
        <v>158</v>
      </c>
      <c r="X233" s="5" t="n">
        <v>6</v>
      </c>
      <c r="Y233" s="4" t="s">
        <v>948</v>
      </c>
    </row>
    <row r="234" customFormat="false" ht="23.85" hidden="false" customHeight="false" outlineLevel="0" collapsed="false">
      <c r="A234" s="5" t="n">
        <v>42914</v>
      </c>
      <c r="B234" s="5" t="s">
        <v>79</v>
      </c>
      <c r="C234" s="5" t="s">
        <v>949</v>
      </c>
      <c r="D234" s="4" t="s">
        <v>24</v>
      </c>
      <c r="E234" s="4" t="s">
        <v>194</v>
      </c>
      <c r="F234" s="4" t="s">
        <v>154</v>
      </c>
      <c r="G234" s="4" t="s">
        <v>950</v>
      </c>
      <c r="H234" s="4" t="s">
        <v>951</v>
      </c>
      <c r="I234" s="5" t="s">
        <v>157</v>
      </c>
      <c r="J234" s="4"/>
      <c r="K234" s="5" t="s">
        <v>158</v>
      </c>
      <c r="L234" s="4" t="s">
        <v>952</v>
      </c>
      <c r="M234" s="5" t="s">
        <v>157</v>
      </c>
      <c r="N234" s="4" t="s">
        <v>953</v>
      </c>
      <c r="O234" s="5" t="s">
        <v>157</v>
      </c>
      <c r="P234" s="4" t="s">
        <v>277</v>
      </c>
      <c r="Q234" s="5" t="s">
        <v>157</v>
      </c>
      <c r="R234" s="5" t="n">
        <v>0</v>
      </c>
      <c r="S234" s="5" t="s">
        <v>158</v>
      </c>
      <c r="T234" s="4" t="s">
        <v>160</v>
      </c>
      <c r="U234" s="5" t="s">
        <v>157</v>
      </c>
      <c r="V234" s="5" t="n">
        <v>0</v>
      </c>
      <c r="W234" s="5" t="s">
        <v>158</v>
      </c>
      <c r="X234" s="5" t="n">
        <v>3</v>
      </c>
      <c r="Y234" s="4" t="s">
        <v>209</v>
      </c>
    </row>
    <row r="235" customFormat="false" ht="23.85" hidden="false" customHeight="false" outlineLevel="0" collapsed="false">
      <c r="A235" s="5" t="n">
        <v>42919</v>
      </c>
      <c r="B235" s="5" t="s">
        <v>79</v>
      </c>
      <c r="C235" s="5" t="s">
        <v>802</v>
      </c>
      <c r="D235" s="4" t="s">
        <v>28</v>
      </c>
      <c r="E235" s="4" t="s">
        <v>153</v>
      </c>
      <c r="F235" s="4" t="s">
        <v>154</v>
      </c>
      <c r="G235" s="4" t="s">
        <v>887</v>
      </c>
      <c r="H235" s="4" t="s">
        <v>888</v>
      </c>
      <c r="I235" s="5" t="s">
        <v>157</v>
      </c>
      <c r="J235" s="4"/>
      <c r="K235" s="5" t="s">
        <v>158</v>
      </c>
      <c r="L235" s="4" t="s">
        <v>555</v>
      </c>
      <c r="M235" s="5" t="s">
        <v>157</v>
      </c>
      <c r="N235" s="4" t="s">
        <v>888</v>
      </c>
      <c r="O235" s="5" t="s">
        <v>157</v>
      </c>
      <c r="P235" s="4" t="s">
        <v>253</v>
      </c>
      <c r="Q235" s="5" t="s">
        <v>157</v>
      </c>
      <c r="R235" s="5" t="n">
        <v>0</v>
      </c>
      <c r="S235" s="5" t="s">
        <v>158</v>
      </c>
      <c r="T235" s="4" t="s">
        <v>289</v>
      </c>
      <c r="U235" s="5" t="s">
        <v>157</v>
      </c>
      <c r="V235" s="5" t="n">
        <v>0</v>
      </c>
      <c r="W235" s="5" t="s">
        <v>158</v>
      </c>
      <c r="X235" s="5" t="n">
        <v>3</v>
      </c>
      <c r="Y235" s="4" t="s">
        <v>209</v>
      </c>
    </row>
    <row r="236" customFormat="false" ht="23.85" hidden="false" customHeight="false" outlineLevel="0" collapsed="false">
      <c r="A236" s="5" t="n">
        <v>42920</v>
      </c>
      <c r="B236" s="5" t="s">
        <v>79</v>
      </c>
      <c r="C236" s="5" t="s">
        <v>804</v>
      </c>
      <c r="D236" s="4" t="s">
        <v>28</v>
      </c>
      <c r="E236" s="4" t="s">
        <v>153</v>
      </c>
      <c r="F236" s="4" t="s">
        <v>154</v>
      </c>
      <c r="G236" s="4" t="s">
        <v>954</v>
      </c>
      <c r="H236" s="4" t="s">
        <v>571</v>
      </c>
      <c r="I236" s="5" t="s">
        <v>157</v>
      </c>
      <c r="J236" s="4"/>
      <c r="K236" s="5" t="s">
        <v>158</v>
      </c>
      <c r="L236" s="4" t="s">
        <v>177</v>
      </c>
      <c r="M236" s="5" t="s">
        <v>157</v>
      </c>
      <c r="N236" s="4"/>
      <c r="O236" s="5" t="s">
        <v>158</v>
      </c>
      <c r="P236" s="4" t="s">
        <v>253</v>
      </c>
      <c r="Q236" s="5" t="s">
        <v>157</v>
      </c>
      <c r="R236" s="5" t="n">
        <v>0</v>
      </c>
      <c r="S236" s="5" t="s">
        <v>158</v>
      </c>
      <c r="T236" s="4" t="s">
        <v>289</v>
      </c>
      <c r="U236" s="5" t="s">
        <v>157</v>
      </c>
      <c r="V236" s="5" t="n">
        <v>0</v>
      </c>
      <c r="W236" s="5" t="s">
        <v>158</v>
      </c>
      <c r="X236" s="5" t="n">
        <v>4</v>
      </c>
      <c r="Y236" s="4" t="s">
        <v>519</v>
      </c>
    </row>
    <row r="237" customFormat="false" ht="23.85" hidden="false" customHeight="false" outlineLevel="0" collapsed="false">
      <c r="A237" s="5" t="n">
        <v>42921</v>
      </c>
      <c r="B237" s="5" t="s">
        <v>79</v>
      </c>
      <c r="C237" s="5" t="s">
        <v>955</v>
      </c>
      <c r="D237" s="4" t="s">
        <v>28</v>
      </c>
      <c r="E237" s="4" t="s">
        <v>153</v>
      </c>
      <c r="F237" s="4" t="s">
        <v>154</v>
      </c>
      <c r="G237" s="4" t="s">
        <v>956</v>
      </c>
      <c r="H237" s="4" t="s">
        <v>957</v>
      </c>
      <c r="I237" s="5" t="s">
        <v>157</v>
      </c>
      <c r="J237" s="4"/>
      <c r="K237" s="5" t="s">
        <v>158</v>
      </c>
      <c r="L237" s="4"/>
      <c r="M237" s="5" t="s">
        <v>158</v>
      </c>
      <c r="N237" s="4" t="s">
        <v>958</v>
      </c>
      <c r="O237" s="5" t="s">
        <v>157</v>
      </c>
      <c r="P237" s="4" t="s">
        <v>253</v>
      </c>
      <c r="Q237" s="5" t="s">
        <v>157</v>
      </c>
      <c r="R237" s="5" t="n">
        <v>0</v>
      </c>
      <c r="S237" s="5" t="s">
        <v>158</v>
      </c>
      <c r="T237" s="4" t="s">
        <v>289</v>
      </c>
      <c r="U237" s="5" t="s">
        <v>157</v>
      </c>
      <c r="V237" s="5" t="n">
        <v>0</v>
      </c>
      <c r="W237" s="5" t="s">
        <v>158</v>
      </c>
      <c r="X237" s="5" t="n">
        <v>4</v>
      </c>
      <c r="Y237" s="4" t="s">
        <v>480</v>
      </c>
    </row>
    <row r="238" customFormat="false" ht="15" hidden="false" customHeight="false" outlineLevel="0" collapsed="false">
      <c r="A238" s="5" t="n">
        <v>42922</v>
      </c>
      <c r="B238" s="5" t="s">
        <v>79</v>
      </c>
      <c r="C238" s="5" t="s">
        <v>713</v>
      </c>
      <c r="D238" s="4" t="s">
        <v>30</v>
      </c>
      <c r="E238" s="4" t="s">
        <v>153</v>
      </c>
      <c r="F238" s="4" t="s">
        <v>244</v>
      </c>
      <c r="G238" s="4" t="s">
        <v>959</v>
      </c>
      <c r="H238" s="4" t="s">
        <v>959</v>
      </c>
      <c r="I238" s="5" t="s">
        <v>157</v>
      </c>
      <c r="J238" s="4" t="s">
        <v>960</v>
      </c>
      <c r="K238" s="5" t="s">
        <v>157</v>
      </c>
      <c r="L238" s="4" t="s">
        <v>961</v>
      </c>
      <c r="M238" s="5" t="s">
        <v>157</v>
      </c>
      <c r="N238" s="4" t="s">
        <v>962</v>
      </c>
      <c r="O238" s="5" t="s">
        <v>157</v>
      </c>
      <c r="P238" s="4" t="s">
        <v>277</v>
      </c>
      <c r="Q238" s="5" t="s">
        <v>157</v>
      </c>
      <c r="R238" s="5" t="n">
        <v>0</v>
      </c>
      <c r="S238" s="5" t="s">
        <v>158</v>
      </c>
      <c r="T238" s="4" t="s">
        <v>289</v>
      </c>
      <c r="U238" s="5" t="s">
        <v>157</v>
      </c>
      <c r="V238" s="5" t="n">
        <v>0</v>
      </c>
      <c r="W238" s="5" t="s">
        <v>158</v>
      </c>
      <c r="X238" s="5" t="n">
        <v>2</v>
      </c>
      <c r="Y238" s="4" t="s">
        <v>192</v>
      </c>
    </row>
    <row r="239" customFormat="false" ht="23.85" hidden="false" customHeight="false" outlineLevel="0" collapsed="false">
      <c r="A239" s="5" t="n">
        <v>42923</v>
      </c>
      <c r="B239" s="5" t="s">
        <v>79</v>
      </c>
      <c r="C239" s="5" t="s">
        <v>963</v>
      </c>
      <c r="D239" s="4" t="s">
        <v>30</v>
      </c>
      <c r="E239" s="4" t="s">
        <v>153</v>
      </c>
      <c r="F239" s="4" t="s">
        <v>244</v>
      </c>
      <c r="G239" s="4" t="s">
        <v>964</v>
      </c>
      <c r="H239" s="4" t="s">
        <v>964</v>
      </c>
      <c r="I239" s="5" t="s">
        <v>157</v>
      </c>
      <c r="J239" s="4"/>
      <c r="K239" s="5" t="s">
        <v>158</v>
      </c>
      <c r="L239" s="4"/>
      <c r="M239" s="5" t="s">
        <v>158</v>
      </c>
      <c r="N239" s="4"/>
      <c r="O239" s="5" t="s">
        <v>158</v>
      </c>
      <c r="P239" s="4" t="s">
        <v>247</v>
      </c>
      <c r="Q239" s="5" t="s">
        <v>157</v>
      </c>
      <c r="R239" s="5" t="n">
        <v>0</v>
      </c>
      <c r="S239" s="5" t="s">
        <v>158</v>
      </c>
      <c r="T239" s="4"/>
      <c r="U239" s="5" t="s">
        <v>158</v>
      </c>
      <c r="V239" s="5" t="n">
        <v>0</v>
      </c>
      <c r="W239" s="5" t="s">
        <v>158</v>
      </c>
      <c r="X239" s="5" t="n">
        <v>6</v>
      </c>
      <c r="Y239" s="4" t="s">
        <v>183</v>
      </c>
    </row>
    <row r="240" customFormat="false" ht="23.85" hidden="false" customHeight="false" outlineLevel="0" collapsed="false">
      <c r="A240" s="5" t="n">
        <v>42924</v>
      </c>
      <c r="B240" s="5" t="s">
        <v>79</v>
      </c>
      <c r="C240" s="5" t="s">
        <v>965</v>
      </c>
      <c r="D240" s="4" t="s">
        <v>30</v>
      </c>
      <c r="E240" s="4" t="s">
        <v>153</v>
      </c>
      <c r="F240" s="4" t="s">
        <v>244</v>
      </c>
      <c r="G240" s="4" t="s">
        <v>966</v>
      </c>
      <c r="H240" s="4" t="s">
        <v>966</v>
      </c>
      <c r="I240" s="5" t="s">
        <v>157</v>
      </c>
      <c r="J240" s="4"/>
      <c r="K240" s="5" t="s">
        <v>158</v>
      </c>
      <c r="L240" s="4"/>
      <c r="M240" s="5" t="s">
        <v>158</v>
      </c>
      <c r="N240" s="4"/>
      <c r="O240" s="5" t="s">
        <v>158</v>
      </c>
      <c r="P240" s="4"/>
      <c r="Q240" s="5" t="s">
        <v>158</v>
      </c>
      <c r="R240" s="5" t="n">
        <v>0</v>
      </c>
      <c r="S240" s="5" t="s">
        <v>158</v>
      </c>
      <c r="T240" s="4"/>
      <c r="U240" s="5" t="s">
        <v>158</v>
      </c>
      <c r="V240" s="5" t="n">
        <v>0</v>
      </c>
      <c r="W240" s="5" t="s">
        <v>158</v>
      </c>
      <c r="X240" s="5" t="n">
        <v>7</v>
      </c>
      <c r="Y240" s="4" t="s">
        <v>320</v>
      </c>
    </row>
    <row r="241" customFormat="false" ht="23.85" hidden="false" customHeight="false" outlineLevel="0" collapsed="false">
      <c r="A241" s="5" t="n">
        <v>42925</v>
      </c>
      <c r="B241" s="5" t="s">
        <v>79</v>
      </c>
      <c r="C241" s="5" t="s">
        <v>967</v>
      </c>
      <c r="D241" s="4" t="s">
        <v>30</v>
      </c>
      <c r="E241" s="4" t="s">
        <v>153</v>
      </c>
      <c r="F241" s="4" t="s">
        <v>154</v>
      </c>
      <c r="G241" s="4" t="s">
        <v>968</v>
      </c>
      <c r="H241" s="4" t="s">
        <v>969</v>
      </c>
      <c r="I241" s="5" t="s">
        <v>157</v>
      </c>
      <c r="J241" s="4"/>
      <c r="K241" s="5" t="s">
        <v>158</v>
      </c>
      <c r="L241" s="4"/>
      <c r="M241" s="5" t="s">
        <v>158</v>
      </c>
      <c r="N241" s="4"/>
      <c r="O241" s="5" t="s">
        <v>158</v>
      </c>
      <c r="P241" s="4"/>
      <c r="Q241" s="5" t="s">
        <v>158</v>
      </c>
      <c r="R241" s="5" t="n">
        <v>0</v>
      </c>
      <c r="S241" s="5" t="s">
        <v>158</v>
      </c>
      <c r="T241" s="4"/>
      <c r="U241" s="5" t="s">
        <v>158</v>
      </c>
      <c r="V241" s="5" t="n">
        <v>0</v>
      </c>
      <c r="W241" s="5" t="s">
        <v>158</v>
      </c>
      <c r="X241" s="5" t="n">
        <v>7</v>
      </c>
      <c r="Y241" s="4" t="s">
        <v>320</v>
      </c>
    </row>
    <row r="242" customFormat="false" ht="23.85" hidden="false" customHeight="false" outlineLevel="0" collapsed="false">
      <c r="A242" s="5" t="n">
        <v>42926</v>
      </c>
      <c r="B242" s="5" t="s">
        <v>79</v>
      </c>
      <c r="C242" s="5" t="s">
        <v>970</v>
      </c>
      <c r="D242" s="4" t="s">
        <v>30</v>
      </c>
      <c r="E242" s="4" t="s">
        <v>153</v>
      </c>
      <c r="F242" s="4" t="s">
        <v>244</v>
      </c>
      <c r="G242" s="4" t="s">
        <v>971</v>
      </c>
      <c r="H242" s="4" t="s">
        <v>971</v>
      </c>
      <c r="I242" s="5" t="s">
        <v>157</v>
      </c>
      <c r="J242" s="4"/>
      <c r="K242" s="5" t="s">
        <v>158</v>
      </c>
      <c r="L242" s="4"/>
      <c r="M242" s="5" t="s">
        <v>158</v>
      </c>
      <c r="N242" s="4"/>
      <c r="O242" s="5" t="s">
        <v>158</v>
      </c>
      <c r="P242" s="4"/>
      <c r="Q242" s="5" t="s">
        <v>158</v>
      </c>
      <c r="R242" s="5" t="n">
        <v>0</v>
      </c>
      <c r="S242" s="5" t="s">
        <v>158</v>
      </c>
      <c r="T242" s="4"/>
      <c r="U242" s="5" t="s">
        <v>158</v>
      </c>
      <c r="V242" s="5" t="n">
        <v>0</v>
      </c>
      <c r="W242" s="5" t="s">
        <v>158</v>
      </c>
      <c r="X242" s="5" t="n">
        <v>7</v>
      </c>
      <c r="Y242" s="4" t="s">
        <v>320</v>
      </c>
    </row>
    <row r="243" customFormat="false" ht="23.85" hidden="false" customHeight="false" outlineLevel="0" collapsed="false">
      <c r="A243" s="5" t="n">
        <v>42927</v>
      </c>
      <c r="B243" s="5" t="s">
        <v>79</v>
      </c>
      <c r="C243" s="5" t="s">
        <v>972</v>
      </c>
      <c r="D243" s="4" t="s">
        <v>28</v>
      </c>
      <c r="E243" s="4" t="s">
        <v>153</v>
      </c>
      <c r="F243" s="4" t="s">
        <v>154</v>
      </c>
      <c r="G243" s="4" t="s">
        <v>973</v>
      </c>
      <c r="H243" s="4" t="s">
        <v>974</v>
      </c>
      <c r="I243" s="5" t="s">
        <v>157</v>
      </c>
      <c r="J243" s="4"/>
      <c r="K243" s="5" t="s">
        <v>158</v>
      </c>
      <c r="L243" s="4" t="s">
        <v>314</v>
      </c>
      <c r="M243" s="5" t="s">
        <v>157</v>
      </c>
      <c r="N243" s="4" t="s">
        <v>974</v>
      </c>
      <c r="O243" s="5" t="s">
        <v>157</v>
      </c>
      <c r="P243" s="4" t="s">
        <v>160</v>
      </c>
      <c r="Q243" s="5" t="s">
        <v>157</v>
      </c>
      <c r="R243" s="5" t="n">
        <v>0</v>
      </c>
      <c r="S243" s="5" t="s">
        <v>158</v>
      </c>
      <c r="T243" s="4" t="s">
        <v>160</v>
      </c>
      <c r="U243" s="5" t="s">
        <v>157</v>
      </c>
      <c r="V243" s="5" t="n">
        <v>0</v>
      </c>
      <c r="W243" s="5" t="s">
        <v>158</v>
      </c>
      <c r="X243" s="5" t="n">
        <v>3</v>
      </c>
      <c r="Y243" s="4" t="s">
        <v>209</v>
      </c>
    </row>
    <row r="244" customFormat="false" ht="23.85" hidden="false" customHeight="false" outlineLevel="0" collapsed="false">
      <c r="A244" s="5" t="n">
        <v>42928</v>
      </c>
      <c r="B244" s="5" t="s">
        <v>79</v>
      </c>
      <c r="C244" s="5" t="s">
        <v>975</v>
      </c>
      <c r="D244" s="4" t="s">
        <v>28</v>
      </c>
      <c r="E244" s="4" t="s">
        <v>153</v>
      </c>
      <c r="F244" s="4" t="s">
        <v>154</v>
      </c>
      <c r="G244" s="4" t="s">
        <v>976</v>
      </c>
      <c r="H244" s="4" t="s">
        <v>977</v>
      </c>
      <c r="I244" s="5" t="s">
        <v>157</v>
      </c>
      <c r="J244" s="4"/>
      <c r="K244" s="5" t="s">
        <v>158</v>
      </c>
      <c r="L244" s="4" t="s">
        <v>978</v>
      </c>
      <c r="M244" s="5" t="s">
        <v>157</v>
      </c>
      <c r="N244" s="4"/>
      <c r="O244" s="5" t="s">
        <v>158</v>
      </c>
      <c r="P244" s="4" t="s">
        <v>160</v>
      </c>
      <c r="Q244" s="5" t="s">
        <v>157</v>
      </c>
      <c r="R244" s="5" t="n">
        <v>0</v>
      </c>
      <c r="S244" s="5" t="s">
        <v>158</v>
      </c>
      <c r="T244" s="4" t="s">
        <v>160</v>
      </c>
      <c r="U244" s="5" t="s">
        <v>157</v>
      </c>
      <c r="V244" s="5" t="n">
        <v>0</v>
      </c>
      <c r="W244" s="5" t="s">
        <v>158</v>
      </c>
      <c r="X244" s="5" t="n">
        <v>4</v>
      </c>
      <c r="Y244" s="4" t="s">
        <v>519</v>
      </c>
    </row>
    <row r="245" customFormat="false" ht="23.85" hidden="false" customHeight="false" outlineLevel="0" collapsed="false">
      <c r="A245" s="5" t="n">
        <v>42929</v>
      </c>
      <c r="B245" s="5" t="s">
        <v>79</v>
      </c>
      <c r="C245" s="5" t="s">
        <v>979</v>
      </c>
      <c r="D245" s="4" t="s">
        <v>32</v>
      </c>
      <c r="E245" s="4" t="s">
        <v>194</v>
      </c>
      <c r="F245" s="4" t="s">
        <v>154</v>
      </c>
      <c r="G245" s="4" t="s">
        <v>980</v>
      </c>
      <c r="H245" s="4" t="s">
        <v>981</v>
      </c>
      <c r="I245" s="5" t="s">
        <v>157</v>
      </c>
      <c r="J245" s="4"/>
      <c r="K245" s="5" t="s">
        <v>158</v>
      </c>
      <c r="L245" s="4" t="s">
        <v>669</v>
      </c>
      <c r="M245" s="5" t="s">
        <v>157</v>
      </c>
      <c r="N245" s="4" t="s">
        <v>982</v>
      </c>
      <c r="O245" s="5" t="s">
        <v>157</v>
      </c>
      <c r="P245" s="4" t="s">
        <v>983</v>
      </c>
      <c r="Q245" s="5" t="s">
        <v>157</v>
      </c>
      <c r="R245" s="5" t="n">
        <v>0</v>
      </c>
      <c r="S245" s="5" t="s">
        <v>158</v>
      </c>
      <c r="T245" s="4" t="s">
        <v>289</v>
      </c>
      <c r="U245" s="5" t="s">
        <v>157</v>
      </c>
      <c r="V245" s="5" t="n">
        <v>0</v>
      </c>
      <c r="W245" s="5" t="s">
        <v>158</v>
      </c>
      <c r="X245" s="5" t="n">
        <v>3</v>
      </c>
      <c r="Y245" s="4" t="s">
        <v>209</v>
      </c>
    </row>
    <row r="246" customFormat="false" ht="23.85" hidden="false" customHeight="false" outlineLevel="0" collapsed="false">
      <c r="A246" s="5" t="n">
        <v>42930</v>
      </c>
      <c r="B246" s="5" t="s">
        <v>80</v>
      </c>
      <c r="C246" s="5" t="s">
        <v>984</v>
      </c>
      <c r="D246" s="4" t="s">
        <v>22</v>
      </c>
      <c r="E246" s="4" t="s">
        <v>185</v>
      </c>
      <c r="F246" s="4" t="s">
        <v>244</v>
      </c>
      <c r="G246" s="4" t="s">
        <v>985</v>
      </c>
      <c r="H246" s="4" t="s">
        <v>986</v>
      </c>
      <c r="I246" s="5" t="s">
        <v>157</v>
      </c>
      <c r="J246" s="4"/>
      <c r="K246" s="5" t="s">
        <v>158</v>
      </c>
      <c r="L246" s="4" t="s">
        <v>517</v>
      </c>
      <c r="M246" s="5" t="s">
        <v>157</v>
      </c>
      <c r="N246" s="4"/>
      <c r="O246" s="5" t="s">
        <v>158</v>
      </c>
      <c r="P246" s="4" t="s">
        <v>247</v>
      </c>
      <c r="Q246" s="5" t="s">
        <v>157</v>
      </c>
      <c r="R246" s="5" t="n">
        <v>0</v>
      </c>
      <c r="S246" s="5" t="s">
        <v>158</v>
      </c>
      <c r="T246" s="4"/>
      <c r="U246" s="5" t="s">
        <v>158</v>
      </c>
      <c r="V246" s="5" t="n">
        <v>0</v>
      </c>
      <c r="W246" s="5" t="s">
        <v>158</v>
      </c>
      <c r="X246" s="5" t="n">
        <v>5</v>
      </c>
      <c r="Y246" s="4" t="s">
        <v>248</v>
      </c>
    </row>
    <row r="247" customFormat="false" ht="23.85" hidden="false" customHeight="false" outlineLevel="0" collapsed="false">
      <c r="A247" s="5" t="n">
        <v>42942</v>
      </c>
      <c r="B247" s="5" t="s">
        <v>80</v>
      </c>
      <c r="C247" s="5" t="s">
        <v>987</v>
      </c>
      <c r="D247" s="4" t="s">
        <v>26</v>
      </c>
      <c r="E247" s="4" t="s">
        <v>194</v>
      </c>
      <c r="F247" s="4" t="s">
        <v>244</v>
      </c>
      <c r="G247" s="4" t="s">
        <v>988</v>
      </c>
      <c r="H247" s="4" t="s">
        <v>989</v>
      </c>
      <c r="I247" s="5" t="s">
        <v>157</v>
      </c>
      <c r="J247" s="4"/>
      <c r="K247" s="5" t="s">
        <v>158</v>
      </c>
      <c r="L247" s="4"/>
      <c r="M247" s="5" t="s">
        <v>158</v>
      </c>
      <c r="N247" s="4"/>
      <c r="O247" s="5" t="s">
        <v>158</v>
      </c>
      <c r="P247" s="4" t="s">
        <v>990</v>
      </c>
      <c r="Q247" s="5" t="s">
        <v>157</v>
      </c>
      <c r="R247" s="5" t="n">
        <v>0</v>
      </c>
      <c r="S247" s="5" t="s">
        <v>158</v>
      </c>
      <c r="T247" s="4" t="s">
        <v>518</v>
      </c>
      <c r="U247" s="5" t="s">
        <v>157</v>
      </c>
      <c r="V247" s="5" t="n">
        <v>0</v>
      </c>
      <c r="W247" s="5" t="s">
        <v>158</v>
      </c>
      <c r="X247" s="5" t="n">
        <v>5</v>
      </c>
      <c r="Y247" s="4" t="s">
        <v>513</v>
      </c>
    </row>
    <row r="248" customFormat="false" ht="23.85" hidden="false" customHeight="false" outlineLevel="0" collapsed="false">
      <c r="A248" s="5" t="n">
        <v>42943</v>
      </c>
      <c r="B248" s="5" t="s">
        <v>80</v>
      </c>
      <c r="C248" s="5" t="s">
        <v>991</v>
      </c>
      <c r="D248" s="4" t="s">
        <v>22</v>
      </c>
      <c r="E248" s="4" t="s">
        <v>185</v>
      </c>
      <c r="F248" s="4" t="s">
        <v>244</v>
      </c>
      <c r="G248" s="4" t="s">
        <v>992</v>
      </c>
      <c r="H248" s="4" t="s">
        <v>993</v>
      </c>
      <c r="I248" s="5" t="s">
        <v>157</v>
      </c>
      <c r="J248" s="4"/>
      <c r="K248" s="5" t="s">
        <v>158</v>
      </c>
      <c r="L248" s="4" t="s">
        <v>993</v>
      </c>
      <c r="M248" s="5" t="s">
        <v>157</v>
      </c>
      <c r="N248" s="4"/>
      <c r="O248" s="5" t="s">
        <v>158</v>
      </c>
      <c r="P248" s="4" t="s">
        <v>247</v>
      </c>
      <c r="Q248" s="5" t="s">
        <v>157</v>
      </c>
      <c r="R248" s="5" t="n">
        <v>0</v>
      </c>
      <c r="S248" s="5" t="s">
        <v>158</v>
      </c>
      <c r="T248" s="4"/>
      <c r="U248" s="5" t="s">
        <v>158</v>
      </c>
      <c r="V248" s="5" t="n">
        <v>67</v>
      </c>
      <c r="W248" s="5" t="s">
        <v>157</v>
      </c>
      <c r="X248" s="5" t="n">
        <v>4</v>
      </c>
      <c r="Y248" s="4" t="s">
        <v>375</v>
      </c>
    </row>
    <row r="249" customFormat="false" ht="23.85" hidden="false" customHeight="false" outlineLevel="0" collapsed="false">
      <c r="A249" s="5" t="n">
        <v>42944</v>
      </c>
      <c r="B249" s="5" t="s">
        <v>80</v>
      </c>
      <c r="C249" s="5" t="s">
        <v>991</v>
      </c>
      <c r="D249" s="4" t="s">
        <v>26</v>
      </c>
      <c r="E249" s="4" t="s">
        <v>194</v>
      </c>
      <c r="F249" s="4" t="s">
        <v>244</v>
      </c>
      <c r="G249" s="4" t="s">
        <v>994</v>
      </c>
      <c r="H249" s="4" t="s">
        <v>995</v>
      </c>
      <c r="I249" s="5" t="s">
        <v>157</v>
      </c>
      <c r="J249" s="4"/>
      <c r="K249" s="5" t="s">
        <v>158</v>
      </c>
      <c r="L249" s="4"/>
      <c r="M249" s="5" t="s">
        <v>158</v>
      </c>
      <c r="N249" s="4"/>
      <c r="O249" s="5" t="s">
        <v>158</v>
      </c>
      <c r="P249" s="4"/>
      <c r="Q249" s="5" t="s">
        <v>158</v>
      </c>
      <c r="R249" s="5" t="n">
        <v>0</v>
      </c>
      <c r="S249" s="5" t="s">
        <v>158</v>
      </c>
      <c r="T249" s="4" t="s">
        <v>518</v>
      </c>
      <c r="U249" s="5" t="s">
        <v>157</v>
      </c>
      <c r="V249" s="5" t="n">
        <v>0</v>
      </c>
      <c r="W249" s="5" t="s">
        <v>158</v>
      </c>
      <c r="X249" s="5" t="n">
        <v>6</v>
      </c>
      <c r="Y249" s="4" t="s">
        <v>996</v>
      </c>
    </row>
    <row r="250" customFormat="false" ht="23.85" hidden="false" customHeight="false" outlineLevel="0" collapsed="false">
      <c r="A250" s="5" t="n">
        <v>42945</v>
      </c>
      <c r="B250" s="5" t="s">
        <v>80</v>
      </c>
      <c r="C250" s="5" t="s">
        <v>997</v>
      </c>
      <c r="D250" s="4" t="s">
        <v>22</v>
      </c>
      <c r="E250" s="4" t="s">
        <v>185</v>
      </c>
      <c r="F250" s="4" t="s">
        <v>244</v>
      </c>
      <c r="G250" s="4" t="s">
        <v>998</v>
      </c>
      <c r="H250" s="4" t="s">
        <v>999</v>
      </c>
      <c r="I250" s="5" t="s">
        <v>157</v>
      </c>
      <c r="J250" s="4"/>
      <c r="K250" s="5" t="s">
        <v>158</v>
      </c>
      <c r="L250" s="4" t="s">
        <v>1000</v>
      </c>
      <c r="M250" s="5" t="s">
        <v>157</v>
      </c>
      <c r="N250" s="4"/>
      <c r="O250" s="5" t="s">
        <v>158</v>
      </c>
      <c r="P250" s="4" t="s">
        <v>247</v>
      </c>
      <c r="Q250" s="5" t="s">
        <v>157</v>
      </c>
      <c r="R250" s="5" t="n">
        <v>0</v>
      </c>
      <c r="S250" s="5" t="s">
        <v>158</v>
      </c>
      <c r="T250" s="4"/>
      <c r="U250" s="5" t="s">
        <v>158</v>
      </c>
      <c r="V250" s="5" t="n">
        <v>0</v>
      </c>
      <c r="W250" s="5" t="s">
        <v>158</v>
      </c>
      <c r="X250" s="5" t="n">
        <v>5</v>
      </c>
      <c r="Y250" s="4" t="s">
        <v>248</v>
      </c>
    </row>
    <row r="251" customFormat="false" ht="23.85" hidden="false" customHeight="false" outlineLevel="0" collapsed="false">
      <c r="A251" s="5" t="n">
        <v>42946</v>
      </c>
      <c r="B251" s="5" t="s">
        <v>80</v>
      </c>
      <c r="C251" s="5" t="s">
        <v>1001</v>
      </c>
      <c r="D251" s="4" t="s">
        <v>26</v>
      </c>
      <c r="E251" s="4" t="s">
        <v>194</v>
      </c>
      <c r="F251" s="4" t="s">
        <v>154</v>
      </c>
      <c r="G251" s="4" t="s">
        <v>1002</v>
      </c>
      <c r="H251" s="4" t="s">
        <v>1003</v>
      </c>
      <c r="I251" s="5" t="s">
        <v>157</v>
      </c>
      <c r="J251" s="4"/>
      <c r="K251" s="5" t="s">
        <v>158</v>
      </c>
      <c r="L251" s="4"/>
      <c r="M251" s="5" t="s">
        <v>158</v>
      </c>
      <c r="N251" s="4"/>
      <c r="O251" s="5" t="s">
        <v>158</v>
      </c>
      <c r="P251" s="4"/>
      <c r="Q251" s="5" t="s">
        <v>158</v>
      </c>
      <c r="R251" s="5" t="n">
        <v>0</v>
      </c>
      <c r="S251" s="5" t="s">
        <v>158</v>
      </c>
      <c r="T251" s="4" t="s">
        <v>518</v>
      </c>
      <c r="U251" s="5" t="s">
        <v>157</v>
      </c>
      <c r="V251" s="5" t="n">
        <v>0</v>
      </c>
      <c r="W251" s="5" t="s">
        <v>158</v>
      </c>
      <c r="X251" s="5" t="n">
        <v>6</v>
      </c>
      <c r="Y251" s="4" t="s">
        <v>996</v>
      </c>
    </row>
    <row r="252" customFormat="false" ht="23.85" hidden="false" customHeight="false" outlineLevel="0" collapsed="false">
      <c r="A252" s="5" t="n">
        <v>42948</v>
      </c>
      <c r="B252" s="5" t="s">
        <v>80</v>
      </c>
      <c r="C252" s="5" t="s">
        <v>1004</v>
      </c>
      <c r="D252" s="4" t="s">
        <v>32</v>
      </c>
      <c r="E252" s="4" t="s">
        <v>194</v>
      </c>
      <c r="F252" s="4" t="s">
        <v>154</v>
      </c>
      <c r="G252" s="4" t="s">
        <v>1005</v>
      </c>
      <c r="H252" s="4" t="s">
        <v>1006</v>
      </c>
      <c r="I252" s="5" t="s">
        <v>157</v>
      </c>
      <c r="J252" s="4"/>
      <c r="K252" s="5" t="s">
        <v>158</v>
      </c>
      <c r="L252" s="4" t="s">
        <v>1006</v>
      </c>
      <c r="M252" s="5" t="s">
        <v>157</v>
      </c>
      <c r="N252" s="4" t="s">
        <v>1007</v>
      </c>
      <c r="O252" s="5" t="s">
        <v>157</v>
      </c>
      <c r="P252" s="4" t="s">
        <v>160</v>
      </c>
      <c r="Q252" s="5" t="s">
        <v>157</v>
      </c>
      <c r="R252" s="5" t="n">
        <v>0</v>
      </c>
      <c r="S252" s="5" t="s">
        <v>158</v>
      </c>
      <c r="T252" s="4" t="s">
        <v>160</v>
      </c>
      <c r="U252" s="5" t="s">
        <v>157</v>
      </c>
      <c r="V252" s="5" t="n">
        <v>0</v>
      </c>
      <c r="W252" s="5" t="s">
        <v>158</v>
      </c>
      <c r="X252" s="5" t="n">
        <v>3</v>
      </c>
      <c r="Y252" s="4" t="s">
        <v>209</v>
      </c>
    </row>
    <row r="253" customFormat="false" ht="23.85" hidden="false" customHeight="false" outlineLevel="0" collapsed="false">
      <c r="A253" s="5" t="n">
        <v>42953</v>
      </c>
      <c r="B253" s="5" t="s">
        <v>80</v>
      </c>
      <c r="C253" s="5" t="s">
        <v>641</v>
      </c>
      <c r="D253" s="4" t="s">
        <v>26</v>
      </c>
      <c r="E253" s="4" t="s">
        <v>194</v>
      </c>
      <c r="F253" s="4" t="s">
        <v>195</v>
      </c>
      <c r="G253" s="4" t="s">
        <v>1008</v>
      </c>
      <c r="H253" s="4" t="s">
        <v>1008</v>
      </c>
      <c r="I253" s="5" t="s">
        <v>157</v>
      </c>
      <c r="J253" s="4"/>
      <c r="K253" s="5" t="s">
        <v>158</v>
      </c>
      <c r="L253" s="4"/>
      <c r="M253" s="5" t="s">
        <v>158</v>
      </c>
      <c r="N253" s="4"/>
      <c r="O253" s="5" t="s">
        <v>158</v>
      </c>
      <c r="P253" s="4" t="s">
        <v>683</v>
      </c>
      <c r="Q253" s="5" t="s">
        <v>157</v>
      </c>
      <c r="R253" s="5" t="n">
        <v>0</v>
      </c>
      <c r="S253" s="5" t="s">
        <v>158</v>
      </c>
      <c r="T253" s="4" t="s">
        <v>289</v>
      </c>
      <c r="U253" s="5" t="s">
        <v>157</v>
      </c>
      <c r="V253" s="5" t="n">
        <v>0</v>
      </c>
      <c r="W253" s="5" t="s">
        <v>158</v>
      </c>
      <c r="X253" s="5" t="n">
        <v>5</v>
      </c>
      <c r="Y253" s="4" t="s">
        <v>513</v>
      </c>
    </row>
    <row r="254" customFormat="false" ht="23.85" hidden="false" customHeight="false" outlineLevel="0" collapsed="false">
      <c r="A254" s="5" t="n">
        <v>42954</v>
      </c>
      <c r="B254" s="5" t="s">
        <v>80</v>
      </c>
      <c r="C254" s="5" t="s">
        <v>1009</v>
      </c>
      <c r="D254" s="4" t="s">
        <v>26</v>
      </c>
      <c r="E254" s="4" t="s">
        <v>194</v>
      </c>
      <c r="F254" s="4" t="s">
        <v>195</v>
      </c>
      <c r="G254" s="4" t="s">
        <v>1010</v>
      </c>
      <c r="H254" s="4" t="s">
        <v>1010</v>
      </c>
      <c r="I254" s="5" t="s">
        <v>157</v>
      </c>
      <c r="J254" s="4" t="s">
        <v>1011</v>
      </c>
      <c r="K254" s="5" t="s">
        <v>157</v>
      </c>
      <c r="L254" s="4" t="s">
        <v>1012</v>
      </c>
      <c r="M254" s="5" t="s">
        <v>157</v>
      </c>
      <c r="N254" s="4" t="s">
        <v>1013</v>
      </c>
      <c r="O254" s="5" t="s">
        <v>157</v>
      </c>
      <c r="P254" s="4" t="s">
        <v>1014</v>
      </c>
      <c r="Q254" s="5" t="s">
        <v>157</v>
      </c>
      <c r="R254" s="5" t="n">
        <v>6</v>
      </c>
      <c r="S254" s="5" t="s">
        <v>157</v>
      </c>
      <c r="T254" s="4" t="s">
        <v>518</v>
      </c>
      <c r="U254" s="5" t="s">
        <v>157</v>
      </c>
      <c r="V254" s="5" t="n">
        <v>19</v>
      </c>
      <c r="W254" s="5" t="s">
        <v>157</v>
      </c>
      <c r="X254" s="5" t="n">
        <v>0</v>
      </c>
      <c r="Y254" s="4" t="s">
        <v>203</v>
      </c>
    </row>
    <row r="255" customFormat="false" ht="23.85" hidden="false" customHeight="false" outlineLevel="0" collapsed="false">
      <c r="A255" s="5" t="n">
        <v>42955</v>
      </c>
      <c r="B255" s="5" t="s">
        <v>80</v>
      </c>
      <c r="C255" s="5" t="s">
        <v>710</v>
      </c>
      <c r="D255" s="4" t="s">
        <v>26</v>
      </c>
      <c r="E255" s="4" t="s">
        <v>194</v>
      </c>
      <c r="F255" s="4" t="s">
        <v>338</v>
      </c>
      <c r="G255" s="4" t="s">
        <v>1015</v>
      </c>
      <c r="H255" s="4" t="s">
        <v>1016</v>
      </c>
      <c r="I255" s="5" t="s">
        <v>157</v>
      </c>
      <c r="J255" s="4"/>
      <c r="K255" s="5" t="s">
        <v>158</v>
      </c>
      <c r="L255" s="4"/>
      <c r="M255" s="5" t="s">
        <v>158</v>
      </c>
      <c r="N255" s="4"/>
      <c r="O255" s="5" t="s">
        <v>158</v>
      </c>
      <c r="P255" s="4" t="s">
        <v>1017</v>
      </c>
      <c r="Q255" s="5" t="s">
        <v>157</v>
      </c>
      <c r="R255" s="5" t="n">
        <v>0</v>
      </c>
      <c r="S255" s="5" t="s">
        <v>158</v>
      </c>
      <c r="T255" s="4" t="s">
        <v>202</v>
      </c>
      <c r="U255" s="5" t="s">
        <v>157</v>
      </c>
      <c r="V255" s="5" t="n">
        <v>0</v>
      </c>
      <c r="W255" s="5" t="s">
        <v>158</v>
      </c>
      <c r="X255" s="5" t="n">
        <v>5</v>
      </c>
      <c r="Y255" s="4" t="s">
        <v>513</v>
      </c>
    </row>
    <row r="256" customFormat="false" ht="15" hidden="false" customHeight="false" outlineLevel="0" collapsed="false">
      <c r="A256" s="5" t="n">
        <v>42956</v>
      </c>
      <c r="B256" s="5" t="s">
        <v>80</v>
      </c>
      <c r="C256" s="5" t="s">
        <v>1018</v>
      </c>
      <c r="D256" s="4" t="s">
        <v>18</v>
      </c>
      <c r="E256" s="4" t="s">
        <v>194</v>
      </c>
      <c r="F256" s="4" t="s">
        <v>154</v>
      </c>
      <c r="G256" s="4" t="s">
        <v>1019</v>
      </c>
      <c r="H256" s="4" t="s">
        <v>1020</v>
      </c>
      <c r="I256" s="5" t="s">
        <v>157</v>
      </c>
      <c r="J256" s="4" t="s">
        <v>1021</v>
      </c>
      <c r="K256" s="5" t="s">
        <v>157</v>
      </c>
      <c r="L256" s="4" t="s">
        <v>1022</v>
      </c>
      <c r="M256" s="5" t="s">
        <v>157</v>
      </c>
      <c r="N256" s="4" t="s">
        <v>1023</v>
      </c>
      <c r="O256" s="5" t="s">
        <v>157</v>
      </c>
      <c r="P256" s="4" t="s">
        <v>277</v>
      </c>
      <c r="Q256" s="5" t="s">
        <v>157</v>
      </c>
      <c r="R256" s="5" t="n">
        <v>0</v>
      </c>
      <c r="S256" s="5" t="s">
        <v>158</v>
      </c>
      <c r="T256" s="4"/>
      <c r="U256" s="5" t="s">
        <v>158</v>
      </c>
      <c r="V256" s="5" t="n">
        <v>19</v>
      </c>
      <c r="W256" s="5" t="s">
        <v>157</v>
      </c>
      <c r="X256" s="5" t="n">
        <v>2</v>
      </c>
      <c r="Y256" s="4" t="s">
        <v>1024</v>
      </c>
    </row>
    <row r="257" customFormat="false" ht="23.85" hidden="false" customHeight="false" outlineLevel="0" collapsed="false">
      <c r="A257" s="5" t="n">
        <v>42957</v>
      </c>
      <c r="B257" s="5" t="s">
        <v>80</v>
      </c>
      <c r="C257" s="5" t="s">
        <v>429</v>
      </c>
      <c r="D257" s="4" t="s">
        <v>28</v>
      </c>
      <c r="E257" s="4" t="s">
        <v>153</v>
      </c>
      <c r="F257" s="4" t="s">
        <v>154</v>
      </c>
      <c r="G257" s="4" t="s">
        <v>1025</v>
      </c>
      <c r="H257" s="4" t="s">
        <v>1026</v>
      </c>
      <c r="I257" s="5" t="s">
        <v>157</v>
      </c>
      <c r="J257" s="4"/>
      <c r="K257" s="5" t="s">
        <v>158</v>
      </c>
      <c r="L257" s="4" t="s">
        <v>1027</v>
      </c>
      <c r="M257" s="5" t="s">
        <v>157</v>
      </c>
      <c r="N257" s="4" t="s">
        <v>1026</v>
      </c>
      <c r="O257" s="5" t="s">
        <v>157</v>
      </c>
      <c r="P257" s="4" t="s">
        <v>160</v>
      </c>
      <c r="Q257" s="5" t="s">
        <v>157</v>
      </c>
      <c r="R257" s="5" t="n">
        <v>0</v>
      </c>
      <c r="S257" s="5" t="s">
        <v>158</v>
      </c>
      <c r="T257" s="4" t="s">
        <v>160</v>
      </c>
      <c r="U257" s="5" t="s">
        <v>157</v>
      </c>
      <c r="V257" s="5" t="n">
        <v>0</v>
      </c>
      <c r="W257" s="5" t="s">
        <v>158</v>
      </c>
      <c r="X257" s="5" t="n">
        <v>3</v>
      </c>
      <c r="Y257" s="4" t="s">
        <v>209</v>
      </c>
    </row>
    <row r="258" customFormat="false" ht="23.85" hidden="false" customHeight="false" outlineLevel="0" collapsed="false">
      <c r="A258" s="5" t="n">
        <v>42958</v>
      </c>
      <c r="B258" s="5" t="s">
        <v>80</v>
      </c>
      <c r="C258" s="5" t="s">
        <v>1028</v>
      </c>
      <c r="D258" s="4" t="s">
        <v>28</v>
      </c>
      <c r="E258" s="4" t="s">
        <v>153</v>
      </c>
      <c r="F258" s="4" t="s">
        <v>154</v>
      </c>
      <c r="G258" s="4" t="s">
        <v>1029</v>
      </c>
      <c r="H258" s="4" t="s">
        <v>1030</v>
      </c>
      <c r="I258" s="5" t="s">
        <v>157</v>
      </c>
      <c r="J258" s="4"/>
      <c r="K258" s="5" t="s">
        <v>158</v>
      </c>
      <c r="L258" s="4"/>
      <c r="M258" s="5" t="s">
        <v>158</v>
      </c>
      <c r="N258" s="4"/>
      <c r="O258" s="5" t="s">
        <v>158</v>
      </c>
      <c r="P258" s="4" t="s">
        <v>160</v>
      </c>
      <c r="Q258" s="5" t="s">
        <v>157</v>
      </c>
      <c r="R258" s="5" t="n">
        <v>0</v>
      </c>
      <c r="S258" s="5" t="s">
        <v>158</v>
      </c>
      <c r="T258" s="4" t="s">
        <v>160</v>
      </c>
      <c r="U258" s="5" t="s">
        <v>157</v>
      </c>
      <c r="V258" s="5" t="n">
        <v>0</v>
      </c>
      <c r="W258" s="5" t="s">
        <v>158</v>
      </c>
      <c r="X258" s="5" t="n">
        <v>5</v>
      </c>
      <c r="Y258" s="4" t="s">
        <v>513</v>
      </c>
    </row>
    <row r="259" customFormat="false" ht="23.85" hidden="false" customHeight="false" outlineLevel="0" collapsed="false">
      <c r="A259" s="5" t="n">
        <v>42959</v>
      </c>
      <c r="B259" s="5" t="s">
        <v>80</v>
      </c>
      <c r="C259" s="5" t="s">
        <v>1031</v>
      </c>
      <c r="D259" s="4" t="s">
        <v>28</v>
      </c>
      <c r="E259" s="4" t="s">
        <v>153</v>
      </c>
      <c r="F259" s="4" t="s">
        <v>154</v>
      </c>
      <c r="G259" s="4" t="s">
        <v>341</v>
      </c>
      <c r="H259" s="4" t="s">
        <v>342</v>
      </c>
      <c r="I259" s="5" t="s">
        <v>157</v>
      </c>
      <c r="J259" s="4"/>
      <c r="K259" s="5" t="s">
        <v>158</v>
      </c>
      <c r="L259" s="4" t="s">
        <v>343</v>
      </c>
      <c r="M259" s="5" t="s">
        <v>157</v>
      </c>
      <c r="N259" s="4" t="s">
        <v>1032</v>
      </c>
      <c r="O259" s="5" t="s">
        <v>157</v>
      </c>
      <c r="P259" s="4" t="s">
        <v>160</v>
      </c>
      <c r="Q259" s="5" t="s">
        <v>157</v>
      </c>
      <c r="R259" s="5" t="n">
        <v>0</v>
      </c>
      <c r="S259" s="5" t="s">
        <v>158</v>
      </c>
      <c r="T259" s="4" t="s">
        <v>160</v>
      </c>
      <c r="U259" s="5" t="s">
        <v>157</v>
      </c>
      <c r="V259" s="5" t="n">
        <v>0</v>
      </c>
      <c r="W259" s="5" t="s">
        <v>158</v>
      </c>
      <c r="X259" s="5" t="n">
        <v>3</v>
      </c>
      <c r="Y259" s="4" t="s">
        <v>209</v>
      </c>
    </row>
    <row r="260" customFormat="false" ht="23.85" hidden="false" customHeight="false" outlineLevel="0" collapsed="false">
      <c r="A260" s="5" t="n">
        <v>42960</v>
      </c>
      <c r="B260" s="5" t="s">
        <v>80</v>
      </c>
      <c r="C260" s="5" t="s">
        <v>1033</v>
      </c>
      <c r="D260" s="4" t="s">
        <v>28</v>
      </c>
      <c r="E260" s="4" t="s">
        <v>153</v>
      </c>
      <c r="F260" s="4" t="s">
        <v>154</v>
      </c>
      <c r="G260" s="4" t="s">
        <v>1034</v>
      </c>
      <c r="H260" s="4" t="s">
        <v>1035</v>
      </c>
      <c r="I260" s="5" t="s">
        <v>157</v>
      </c>
      <c r="J260" s="4"/>
      <c r="K260" s="5" t="s">
        <v>158</v>
      </c>
      <c r="L260" s="4" t="s">
        <v>165</v>
      </c>
      <c r="M260" s="5" t="s">
        <v>157</v>
      </c>
      <c r="N260" s="4" t="s">
        <v>1036</v>
      </c>
      <c r="O260" s="5" t="s">
        <v>157</v>
      </c>
      <c r="P260" s="4" t="s">
        <v>160</v>
      </c>
      <c r="Q260" s="5" t="s">
        <v>157</v>
      </c>
      <c r="R260" s="5" t="n">
        <v>0</v>
      </c>
      <c r="S260" s="5" t="s">
        <v>158</v>
      </c>
      <c r="T260" s="4" t="s">
        <v>160</v>
      </c>
      <c r="U260" s="5" t="s">
        <v>157</v>
      </c>
      <c r="V260" s="5" t="n">
        <v>0</v>
      </c>
      <c r="W260" s="5" t="s">
        <v>158</v>
      </c>
      <c r="X260" s="5" t="n">
        <v>3</v>
      </c>
      <c r="Y260" s="4" t="s">
        <v>209</v>
      </c>
    </row>
    <row r="261" customFormat="false" ht="23.85" hidden="false" customHeight="false" outlineLevel="0" collapsed="false">
      <c r="A261" s="5" t="n">
        <v>42961</v>
      </c>
      <c r="B261" s="5" t="s">
        <v>80</v>
      </c>
      <c r="C261" s="5" t="s">
        <v>1037</v>
      </c>
      <c r="D261" s="4" t="s">
        <v>28</v>
      </c>
      <c r="E261" s="4" t="s">
        <v>153</v>
      </c>
      <c r="F261" s="4" t="s">
        <v>154</v>
      </c>
      <c r="G261" s="4" t="s">
        <v>1038</v>
      </c>
      <c r="H261" s="4" t="s">
        <v>1039</v>
      </c>
      <c r="I261" s="5" t="s">
        <v>157</v>
      </c>
      <c r="J261" s="4"/>
      <c r="K261" s="5" t="s">
        <v>158</v>
      </c>
      <c r="L261" s="4" t="s">
        <v>408</v>
      </c>
      <c r="M261" s="5" t="s">
        <v>157</v>
      </c>
      <c r="N261" s="4" t="s">
        <v>1040</v>
      </c>
      <c r="O261" s="5" t="s">
        <v>157</v>
      </c>
      <c r="P261" s="4" t="s">
        <v>160</v>
      </c>
      <c r="Q261" s="5" t="s">
        <v>157</v>
      </c>
      <c r="R261" s="5" t="n">
        <v>0</v>
      </c>
      <c r="S261" s="5" t="s">
        <v>158</v>
      </c>
      <c r="T261" s="4" t="s">
        <v>160</v>
      </c>
      <c r="U261" s="5" t="s">
        <v>157</v>
      </c>
      <c r="V261" s="5" t="n">
        <v>0</v>
      </c>
      <c r="W261" s="5" t="s">
        <v>158</v>
      </c>
      <c r="X261" s="5" t="n">
        <v>3</v>
      </c>
      <c r="Y261" s="4" t="s">
        <v>209</v>
      </c>
    </row>
    <row r="262" customFormat="false" ht="23.85" hidden="false" customHeight="false" outlineLevel="0" collapsed="false">
      <c r="A262" s="5" t="n">
        <v>42962</v>
      </c>
      <c r="B262" s="5" t="s">
        <v>80</v>
      </c>
      <c r="C262" s="5" t="s">
        <v>1041</v>
      </c>
      <c r="D262" s="4" t="s">
        <v>30</v>
      </c>
      <c r="E262" s="4" t="s">
        <v>153</v>
      </c>
      <c r="F262" s="4" t="s">
        <v>154</v>
      </c>
      <c r="G262" s="4" t="s">
        <v>1042</v>
      </c>
      <c r="H262" s="4" t="s">
        <v>1043</v>
      </c>
      <c r="I262" s="5" t="s">
        <v>157</v>
      </c>
      <c r="J262" s="4"/>
      <c r="K262" s="5" t="s">
        <v>158</v>
      </c>
      <c r="L262" s="4"/>
      <c r="M262" s="5" t="s">
        <v>158</v>
      </c>
      <c r="N262" s="4"/>
      <c r="O262" s="5" t="s">
        <v>158</v>
      </c>
      <c r="P262" s="4"/>
      <c r="Q262" s="5" t="s">
        <v>158</v>
      </c>
      <c r="R262" s="5" t="n">
        <v>0</v>
      </c>
      <c r="S262" s="5" t="s">
        <v>158</v>
      </c>
      <c r="T262" s="4"/>
      <c r="U262" s="5" t="s">
        <v>158</v>
      </c>
      <c r="V262" s="5" t="n">
        <v>0</v>
      </c>
      <c r="W262" s="5" t="s">
        <v>158</v>
      </c>
      <c r="X262" s="5" t="n">
        <v>7</v>
      </c>
      <c r="Y262" s="4" t="s">
        <v>320</v>
      </c>
    </row>
    <row r="263" customFormat="false" ht="23.85" hidden="false" customHeight="false" outlineLevel="0" collapsed="false">
      <c r="A263" s="5" t="n">
        <v>42963</v>
      </c>
      <c r="B263" s="5" t="s">
        <v>80</v>
      </c>
      <c r="C263" s="5" t="s">
        <v>1044</v>
      </c>
      <c r="D263" s="4" t="s">
        <v>30</v>
      </c>
      <c r="E263" s="4" t="s">
        <v>153</v>
      </c>
      <c r="F263" s="4" t="s">
        <v>154</v>
      </c>
      <c r="G263" s="4" t="s">
        <v>1045</v>
      </c>
      <c r="H263" s="4" t="s">
        <v>1046</v>
      </c>
      <c r="I263" s="5" t="s">
        <v>157</v>
      </c>
      <c r="J263" s="4"/>
      <c r="K263" s="5" t="s">
        <v>158</v>
      </c>
      <c r="L263" s="4"/>
      <c r="M263" s="5" t="s">
        <v>158</v>
      </c>
      <c r="N263" s="4"/>
      <c r="O263" s="5" t="s">
        <v>158</v>
      </c>
      <c r="P263" s="4"/>
      <c r="Q263" s="5" t="s">
        <v>158</v>
      </c>
      <c r="R263" s="5" t="n">
        <v>0</v>
      </c>
      <c r="S263" s="5" t="s">
        <v>158</v>
      </c>
      <c r="T263" s="4"/>
      <c r="U263" s="5" t="s">
        <v>158</v>
      </c>
      <c r="V263" s="5" t="n">
        <v>0</v>
      </c>
      <c r="W263" s="5" t="s">
        <v>158</v>
      </c>
      <c r="X263" s="5" t="n">
        <v>7</v>
      </c>
      <c r="Y263" s="4" t="s">
        <v>320</v>
      </c>
    </row>
    <row r="264" customFormat="false" ht="23.85" hidden="false" customHeight="false" outlineLevel="0" collapsed="false">
      <c r="A264" s="5" t="n">
        <v>42973</v>
      </c>
      <c r="B264" s="5" t="s">
        <v>81</v>
      </c>
      <c r="C264" s="5" t="s">
        <v>1047</v>
      </c>
      <c r="D264" s="4" t="s">
        <v>32</v>
      </c>
      <c r="E264" s="4" t="s">
        <v>194</v>
      </c>
      <c r="F264" s="4" t="s">
        <v>195</v>
      </c>
      <c r="G264" s="4" t="s">
        <v>1048</v>
      </c>
      <c r="H264" s="4" t="s">
        <v>1049</v>
      </c>
      <c r="I264" s="5" t="s">
        <v>157</v>
      </c>
      <c r="J264" s="4"/>
      <c r="K264" s="5" t="s">
        <v>158</v>
      </c>
      <c r="L264" s="4"/>
      <c r="M264" s="5" t="s">
        <v>158</v>
      </c>
      <c r="N264" s="4" t="s">
        <v>1049</v>
      </c>
      <c r="O264" s="5" t="s">
        <v>157</v>
      </c>
      <c r="P264" s="4" t="s">
        <v>289</v>
      </c>
      <c r="Q264" s="5" t="s">
        <v>157</v>
      </c>
      <c r="R264" s="5" t="n">
        <v>0</v>
      </c>
      <c r="S264" s="5" t="s">
        <v>158</v>
      </c>
      <c r="T264" s="4" t="s">
        <v>289</v>
      </c>
      <c r="U264" s="5" t="s">
        <v>157</v>
      </c>
      <c r="V264" s="5" t="n">
        <v>0</v>
      </c>
      <c r="W264" s="5" t="s">
        <v>158</v>
      </c>
      <c r="X264" s="5" t="n">
        <v>4</v>
      </c>
      <c r="Y264" s="4" t="s">
        <v>480</v>
      </c>
    </row>
    <row r="265" customFormat="false" ht="23.85" hidden="false" customHeight="false" outlineLevel="0" collapsed="false">
      <c r="A265" s="5" t="n">
        <v>42985</v>
      </c>
      <c r="B265" s="5" t="s">
        <v>81</v>
      </c>
      <c r="C265" s="5" t="s">
        <v>1050</v>
      </c>
      <c r="D265" s="4" t="s">
        <v>32</v>
      </c>
      <c r="E265" s="4" t="s">
        <v>194</v>
      </c>
      <c r="F265" s="4" t="s">
        <v>244</v>
      </c>
      <c r="G265" s="4" t="s">
        <v>1051</v>
      </c>
      <c r="H265" s="4" t="s">
        <v>1052</v>
      </c>
      <c r="I265" s="5" t="s">
        <v>157</v>
      </c>
      <c r="J265" s="4"/>
      <c r="K265" s="5" t="s">
        <v>158</v>
      </c>
      <c r="L265" s="4" t="s">
        <v>213</v>
      </c>
      <c r="M265" s="5" t="s">
        <v>157</v>
      </c>
      <c r="N265" s="4" t="s">
        <v>1053</v>
      </c>
      <c r="O265" s="5" t="s">
        <v>157</v>
      </c>
      <c r="P265" s="4" t="s">
        <v>1054</v>
      </c>
      <c r="Q265" s="5" t="s">
        <v>157</v>
      </c>
      <c r="R265" s="5" t="n">
        <v>0</v>
      </c>
      <c r="S265" s="5" t="s">
        <v>158</v>
      </c>
      <c r="T265" s="4" t="s">
        <v>1055</v>
      </c>
      <c r="U265" s="5" t="s">
        <v>157</v>
      </c>
      <c r="V265" s="5" t="n">
        <v>0</v>
      </c>
      <c r="W265" s="5" t="s">
        <v>158</v>
      </c>
      <c r="X265" s="5" t="n">
        <v>3</v>
      </c>
      <c r="Y265" s="4" t="s">
        <v>209</v>
      </c>
    </row>
    <row r="266" customFormat="false" ht="23.85" hidden="false" customHeight="false" outlineLevel="0" collapsed="false">
      <c r="A266" s="5" t="n">
        <v>42986</v>
      </c>
      <c r="B266" s="5" t="s">
        <v>81</v>
      </c>
      <c r="C266" s="5" t="s">
        <v>1056</v>
      </c>
      <c r="D266" s="4" t="s">
        <v>28</v>
      </c>
      <c r="E266" s="4" t="s">
        <v>153</v>
      </c>
      <c r="F266" s="4" t="s">
        <v>244</v>
      </c>
      <c r="G266" s="4" t="s">
        <v>218</v>
      </c>
      <c r="H266" s="4" t="s">
        <v>219</v>
      </c>
      <c r="I266" s="5" t="s">
        <v>157</v>
      </c>
      <c r="J266" s="4"/>
      <c r="K266" s="5" t="s">
        <v>158</v>
      </c>
      <c r="L266" s="4"/>
      <c r="M266" s="5" t="s">
        <v>158</v>
      </c>
      <c r="N266" s="4"/>
      <c r="O266" s="5" t="s">
        <v>158</v>
      </c>
      <c r="P266" s="4" t="s">
        <v>160</v>
      </c>
      <c r="Q266" s="5" t="s">
        <v>157</v>
      </c>
      <c r="R266" s="5" t="n">
        <v>0</v>
      </c>
      <c r="S266" s="5" t="s">
        <v>158</v>
      </c>
      <c r="T266" s="4" t="s">
        <v>160</v>
      </c>
      <c r="U266" s="5" t="s">
        <v>157</v>
      </c>
      <c r="V266" s="5" t="n">
        <v>0</v>
      </c>
      <c r="W266" s="5" t="s">
        <v>158</v>
      </c>
      <c r="X266" s="5" t="n">
        <v>5</v>
      </c>
      <c r="Y266" s="4" t="s">
        <v>513</v>
      </c>
    </row>
    <row r="267" customFormat="false" ht="23.85" hidden="false" customHeight="false" outlineLevel="0" collapsed="false">
      <c r="A267" s="5" t="n">
        <v>42987</v>
      </c>
      <c r="B267" s="5" t="s">
        <v>81</v>
      </c>
      <c r="C267" s="5" t="s">
        <v>1057</v>
      </c>
      <c r="D267" s="4" t="s">
        <v>28</v>
      </c>
      <c r="E267" s="4" t="s">
        <v>153</v>
      </c>
      <c r="F267" s="4" t="s">
        <v>244</v>
      </c>
      <c r="G267" s="4" t="s">
        <v>1058</v>
      </c>
      <c r="H267" s="4" t="s">
        <v>1059</v>
      </c>
      <c r="I267" s="5" t="s">
        <v>157</v>
      </c>
      <c r="J267" s="4"/>
      <c r="K267" s="5" t="s">
        <v>158</v>
      </c>
      <c r="L267" s="4" t="s">
        <v>240</v>
      </c>
      <c r="M267" s="5" t="s">
        <v>157</v>
      </c>
      <c r="N267" s="4" t="s">
        <v>703</v>
      </c>
      <c r="O267" s="5" t="s">
        <v>157</v>
      </c>
      <c r="P267" s="4" t="s">
        <v>160</v>
      </c>
      <c r="Q267" s="5" t="s">
        <v>157</v>
      </c>
      <c r="R267" s="5" t="n">
        <v>0</v>
      </c>
      <c r="S267" s="5" t="s">
        <v>158</v>
      </c>
      <c r="T267" s="4" t="s">
        <v>160</v>
      </c>
      <c r="U267" s="5" t="s">
        <v>157</v>
      </c>
      <c r="V267" s="5" t="n">
        <v>0</v>
      </c>
      <c r="W267" s="5" t="s">
        <v>158</v>
      </c>
      <c r="X267" s="5" t="n">
        <v>3</v>
      </c>
      <c r="Y267" s="4" t="s">
        <v>209</v>
      </c>
    </row>
    <row r="268" customFormat="false" ht="23.85" hidden="false" customHeight="false" outlineLevel="0" collapsed="false">
      <c r="A268" s="5" t="n">
        <v>42988</v>
      </c>
      <c r="B268" s="5" t="s">
        <v>81</v>
      </c>
      <c r="C268" s="5" t="s">
        <v>1060</v>
      </c>
      <c r="D268" s="4" t="s">
        <v>28</v>
      </c>
      <c r="E268" s="4" t="s">
        <v>153</v>
      </c>
      <c r="F268" s="4" t="s">
        <v>244</v>
      </c>
      <c r="G268" s="4" t="s">
        <v>1061</v>
      </c>
      <c r="H268" s="4" t="s">
        <v>1062</v>
      </c>
      <c r="I268" s="5" t="s">
        <v>157</v>
      </c>
      <c r="J268" s="4"/>
      <c r="K268" s="5" t="s">
        <v>158</v>
      </c>
      <c r="L268" s="4"/>
      <c r="M268" s="5" t="s">
        <v>158</v>
      </c>
      <c r="N268" s="4"/>
      <c r="O268" s="5" t="s">
        <v>158</v>
      </c>
      <c r="P268" s="4" t="s">
        <v>160</v>
      </c>
      <c r="Q268" s="5" t="s">
        <v>157</v>
      </c>
      <c r="R268" s="5" t="n">
        <v>0</v>
      </c>
      <c r="S268" s="5" t="s">
        <v>158</v>
      </c>
      <c r="T268" s="4" t="s">
        <v>160</v>
      </c>
      <c r="U268" s="5" t="s">
        <v>157</v>
      </c>
      <c r="V268" s="5" t="n">
        <v>0</v>
      </c>
      <c r="W268" s="5" t="s">
        <v>158</v>
      </c>
      <c r="X268" s="5" t="n">
        <v>5</v>
      </c>
      <c r="Y268" s="4" t="s">
        <v>513</v>
      </c>
    </row>
    <row r="269" customFormat="false" ht="23.85" hidden="false" customHeight="false" outlineLevel="0" collapsed="false">
      <c r="A269" s="5" t="n">
        <v>42989</v>
      </c>
      <c r="B269" s="5" t="s">
        <v>81</v>
      </c>
      <c r="C269" s="5" t="s">
        <v>1063</v>
      </c>
      <c r="D269" s="4" t="s">
        <v>28</v>
      </c>
      <c r="E269" s="4" t="s">
        <v>153</v>
      </c>
      <c r="F269" s="4" t="s">
        <v>244</v>
      </c>
      <c r="G269" s="4" t="s">
        <v>1064</v>
      </c>
      <c r="H269" s="4" t="s">
        <v>1065</v>
      </c>
      <c r="I269" s="5" t="s">
        <v>157</v>
      </c>
      <c r="J269" s="4"/>
      <c r="K269" s="5" t="s">
        <v>158</v>
      </c>
      <c r="L269" s="4"/>
      <c r="M269" s="5" t="s">
        <v>158</v>
      </c>
      <c r="N269" s="4"/>
      <c r="O269" s="5" t="s">
        <v>158</v>
      </c>
      <c r="P269" s="4" t="s">
        <v>160</v>
      </c>
      <c r="Q269" s="5" t="s">
        <v>157</v>
      </c>
      <c r="R269" s="5" t="n">
        <v>0</v>
      </c>
      <c r="S269" s="5" t="s">
        <v>158</v>
      </c>
      <c r="T269" s="4" t="s">
        <v>160</v>
      </c>
      <c r="U269" s="5" t="s">
        <v>157</v>
      </c>
      <c r="V269" s="5" t="n">
        <v>0</v>
      </c>
      <c r="W269" s="5" t="s">
        <v>158</v>
      </c>
      <c r="X269" s="5" t="n">
        <v>5</v>
      </c>
      <c r="Y269" s="4" t="s">
        <v>513</v>
      </c>
    </row>
    <row r="270" customFormat="false" ht="23.85" hidden="false" customHeight="false" outlineLevel="0" collapsed="false">
      <c r="A270" s="5" t="n">
        <v>42990</v>
      </c>
      <c r="B270" s="5" t="s">
        <v>81</v>
      </c>
      <c r="C270" s="5" t="s">
        <v>1066</v>
      </c>
      <c r="D270" s="4" t="s">
        <v>28</v>
      </c>
      <c r="E270" s="4" t="s">
        <v>153</v>
      </c>
      <c r="F270" s="4" t="s">
        <v>244</v>
      </c>
      <c r="G270" s="4" t="s">
        <v>1067</v>
      </c>
      <c r="H270" s="4" t="s">
        <v>1068</v>
      </c>
      <c r="I270" s="5" t="s">
        <v>157</v>
      </c>
      <c r="J270" s="4"/>
      <c r="K270" s="5" t="s">
        <v>158</v>
      </c>
      <c r="L270" s="4"/>
      <c r="M270" s="5" t="s">
        <v>158</v>
      </c>
      <c r="N270" s="4"/>
      <c r="O270" s="5" t="s">
        <v>158</v>
      </c>
      <c r="P270" s="4" t="s">
        <v>160</v>
      </c>
      <c r="Q270" s="5" t="s">
        <v>157</v>
      </c>
      <c r="R270" s="5" t="n">
        <v>0</v>
      </c>
      <c r="S270" s="5" t="s">
        <v>158</v>
      </c>
      <c r="T270" s="4" t="s">
        <v>160</v>
      </c>
      <c r="U270" s="5" t="s">
        <v>157</v>
      </c>
      <c r="V270" s="5" t="n">
        <v>0</v>
      </c>
      <c r="W270" s="5" t="s">
        <v>158</v>
      </c>
      <c r="X270" s="5" t="n">
        <v>5</v>
      </c>
      <c r="Y270" s="4" t="s">
        <v>513</v>
      </c>
    </row>
    <row r="271" customFormat="false" ht="23.85" hidden="false" customHeight="false" outlineLevel="0" collapsed="false">
      <c r="A271" s="5" t="n">
        <v>42991</v>
      </c>
      <c r="B271" s="5" t="s">
        <v>81</v>
      </c>
      <c r="C271" s="5" t="s">
        <v>1069</v>
      </c>
      <c r="D271" s="4" t="s">
        <v>28</v>
      </c>
      <c r="E271" s="4" t="s">
        <v>153</v>
      </c>
      <c r="F271" s="4" t="s">
        <v>244</v>
      </c>
      <c r="G271" s="4" t="s">
        <v>1070</v>
      </c>
      <c r="H271" s="4" t="s">
        <v>1071</v>
      </c>
      <c r="I271" s="5" t="s">
        <v>157</v>
      </c>
      <c r="J271" s="4"/>
      <c r="K271" s="5" t="s">
        <v>158</v>
      </c>
      <c r="L271" s="4" t="s">
        <v>177</v>
      </c>
      <c r="M271" s="5" t="s">
        <v>157</v>
      </c>
      <c r="N271" s="4"/>
      <c r="O271" s="5" t="s">
        <v>158</v>
      </c>
      <c r="P271" s="4" t="s">
        <v>160</v>
      </c>
      <c r="Q271" s="5" t="s">
        <v>157</v>
      </c>
      <c r="R271" s="5" t="n">
        <v>0</v>
      </c>
      <c r="S271" s="5" t="s">
        <v>158</v>
      </c>
      <c r="T271" s="4" t="s">
        <v>160</v>
      </c>
      <c r="U271" s="5" t="s">
        <v>157</v>
      </c>
      <c r="V271" s="5" t="n">
        <v>0</v>
      </c>
      <c r="W271" s="5" t="s">
        <v>158</v>
      </c>
      <c r="X271" s="5" t="n">
        <v>4</v>
      </c>
      <c r="Y271" s="4" t="s">
        <v>519</v>
      </c>
    </row>
    <row r="272" customFormat="false" ht="23.85" hidden="false" customHeight="false" outlineLevel="0" collapsed="false">
      <c r="A272" s="5" t="n">
        <v>42992</v>
      </c>
      <c r="B272" s="5" t="s">
        <v>81</v>
      </c>
      <c r="C272" s="5" t="s">
        <v>1072</v>
      </c>
      <c r="D272" s="4" t="s">
        <v>22</v>
      </c>
      <c r="E272" s="4" t="s">
        <v>185</v>
      </c>
      <c r="F272" s="4" t="s">
        <v>154</v>
      </c>
      <c r="G272" s="4" t="s">
        <v>1073</v>
      </c>
      <c r="H272" s="4" t="s">
        <v>1074</v>
      </c>
      <c r="I272" s="5" t="s">
        <v>157</v>
      </c>
      <c r="J272" s="4"/>
      <c r="K272" s="5" t="s">
        <v>158</v>
      </c>
      <c r="L272" s="4" t="s">
        <v>1075</v>
      </c>
      <c r="M272" s="5" t="s">
        <v>157</v>
      </c>
      <c r="N272" s="4"/>
      <c r="O272" s="5" t="s">
        <v>158</v>
      </c>
      <c r="P272" s="4" t="s">
        <v>191</v>
      </c>
      <c r="Q272" s="5" t="s">
        <v>157</v>
      </c>
      <c r="R272" s="5" t="n">
        <v>0</v>
      </c>
      <c r="S272" s="5" t="s">
        <v>158</v>
      </c>
      <c r="T272" s="4" t="s">
        <v>910</v>
      </c>
      <c r="U272" s="5" t="s">
        <v>157</v>
      </c>
      <c r="V272" s="5" t="n">
        <v>0</v>
      </c>
      <c r="W272" s="5" t="s">
        <v>158</v>
      </c>
      <c r="X272" s="5" t="n">
        <v>4</v>
      </c>
      <c r="Y272" s="4" t="s">
        <v>519</v>
      </c>
    </row>
    <row r="273" customFormat="false" ht="23.85" hidden="false" customHeight="false" outlineLevel="0" collapsed="false">
      <c r="A273" s="5" t="n">
        <v>42993</v>
      </c>
      <c r="B273" s="5" t="s">
        <v>82</v>
      </c>
      <c r="C273" s="5" t="s">
        <v>1076</v>
      </c>
      <c r="D273" s="4" t="s">
        <v>32</v>
      </c>
      <c r="E273" s="4" t="s">
        <v>194</v>
      </c>
      <c r="F273" s="4" t="s">
        <v>244</v>
      </c>
      <c r="G273" s="4" t="s">
        <v>1077</v>
      </c>
      <c r="H273" s="4" t="s">
        <v>1078</v>
      </c>
      <c r="I273" s="5" t="s">
        <v>157</v>
      </c>
      <c r="J273" s="4"/>
      <c r="K273" s="5" t="s">
        <v>158</v>
      </c>
      <c r="L273" s="4" t="s">
        <v>1079</v>
      </c>
      <c r="M273" s="5" t="s">
        <v>157</v>
      </c>
      <c r="N273" s="4" t="s">
        <v>1078</v>
      </c>
      <c r="O273" s="5" t="s">
        <v>157</v>
      </c>
      <c r="P273" s="4" t="s">
        <v>160</v>
      </c>
      <c r="Q273" s="5" t="s">
        <v>157</v>
      </c>
      <c r="R273" s="5" t="n">
        <v>0</v>
      </c>
      <c r="S273" s="5" t="s">
        <v>158</v>
      </c>
      <c r="T273" s="4" t="s">
        <v>160</v>
      </c>
      <c r="U273" s="5" t="s">
        <v>157</v>
      </c>
      <c r="V273" s="5" t="n">
        <v>0</v>
      </c>
      <c r="W273" s="5" t="s">
        <v>158</v>
      </c>
      <c r="X273" s="5" t="n">
        <v>3</v>
      </c>
      <c r="Y273" s="4" t="s">
        <v>209</v>
      </c>
    </row>
    <row r="274" customFormat="false" ht="23.85" hidden="false" customHeight="false" outlineLevel="0" collapsed="false">
      <c r="A274" s="5" t="n">
        <v>42996</v>
      </c>
      <c r="B274" s="5" t="s">
        <v>82</v>
      </c>
      <c r="C274" s="5" t="s">
        <v>1080</v>
      </c>
      <c r="D274" s="4" t="s">
        <v>32</v>
      </c>
      <c r="E274" s="4" t="s">
        <v>194</v>
      </c>
      <c r="F274" s="4" t="s">
        <v>244</v>
      </c>
      <c r="G274" s="4" t="s">
        <v>1081</v>
      </c>
      <c r="H274" s="4" t="s">
        <v>1082</v>
      </c>
      <c r="I274" s="5" t="s">
        <v>157</v>
      </c>
      <c r="J274" s="4"/>
      <c r="K274" s="5" t="s">
        <v>158</v>
      </c>
      <c r="L274" s="4" t="s">
        <v>1083</v>
      </c>
      <c r="M274" s="5" t="s">
        <v>157</v>
      </c>
      <c r="N274" s="4" t="s">
        <v>1084</v>
      </c>
      <c r="O274" s="5" t="s">
        <v>157</v>
      </c>
      <c r="P274" s="4" t="s">
        <v>160</v>
      </c>
      <c r="Q274" s="5" t="s">
        <v>157</v>
      </c>
      <c r="R274" s="5" t="n">
        <v>0</v>
      </c>
      <c r="S274" s="5" t="s">
        <v>158</v>
      </c>
      <c r="T274" s="4" t="s">
        <v>160</v>
      </c>
      <c r="U274" s="5" t="s">
        <v>157</v>
      </c>
      <c r="V274" s="5" t="n">
        <v>0</v>
      </c>
      <c r="W274" s="5" t="s">
        <v>158</v>
      </c>
      <c r="X274" s="5" t="n">
        <v>3</v>
      </c>
      <c r="Y274" s="4" t="s">
        <v>209</v>
      </c>
    </row>
    <row r="275" customFormat="false" ht="23.85" hidden="false" customHeight="false" outlineLevel="0" collapsed="false">
      <c r="A275" s="5" t="n">
        <v>42997</v>
      </c>
      <c r="B275" s="5" t="s">
        <v>82</v>
      </c>
      <c r="C275" s="5" t="s">
        <v>1085</v>
      </c>
      <c r="D275" s="4" t="s">
        <v>30</v>
      </c>
      <c r="E275" s="4" t="s">
        <v>153</v>
      </c>
      <c r="F275" s="4" t="s">
        <v>244</v>
      </c>
      <c r="G275" s="4" t="s">
        <v>1086</v>
      </c>
      <c r="H275" s="4" t="s">
        <v>1086</v>
      </c>
      <c r="I275" s="5" t="s">
        <v>157</v>
      </c>
      <c r="J275" s="4"/>
      <c r="K275" s="5" t="s">
        <v>158</v>
      </c>
      <c r="L275" s="4"/>
      <c r="M275" s="5" t="s">
        <v>158</v>
      </c>
      <c r="N275" s="4"/>
      <c r="O275" s="5" t="s">
        <v>158</v>
      </c>
      <c r="P275" s="4"/>
      <c r="Q275" s="5" t="s">
        <v>158</v>
      </c>
      <c r="R275" s="5" t="n">
        <v>0</v>
      </c>
      <c r="S275" s="5" t="s">
        <v>158</v>
      </c>
      <c r="T275" s="4"/>
      <c r="U275" s="5" t="s">
        <v>158</v>
      </c>
      <c r="V275" s="5" t="n">
        <v>0</v>
      </c>
      <c r="W275" s="5" t="s">
        <v>158</v>
      </c>
      <c r="X275" s="5" t="n">
        <v>7</v>
      </c>
      <c r="Y275" s="4" t="s">
        <v>320</v>
      </c>
    </row>
    <row r="276" customFormat="false" ht="23.85" hidden="false" customHeight="false" outlineLevel="0" collapsed="false">
      <c r="A276" s="5" t="n">
        <v>42999</v>
      </c>
      <c r="B276" s="5" t="s">
        <v>82</v>
      </c>
      <c r="C276" s="5" t="s">
        <v>1087</v>
      </c>
      <c r="D276" s="4" t="s">
        <v>32</v>
      </c>
      <c r="E276" s="4" t="s">
        <v>194</v>
      </c>
      <c r="F276" s="4" t="s">
        <v>244</v>
      </c>
      <c r="G276" s="4" t="s">
        <v>1088</v>
      </c>
      <c r="H276" s="4" t="s">
        <v>1089</v>
      </c>
      <c r="I276" s="5" t="s">
        <v>157</v>
      </c>
      <c r="J276" s="4"/>
      <c r="K276" s="5" t="s">
        <v>158</v>
      </c>
      <c r="L276" s="4" t="s">
        <v>1090</v>
      </c>
      <c r="M276" s="5" t="s">
        <v>157</v>
      </c>
      <c r="N276" s="4" t="s">
        <v>1091</v>
      </c>
      <c r="O276" s="5" t="s">
        <v>157</v>
      </c>
      <c r="P276" s="4" t="s">
        <v>160</v>
      </c>
      <c r="Q276" s="5" t="s">
        <v>157</v>
      </c>
      <c r="R276" s="5" t="n">
        <v>0</v>
      </c>
      <c r="S276" s="5" t="s">
        <v>158</v>
      </c>
      <c r="T276" s="4" t="s">
        <v>160</v>
      </c>
      <c r="U276" s="5" t="s">
        <v>157</v>
      </c>
      <c r="V276" s="5" t="n">
        <v>0</v>
      </c>
      <c r="W276" s="5" t="s">
        <v>158</v>
      </c>
      <c r="X276" s="5" t="n">
        <v>3</v>
      </c>
      <c r="Y276" s="4" t="s">
        <v>209</v>
      </c>
    </row>
    <row r="277" customFormat="false" ht="23.85" hidden="false" customHeight="false" outlineLevel="0" collapsed="false">
      <c r="A277" s="5" t="n">
        <v>43001</v>
      </c>
      <c r="B277" s="5" t="s">
        <v>82</v>
      </c>
      <c r="C277" s="5" t="s">
        <v>1092</v>
      </c>
      <c r="D277" s="4" t="s">
        <v>28</v>
      </c>
      <c r="E277" s="4" t="s">
        <v>153</v>
      </c>
      <c r="F277" s="4" t="s">
        <v>244</v>
      </c>
      <c r="G277" s="4" t="s">
        <v>616</v>
      </c>
      <c r="H277" s="4" t="s">
        <v>617</v>
      </c>
      <c r="I277" s="5" t="s">
        <v>157</v>
      </c>
      <c r="J277" s="4"/>
      <c r="K277" s="5" t="s">
        <v>158</v>
      </c>
      <c r="L277" s="4" t="s">
        <v>1093</v>
      </c>
      <c r="M277" s="5" t="s">
        <v>157</v>
      </c>
      <c r="N277" s="4"/>
      <c r="O277" s="5" t="s">
        <v>158</v>
      </c>
      <c r="P277" s="4" t="s">
        <v>160</v>
      </c>
      <c r="Q277" s="5" t="s">
        <v>157</v>
      </c>
      <c r="R277" s="5" t="n">
        <v>0</v>
      </c>
      <c r="S277" s="5" t="s">
        <v>158</v>
      </c>
      <c r="T277" s="4" t="s">
        <v>160</v>
      </c>
      <c r="U277" s="5" t="s">
        <v>157</v>
      </c>
      <c r="V277" s="5" t="n">
        <v>0</v>
      </c>
      <c r="W277" s="5" t="s">
        <v>158</v>
      </c>
      <c r="X277" s="5" t="n">
        <v>4</v>
      </c>
      <c r="Y277" s="4" t="s">
        <v>519</v>
      </c>
    </row>
    <row r="278" customFormat="false" ht="23.85" hidden="false" customHeight="false" outlineLevel="0" collapsed="false">
      <c r="A278" s="5" t="n">
        <v>43002</v>
      </c>
      <c r="B278" s="5" t="s">
        <v>82</v>
      </c>
      <c r="C278" s="5" t="s">
        <v>1094</v>
      </c>
      <c r="D278" s="4" t="s">
        <v>28</v>
      </c>
      <c r="E278" s="4" t="s">
        <v>153</v>
      </c>
      <c r="F278" s="4" t="s">
        <v>244</v>
      </c>
      <c r="G278" s="4" t="s">
        <v>163</v>
      </c>
      <c r="H278" s="4" t="s">
        <v>164</v>
      </c>
      <c r="I278" s="5" t="s">
        <v>157</v>
      </c>
      <c r="J278" s="4"/>
      <c r="K278" s="5" t="s">
        <v>158</v>
      </c>
      <c r="L278" s="4" t="s">
        <v>1095</v>
      </c>
      <c r="M278" s="5" t="s">
        <v>157</v>
      </c>
      <c r="N278" s="4"/>
      <c r="O278" s="5" t="s">
        <v>158</v>
      </c>
      <c r="P278" s="4" t="s">
        <v>160</v>
      </c>
      <c r="Q278" s="5" t="s">
        <v>157</v>
      </c>
      <c r="R278" s="5" t="n">
        <v>0</v>
      </c>
      <c r="S278" s="5" t="s">
        <v>158</v>
      </c>
      <c r="T278" s="4" t="s">
        <v>160</v>
      </c>
      <c r="U278" s="5" t="s">
        <v>157</v>
      </c>
      <c r="V278" s="5" t="n">
        <v>0</v>
      </c>
      <c r="W278" s="5" t="s">
        <v>158</v>
      </c>
      <c r="X278" s="5" t="n">
        <v>4</v>
      </c>
      <c r="Y278" s="4" t="s">
        <v>519</v>
      </c>
    </row>
    <row r="279" customFormat="false" ht="23.85" hidden="false" customHeight="false" outlineLevel="0" collapsed="false">
      <c r="A279" s="5" t="n">
        <v>43003</v>
      </c>
      <c r="B279" s="5" t="s">
        <v>82</v>
      </c>
      <c r="C279" s="5" t="s">
        <v>704</v>
      </c>
      <c r="D279" s="4" t="s">
        <v>28</v>
      </c>
      <c r="E279" s="4" t="s">
        <v>153</v>
      </c>
      <c r="F279" s="4" t="s">
        <v>244</v>
      </c>
      <c r="G279" s="4" t="s">
        <v>758</v>
      </c>
      <c r="H279" s="4" t="s">
        <v>759</v>
      </c>
      <c r="I279" s="5" t="s">
        <v>157</v>
      </c>
      <c r="J279" s="4"/>
      <c r="K279" s="5" t="s">
        <v>158</v>
      </c>
      <c r="L279" s="4"/>
      <c r="M279" s="5" t="s">
        <v>158</v>
      </c>
      <c r="N279" s="4"/>
      <c r="O279" s="5" t="s">
        <v>158</v>
      </c>
      <c r="P279" s="4"/>
      <c r="Q279" s="5" t="s">
        <v>158</v>
      </c>
      <c r="R279" s="5" t="n">
        <v>0</v>
      </c>
      <c r="S279" s="5" t="s">
        <v>158</v>
      </c>
      <c r="T279" s="4" t="s">
        <v>518</v>
      </c>
      <c r="U279" s="5" t="s">
        <v>157</v>
      </c>
      <c r="V279" s="5" t="n">
        <v>0</v>
      </c>
      <c r="W279" s="5" t="s">
        <v>158</v>
      </c>
      <c r="X279" s="5" t="n">
        <v>6</v>
      </c>
      <c r="Y279" s="4" t="s">
        <v>996</v>
      </c>
    </row>
    <row r="280" customFormat="false" ht="23.85" hidden="false" customHeight="false" outlineLevel="0" collapsed="false">
      <c r="A280" s="5" t="n">
        <v>43004</v>
      </c>
      <c r="B280" s="5" t="s">
        <v>82</v>
      </c>
      <c r="C280" s="5" t="s">
        <v>1096</v>
      </c>
      <c r="D280" s="4" t="s">
        <v>22</v>
      </c>
      <c r="E280" s="4" t="s">
        <v>185</v>
      </c>
      <c r="F280" s="4" t="s">
        <v>244</v>
      </c>
      <c r="G280" s="4" t="s">
        <v>1097</v>
      </c>
      <c r="H280" s="4" t="s">
        <v>1098</v>
      </c>
      <c r="I280" s="5" t="s">
        <v>157</v>
      </c>
      <c r="J280" s="4"/>
      <c r="K280" s="5" t="s">
        <v>158</v>
      </c>
      <c r="L280" s="4" t="s">
        <v>1099</v>
      </c>
      <c r="M280" s="5" t="s">
        <v>157</v>
      </c>
      <c r="N280" s="4"/>
      <c r="O280" s="5" t="s">
        <v>158</v>
      </c>
      <c r="P280" s="4" t="s">
        <v>247</v>
      </c>
      <c r="Q280" s="5" t="s">
        <v>157</v>
      </c>
      <c r="R280" s="5" t="n">
        <v>0</v>
      </c>
      <c r="S280" s="5" t="s">
        <v>158</v>
      </c>
      <c r="T280" s="4"/>
      <c r="U280" s="5" t="s">
        <v>158</v>
      </c>
      <c r="V280" s="5" t="n">
        <v>0</v>
      </c>
      <c r="W280" s="5" t="s">
        <v>158</v>
      </c>
      <c r="X280" s="5" t="n">
        <v>5</v>
      </c>
      <c r="Y280" s="4" t="s">
        <v>248</v>
      </c>
    </row>
    <row r="281" customFormat="false" ht="23.85" hidden="false" customHeight="false" outlineLevel="0" collapsed="false">
      <c r="A281" s="5" t="n">
        <v>43005</v>
      </c>
      <c r="B281" s="5" t="s">
        <v>82</v>
      </c>
      <c r="C281" s="5" t="s">
        <v>1056</v>
      </c>
      <c r="D281" s="4" t="s">
        <v>22</v>
      </c>
      <c r="E281" s="4" t="s">
        <v>185</v>
      </c>
      <c r="F281" s="4" t="s">
        <v>154</v>
      </c>
      <c r="G281" s="4" t="s">
        <v>1100</v>
      </c>
      <c r="H281" s="4" t="s">
        <v>1101</v>
      </c>
      <c r="I281" s="5" t="s">
        <v>157</v>
      </c>
      <c r="J281" s="4"/>
      <c r="K281" s="5" t="s">
        <v>158</v>
      </c>
      <c r="L281" s="4"/>
      <c r="M281" s="5" t="s">
        <v>158</v>
      </c>
      <c r="N281" s="4"/>
      <c r="O281" s="5" t="s">
        <v>158</v>
      </c>
      <c r="P281" s="4" t="s">
        <v>191</v>
      </c>
      <c r="Q281" s="5" t="s">
        <v>157</v>
      </c>
      <c r="R281" s="5" t="n">
        <v>0</v>
      </c>
      <c r="S281" s="5" t="s">
        <v>158</v>
      </c>
      <c r="T281" s="4" t="s">
        <v>518</v>
      </c>
      <c r="U281" s="5" t="s">
        <v>157</v>
      </c>
      <c r="V281" s="5" t="n">
        <v>20</v>
      </c>
      <c r="W281" s="5" t="s">
        <v>157</v>
      </c>
      <c r="X281" s="5" t="n">
        <v>4</v>
      </c>
      <c r="Y281" s="4" t="s">
        <v>1102</v>
      </c>
    </row>
    <row r="282" customFormat="false" ht="23.85" hidden="false" customHeight="false" outlineLevel="0" collapsed="false">
      <c r="A282" s="5" t="n">
        <v>43007</v>
      </c>
      <c r="B282" s="5" t="s">
        <v>84</v>
      </c>
      <c r="C282" s="5" t="s">
        <v>1103</v>
      </c>
      <c r="D282" s="4" t="s">
        <v>32</v>
      </c>
      <c r="E282" s="4" t="s">
        <v>194</v>
      </c>
      <c r="F282" s="4" t="s">
        <v>244</v>
      </c>
      <c r="G282" s="4" t="s">
        <v>1104</v>
      </c>
      <c r="H282" s="4" t="s">
        <v>1105</v>
      </c>
      <c r="I282" s="5" t="s">
        <v>157</v>
      </c>
      <c r="J282" s="4"/>
      <c r="K282" s="5" t="s">
        <v>158</v>
      </c>
      <c r="L282" s="4" t="s">
        <v>508</v>
      </c>
      <c r="M282" s="5" t="s">
        <v>157</v>
      </c>
      <c r="N282" s="4" t="s">
        <v>1106</v>
      </c>
      <c r="O282" s="5" t="s">
        <v>157</v>
      </c>
      <c r="P282" s="4" t="s">
        <v>677</v>
      </c>
      <c r="Q282" s="5" t="s">
        <v>157</v>
      </c>
      <c r="R282" s="5" t="n">
        <v>0</v>
      </c>
      <c r="S282" s="5" t="s">
        <v>158</v>
      </c>
      <c r="T282" s="4" t="s">
        <v>160</v>
      </c>
      <c r="U282" s="5" t="s">
        <v>157</v>
      </c>
      <c r="V282" s="5" t="n">
        <v>0</v>
      </c>
      <c r="W282" s="5" t="s">
        <v>158</v>
      </c>
      <c r="X282" s="5" t="n">
        <v>3</v>
      </c>
      <c r="Y282" s="4" t="s">
        <v>209</v>
      </c>
    </row>
  </sheetData>
  <autoFilter ref="A1:Y282"/>
  <conditionalFormatting sqref="I2:I282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282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282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282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282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282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282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282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282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3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136</v>
      </c>
      <c r="B1" s="3" t="s">
        <v>45</v>
      </c>
      <c r="C1" s="3" t="s">
        <v>137</v>
      </c>
      <c r="D1" s="3" t="s">
        <v>2</v>
      </c>
      <c r="E1" s="3" t="s">
        <v>1107</v>
      </c>
      <c r="F1" s="3" t="s">
        <v>1108</v>
      </c>
      <c r="G1" s="3" t="s">
        <v>1109</v>
      </c>
      <c r="H1" s="3" t="s">
        <v>1110</v>
      </c>
      <c r="I1" s="3" t="s">
        <v>1111</v>
      </c>
      <c r="J1" s="3" t="s">
        <v>135</v>
      </c>
    </row>
    <row r="2" customFormat="false" ht="23.85" hidden="false" customHeight="false" outlineLevel="0" collapsed="false">
      <c r="A2" s="5" t="n">
        <v>35173</v>
      </c>
      <c r="B2" s="5" t="s">
        <v>50</v>
      </c>
      <c r="C2" s="5" t="s">
        <v>1112</v>
      </c>
      <c r="D2" s="4" t="s">
        <v>30</v>
      </c>
      <c r="E2" s="4" t="s">
        <v>1113</v>
      </c>
      <c r="F2" s="4" t="s">
        <v>1114</v>
      </c>
      <c r="G2" s="5" t="n">
        <v>18</v>
      </c>
      <c r="H2" s="5" t="s">
        <v>1115</v>
      </c>
      <c r="I2" s="4" t="s">
        <v>1116</v>
      </c>
      <c r="J2" s="4" t="s">
        <v>132</v>
      </c>
    </row>
    <row r="3" customFormat="false" ht="15" hidden="false" customHeight="false" outlineLevel="0" collapsed="false">
      <c r="A3" s="5" t="n">
        <v>42063</v>
      </c>
      <c r="B3" s="5" t="s">
        <v>50</v>
      </c>
      <c r="C3" s="5" t="s">
        <v>1117</v>
      </c>
      <c r="D3" s="4" t="s">
        <v>30</v>
      </c>
      <c r="E3" s="4" t="s">
        <v>1113</v>
      </c>
      <c r="F3" s="4" t="s">
        <v>1114</v>
      </c>
      <c r="G3" s="5" t="n">
        <v>37</v>
      </c>
      <c r="H3" s="5" t="s">
        <v>1118</v>
      </c>
      <c r="I3" s="4" t="s">
        <v>1119</v>
      </c>
      <c r="J3" s="4" t="s">
        <v>131</v>
      </c>
    </row>
    <row r="4" customFormat="false" ht="15" hidden="false" customHeight="false" outlineLevel="0" collapsed="false">
      <c r="A4" s="5" t="n">
        <v>39518</v>
      </c>
      <c r="B4" s="5" t="s">
        <v>50</v>
      </c>
      <c r="C4" s="5" t="s">
        <v>1120</v>
      </c>
      <c r="D4" s="4" t="s">
        <v>24</v>
      </c>
      <c r="E4" s="4" t="s">
        <v>1113</v>
      </c>
      <c r="F4" s="4" t="s">
        <v>1114</v>
      </c>
      <c r="G4" s="5" t="n">
        <v>45</v>
      </c>
      <c r="H4" s="5" t="s">
        <v>1121</v>
      </c>
      <c r="I4" s="4" t="s">
        <v>1122</v>
      </c>
      <c r="J4" s="4" t="s">
        <v>130</v>
      </c>
    </row>
    <row r="5" customFormat="false" ht="15" hidden="false" customHeight="false" outlineLevel="0" collapsed="false">
      <c r="A5" s="5" t="n">
        <v>42314</v>
      </c>
      <c r="B5" s="5" t="s">
        <v>50</v>
      </c>
      <c r="C5" s="5" t="s">
        <v>500</v>
      </c>
      <c r="D5" s="4" t="s">
        <v>28</v>
      </c>
      <c r="E5" s="4" t="s">
        <v>1113</v>
      </c>
      <c r="F5" s="4" t="s">
        <v>1123</v>
      </c>
      <c r="G5" s="5" t="n">
        <v>99</v>
      </c>
      <c r="H5" s="5" t="s">
        <v>1121</v>
      </c>
      <c r="I5" s="4" t="s">
        <v>1124</v>
      </c>
      <c r="J5" s="4" t="s">
        <v>130</v>
      </c>
    </row>
    <row r="6" customFormat="false" ht="15" hidden="false" customHeight="false" outlineLevel="0" collapsed="false">
      <c r="A6" s="5" t="n">
        <v>42315</v>
      </c>
      <c r="B6" s="5" t="s">
        <v>50</v>
      </c>
      <c r="C6" s="5" t="s">
        <v>468</v>
      </c>
      <c r="D6" s="4" t="s">
        <v>28</v>
      </c>
      <c r="E6" s="4" t="s">
        <v>1113</v>
      </c>
      <c r="F6" s="4" t="s">
        <v>1123</v>
      </c>
      <c r="G6" s="5" t="n">
        <v>60</v>
      </c>
      <c r="H6" s="5" t="s">
        <v>1121</v>
      </c>
      <c r="I6" s="4" t="s">
        <v>1125</v>
      </c>
      <c r="J6" s="4" t="s">
        <v>130</v>
      </c>
    </row>
    <row r="7" customFormat="false" ht="15" hidden="false" customHeight="false" outlineLevel="0" collapsed="false">
      <c r="A7" s="5" t="n">
        <v>42316</v>
      </c>
      <c r="B7" s="5" t="s">
        <v>50</v>
      </c>
      <c r="C7" s="5" t="s">
        <v>170</v>
      </c>
      <c r="D7" s="4" t="s">
        <v>28</v>
      </c>
      <c r="E7" s="4" t="s">
        <v>1113</v>
      </c>
      <c r="F7" s="4" t="s">
        <v>1123</v>
      </c>
      <c r="G7" s="5" t="n">
        <v>72</v>
      </c>
      <c r="H7" s="5" t="s">
        <v>1121</v>
      </c>
      <c r="I7" s="4" t="s">
        <v>1126</v>
      </c>
      <c r="J7" s="4" t="s">
        <v>130</v>
      </c>
    </row>
    <row r="8" customFormat="false" ht="15" hidden="false" customHeight="false" outlineLevel="0" collapsed="false">
      <c r="A8" s="5" t="n">
        <v>42318</v>
      </c>
      <c r="B8" s="5" t="s">
        <v>50</v>
      </c>
      <c r="C8" s="5" t="s">
        <v>573</v>
      </c>
      <c r="D8" s="4" t="s">
        <v>28</v>
      </c>
      <c r="E8" s="4" t="s">
        <v>1113</v>
      </c>
      <c r="F8" s="4" t="s">
        <v>1123</v>
      </c>
      <c r="G8" s="5" t="n">
        <v>79</v>
      </c>
      <c r="H8" s="5" t="s">
        <v>1121</v>
      </c>
      <c r="I8" s="4" t="s">
        <v>1127</v>
      </c>
      <c r="J8" s="4" t="s">
        <v>130</v>
      </c>
    </row>
    <row r="9" customFormat="false" ht="23.85" hidden="false" customHeight="false" outlineLevel="0" collapsed="false">
      <c r="A9" s="5" t="n">
        <v>42319</v>
      </c>
      <c r="B9" s="5" t="s">
        <v>50</v>
      </c>
      <c r="C9" s="5" t="s">
        <v>179</v>
      </c>
      <c r="D9" s="4" t="s">
        <v>28</v>
      </c>
      <c r="E9" s="4" t="s">
        <v>1113</v>
      </c>
      <c r="F9" s="4" t="s">
        <v>1114</v>
      </c>
      <c r="G9" s="5" t="n">
        <v>16</v>
      </c>
      <c r="H9" s="5" t="s">
        <v>1115</v>
      </c>
      <c r="I9" s="4" t="s">
        <v>657</v>
      </c>
      <c r="J9" s="4" t="s">
        <v>132</v>
      </c>
    </row>
    <row r="10" customFormat="false" ht="15" hidden="false" customHeight="false" outlineLevel="0" collapsed="false">
      <c r="A10" s="5" t="n">
        <v>42321</v>
      </c>
      <c r="B10" s="5" t="s">
        <v>50</v>
      </c>
      <c r="C10" s="5" t="s">
        <v>892</v>
      </c>
      <c r="D10" s="4" t="s">
        <v>22</v>
      </c>
      <c r="E10" s="4" t="s">
        <v>1113</v>
      </c>
      <c r="F10" s="4" t="s">
        <v>1128</v>
      </c>
      <c r="G10" s="5" t="n">
        <v>39</v>
      </c>
      <c r="H10" s="5" t="s">
        <v>1118</v>
      </c>
      <c r="I10" s="4" t="s">
        <v>1129</v>
      </c>
      <c r="J10" s="4" t="s">
        <v>131</v>
      </c>
    </row>
    <row r="11" customFormat="false" ht="15" hidden="false" customHeight="false" outlineLevel="0" collapsed="false">
      <c r="A11" s="5" t="n">
        <v>42322</v>
      </c>
      <c r="B11" s="5" t="s">
        <v>50</v>
      </c>
      <c r="C11" s="5" t="s">
        <v>1130</v>
      </c>
      <c r="D11" s="4" t="s">
        <v>22</v>
      </c>
      <c r="E11" s="4" t="s">
        <v>1113</v>
      </c>
      <c r="F11" s="4" t="s">
        <v>1128</v>
      </c>
      <c r="G11" s="5" t="n">
        <v>40</v>
      </c>
      <c r="H11" s="5" t="s">
        <v>1121</v>
      </c>
      <c r="I11" s="4" t="s">
        <v>1131</v>
      </c>
      <c r="J11" s="4" t="s">
        <v>130</v>
      </c>
    </row>
    <row r="12" customFormat="false" ht="15" hidden="false" customHeight="false" outlineLevel="0" collapsed="false">
      <c r="A12" s="5" t="n">
        <v>41650</v>
      </c>
      <c r="B12" s="5" t="s">
        <v>50</v>
      </c>
      <c r="C12" s="5" t="s">
        <v>1132</v>
      </c>
      <c r="D12" s="4" t="s">
        <v>22</v>
      </c>
      <c r="E12" s="4" t="s">
        <v>1113</v>
      </c>
      <c r="F12" s="4" t="s">
        <v>1128</v>
      </c>
      <c r="G12" s="5" t="n">
        <v>30</v>
      </c>
      <c r="H12" s="5" t="s">
        <v>1118</v>
      </c>
      <c r="I12" s="4" t="s">
        <v>1133</v>
      </c>
      <c r="J12" s="4" t="s">
        <v>131</v>
      </c>
    </row>
    <row r="13" customFormat="false" ht="15" hidden="false" customHeight="false" outlineLevel="0" collapsed="false">
      <c r="A13" s="5" t="n">
        <v>41952</v>
      </c>
      <c r="B13" s="5" t="s">
        <v>52</v>
      </c>
      <c r="C13" s="5" t="s">
        <v>1134</v>
      </c>
      <c r="D13" s="4" t="s">
        <v>30</v>
      </c>
      <c r="E13" s="4" t="s">
        <v>1113</v>
      </c>
      <c r="F13" s="4" t="s">
        <v>1123</v>
      </c>
      <c r="G13" s="5" t="n">
        <v>68</v>
      </c>
      <c r="H13" s="5" t="s">
        <v>1121</v>
      </c>
      <c r="I13" s="4" t="s">
        <v>1135</v>
      </c>
      <c r="J13" s="4" t="s">
        <v>130</v>
      </c>
    </row>
    <row r="14" customFormat="false" ht="15" hidden="false" customHeight="false" outlineLevel="0" collapsed="false">
      <c r="A14" s="5" t="n">
        <v>41968</v>
      </c>
      <c r="B14" s="5" t="s">
        <v>52</v>
      </c>
      <c r="C14" s="5" t="s">
        <v>1136</v>
      </c>
      <c r="D14" s="4" t="s">
        <v>30</v>
      </c>
      <c r="E14" s="4" t="s">
        <v>1113</v>
      </c>
      <c r="F14" s="4" t="s">
        <v>1123</v>
      </c>
      <c r="G14" s="5" t="n">
        <v>104</v>
      </c>
      <c r="H14" s="5" t="s">
        <v>1121</v>
      </c>
      <c r="I14" s="4" t="s">
        <v>1137</v>
      </c>
      <c r="J14" s="4" t="s">
        <v>130</v>
      </c>
    </row>
    <row r="15" customFormat="false" ht="15" hidden="false" customHeight="false" outlineLevel="0" collapsed="false">
      <c r="A15" s="5" t="n">
        <v>42339</v>
      </c>
      <c r="B15" s="5" t="s">
        <v>52</v>
      </c>
      <c r="C15" s="5" t="s">
        <v>481</v>
      </c>
      <c r="D15" s="4" t="s">
        <v>30</v>
      </c>
      <c r="E15" s="4" t="s">
        <v>1113</v>
      </c>
      <c r="F15" s="4" t="s">
        <v>1123</v>
      </c>
      <c r="G15" s="5" t="n">
        <v>94</v>
      </c>
      <c r="H15" s="5" t="s">
        <v>1121</v>
      </c>
      <c r="I15" s="4" t="s">
        <v>1138</v>
      </c>
      <c r="J15" s="4" t="s">
        <v>130</v>
      </c>
    </row>
    <row r="16" customFormat="false" ht="15" hidden="false" customHeight="false" outlineLevel="0" collapsed="false">
      <c r="A16" s="5" t="n">
        <v>41307</v>
      </c>
      <c r="B16" s="5" t="s">
        <v>52</v>
      </c>
      <c r="C16" s="5" t="s">
        <v>1139</v>
      </c>
      <c r="D16" s="4" t="s">
        <v>30</v>
      </c>
      <c r="E16" s="4" t="s">
        <v>1113</v>
      </c>
      <c r="F16" s="4" t="s">
        <v>1140</v>
      </c>
      <c r="G16" s="5" t="n">
        <v>25</v>
      </c>
      <c r="H16" s="5" t="s">
        <v>1118</v>
      </c>
      <c r="I16" s="4" t="s">
        <v>1141</v>
      </c>
      <c r="J16" s="4" t="s">
        <v>131</v>
      </c>
    </row>
    <row r="17" customFormat="false" ht="23.85" hidden="false" customHeight="false" outlineLevel="0" collapsed="false">
      <c r="A17" s="5" t="n">
        <v>41307</v>
      </c>
      <c r="B17" s="5" t="s">
        <v>52</v>
      </c>
      <c r="C17" s="5" t="s">
        <v>1139</v>
      </c>
      <c r="D17" s="4" t="s">
        <v>30</v>
      </c>
      <c r="E17" s="4" t="s">
        <v>1113</v>
      </c>
      <c r="F17" s="4" t="s">
        <v>1128</v>
      </c>
      <c r="G17" s="5" t="n">
        <v>10</v>
      </c>
      <c r="H17" s="5" t="s">
        <v>1115</v>
      </c>
      <c r="I17" s="4" t="s">
        <v>1142</v>
      </c>
      <c r="J17" s="4" t="s">
        <v>132</v>
      </c>
    </row>
    <row r="18" customFormat="false" ht="15" hidden="false" customHeight="false" outlineLevel="0" collapsed="false">
      <c r="A18" s="5" t="n">
        <v>42329</v>
      </c>
      <c r="B18" s="5" t="s">
        <v>52</v>
      </c>
      <c r="C18" s="5" t="s">
        <v>458</v>
      </c>
      <c r="D18" s="4" t="s">
        <v>26</v>
      </c>
      <c r="E18" s="4" t="s">
        <v>1113</v>
      </c>
      <c r="F18" s="4" t="s">
        <v>1123</v>
      </c>
      <c r="G18" s="5" t="n">
        <v>100</v>
      </c>
      <c r="H18" s="5" t="s">
        <v>1121</v>
      </c>
      <c r="I18" s="4" t="s">
        <v>1143</v>
      </c>
      <c r="J18" s="4" t="s">
        <v>130</v>
      </c>
    </row>
    <row r="19" customFormat="false" ht="15" hidden="false" customHeight="false" outlineLevel="0" collapsed="false">
      <c r="A19" s="5" t="n">
        <v>15264</v>
      </c>
      <c r="B19" s="5" t="s">
        <v>52</v>
      </c>
      <c r="C19" s="5" t="s">
        <v>1144</v>
      </c>
      <c r="D19" s="4" t="s">
        <v>30</v>
      </c>
      <c r="E19" s="4" t="s">
        <v>1113</v>
      </c>
      <c r="F19" s="4" t="s">
        <v>1140</v>
      </c>
      <c r="G19" s="5" t="n">
        <v>33</v>
      </c>
      <c r="H19" s="5" t="s">
        <v>1118</v>
      </c>
      <c r="I19" s="4" t="s">
        <v>1145</v>
      </c>
      <c r="J19" s="4" t="s">
        <v>131</v>
      </c>
    </row>
    <row r="20" customFormat="false" ht="23.85" hidden="false" customHeight="false" outlineLevel="0" collapsed="false">
      <c r="A20" s="5" t="n">
        <v>15264</v>
      </c>
      <c r="B20" s="5" t="s">
        <v>52</v>
      </c>
      <c r="C20" s="5" t="s">
        <v>1144</v>
      </c>
      <c r="D20" s="4" t="s">
        <v>30</v>
      </c>
      <c r="E20" s="4" t="s">
        <v>1113</v>
      </c>
      <c r="F20" s="4" t="s">
        <v>1128</v>
      </c>
      <c r="G20" s="5" t="n">
        <v>10</v>
      </c>
      <c r="H20" s="5" t="s">
        <v>1115</v>
      </c>
      <c r="I20" s="4" t="s">
        <v>1142</v>
      </c>
      <c r="J20" s="4" t="s">
        <v>132</v>
      </c>
    </row>
    <row r="21" customFormat="false" ht="15" hidden="false" customHeight="false" outlineLevel="0" collapsed="false">
      <c r="A21" s="5" t="n">
        <v>42345</v>
      </c>
      <c r="B21" s="5" t="s">
        <v>52</v>
      </c>
      <c r="C21" s="5" t="s">
        <v>1146</v>
      </c>
      <c r="D21" s="4" t="s">
        <v>32</v>
      </c>
      <c r="E21" s="4" t="s">
        <v>1113</v>
      </c>
      <c r="F21" s="4" t="s">
        <v>1140</v>
      </c>
      <c r="G21" s="5" t="n">
        <v>97</v>
      </c>
      <c r="H21" s="5" t="s">
        <v>1121</v>
      </c>
      <c r="I21" s="4" t="s">
        <v>1147</v>
      </c>
      <c r="J21" s="4" t="s">
        <v>130</v>
      </c>
    </row>
    <row r="22" customFormat="false" ht="15" hidden="false" customHeight="false" outlineLevel="0" collapsed="false">
      <c r="A22" s="5" t="n">
        <v>41267</v>
      </c>
      <c r="B22" s="5" t="s">
        <v>52</v>
      </c>
      <c r="C22" s="5" t="s">
        <v>1148</v>
      </c>
      <c r="D22" s="4" t="s">
        <v>20</v>
      </c>
      <c r="E22" s="4" t="s">
        <v>1113</v>
      </c>
      <c r="F22" s="4" t="s">
        <v>1140</v>
      </c>
      <c r="G22" s="5" t="n">
        <v>91</v>
      </c>
      <c r="H22" s="5" t="s">
        <v>1121</v>
      </c>
      <c r="I22" s="4" t="s">
        <v>1149</v>
      </c>
      <c r="J22" s="4" t="s">
        <v>130</v>
      </c>
    </row>
    <row r="23" customFormat="false" ht="15" hidden="false" customHeight="false" outlineLevel="0" collapsed="false">
      <c r="A23" s="5" t="n">
        <v>42359</v>
      </c>
      <c r="B23" s="5" t="s">
        <v>52</v>
      </c>
      <c r="C23" s="5" t="s">
        <v>179</v>
      </c>
      <c r="D23" s="4" t="s">
        <v>28</v>
      </c>
      <c r="E23" s="4" t="s">
        <v>1113</v>
      </c>
      <c r="F23" s="4" t="s">
        <v>1123</v>
      </c>
      <c r="G23" s="5" t="n">
        <v>59</v>
      </c>
      <c r="H23" s="5" t="s">
        <v>1121</v>
      </c>
      <c r="I23" s="4" t="s">
        <v>1150</v>
      </c>
      <c r="J23" s="4" t="s">
        <v>130</v>
      </c>
    </row>
    <row r="24" customFormat="false" ht="23.85" hidden="false" customHeight="false" outlineLevel="0" collapsed="false">
      <c r="A24" s="5" t="n">
        <v>42359</v>
      </c>
      <c r="B24" s="5" t="s">
        <v>52</v>
      </c>
      <c r="C24" s="5" t="s">
        <v>179</v>
      </c>
      <c r="D24" s="4" t="s">
        <v>28</v>
      </c>
      <c r="E24" s="4" t="s">
        <v>1113</v>
      </c>
      <c r="F24" s="4" t="s">
        <v>1128</v>
      </c>
      <c r="G24" s="5" t="n">
        <v>10</v>
      </c>
      <c r="H24" s="5" t="s">
        <v>1115</v>
      </c>
      <c r="I24" s="4" t="s">
        <v>1142</v>
      </c>
      <c r="J24" s="4" t="s">
        <v>132</v>
      </c>
    </row>
    <row r="25" customFormat="false" ht="15" hidden="false" customHeight="false" outlineLevel="0" collapsed="false">
      <c r="A25" s="5" t="n">
        <v>42360</v>
      </c>
      <c r="B25" s="5" t="s">
        <v>52</v>
      </c>
      <c r="C25" s="5" t="s">
        <v>222</v>
      </c>
      <c r="D25" s="4" t="s">
        <v>28</v>
      </c>
      <c r="E25" s="4" t="s">
        <v>1113</v>
      </c>
      <c r="F25" s="4" t="s">
        <v>1123</v>
      </c>
      <c r="G25" s="5" t="n">
        <v>53</v>
      </c>
      <c r="H25" s="5" t="s">
        <v>1121</v>
      </c>
      <c r="I25" s="4" t="s">
        <v>1151</v>
      </c>
      <c r="J25" s="4" t="s">
        <v>130</v>
      </c>
    </row>
    <row r="26" customFormat="false" ht="15" hidden="false" customHeight="false" outlineLevel="0" collapsed="false">
      <c r="A26" s="5" t="n">
        <v>42362</v>
      </c>
      <c r="B26" s="5" t="s">
        <v>52</v>
      </c>
      <c r="C26" s="5" t="s">
        <v>1050</v>
      </c>
      <c r="D26" s="4" t="s">
        <v>28</v>
      </c>
      <c r="E26" s="4" t="s">
        <v>1113</v>
      </c>
      <c r="F26" s="4" t="s">
        <v>1123</v>
      </c>
      <c r="G26" s="5" t="n">
        <v>68</v>
      </c>
      <c r="H26" s="5" t="s">
        <v>1121</v>
      </c>
      <c r="I26" s="4" t="s">
        <v>1152</v>
      </c>
      <c r="J26" s="4" t="s">
        <v>130</v>
      </c>
    </row>
    <row r="27" customFormat="false" ht="15" hidden="false" customHeight="false" outlineLevel="0" collapsed="false">
      <c r="A27" s="5" t="n">
        <v>42363</v>
      </c>
      <c r="B27" s="5" t="s">
        <v>52</v>
      </c>
      <c r="C27" s="5" t="s">
        <v>232</v>
      </c>
      <c r="D27" s="4" t="s">
        <v>28</v>
      </c>
      <c r="E27" s="4" t="s">
        <v>1113</v>
      </c>
      <c r="F27" s="4" t="s">
        <v>1123</v>
      </c>
      <c r="G27" s="5" t="n">
        <v>93</v>
      </c>
      <c r="H27" s="5" t="s">
        <v>1121</v>
      </c>
      <c r="I27" s="4" t="s">
        <v>1153</v>
      </c>
      <c r="J27" s="4" t="s">
        <v>130</v>
      </c>
    </row>
    <row r="28" customFormat="false" ht="15" hidden="false" customHeight="false" outlineLevel="0" collapsed="false">
      <c r="A28" s="5" t="n">
        <v>42364</v>
      </c>
      <c r="B28" s="5" t="s">
        <v>52</v>
      </c>
      <c r="C28" s="5" t="s">
        <v>237</v>
      </c>
      <c r="D28" s="4" t="s">
        <v>28</v>
      </c>
      <c r="E28" s="4" t="s">
        <v>1113</v>
      </c>
      <c r="F28" s="4" t="s">
        <v>1123</v>
      </c>
      <c r="G28" s="5" t="n">
        <v>58</v>
      </c>
      <c r="H28" s="5" t="s">
        <v>1121</v>
      </c>
      <c r="I28" s="4" t="s">
        <v>1154</v>
      </c>
      <c r="J28" s="4" t="s">
        <v>130</v>
      </c>
    </row>
    <row r="29" customFormat="false" ht="15" hidden="false" customHeight="false" outlineLevel="0" collapsed="false">
      <c r="A29" s="5" t="n">
        <v>42365</v>
      </c>
      <c r="B29" s="5" t="s">
        <v>52</v>
      </c>
      <c r="C29" s="5" t="s">
        <v>283</v>
      </c>
      <c r="D29" s="4" t="s">
        <v>28</v>
      </c>
      <c r="E29" s="4" t="s">
        <v>1113</v>
      </c>
      <c r="F29" s="4" t="s">
        <v>1123</v>
      </c>
      <c r="G29" s="5" t="n">
        <v>50</v>
      </c>
      <c r="H29" s="5" t="s">
        <v>1121</v>
      </c>
      <c r="I29" s="4" t="s">
        <v>1155</v>
      </c>
      <c r="J29" s="4" t="s">
        <v>130</v>
      </c>
    </row>
    <row r="30" customFormat="false" ht="15" hidden="false" customHeight="false" outlineLevel="0" collapsed="false">
      <c r="A30" s="5" t="n">
        <v>42366</v>
      </c>
      <c r="B30" s="5" t="s">
        <v>52</v>
      </c>
      <c r="C30" s="5" t="s">
        <v>241</v>
      </c>
      <c r="D30" s="4" t="s">
        <v>28</v>
      </c>
      <c r="E30" s="4" t="s">
        <v>1113</v>
      </c>
      <c r="F30" s="4" t="s">
        <v>1114</v>
      </c>
      <c r="G30" s="5" t="n">
        <v>42</v>
      </c>
      <c r="H30" s="5" t="s">
        <v>1121</v>
      </c>
      <c r="I30" s="4" t="s">
        <v>1156</v>
      </c>
      <c r="J30" s="4" t="s">
        <v>130</v>
      </c>
    </row>
    <row r="31" customFormat="false" ht="15" hidden="false" customHeight="false" outlineLevel="0" collapsed="false">
      <c r="A31" s="5" t="n">
        <v>41388</v>
      </c>
      <c r="B31" s="5" t="s">
        <v>52</v>
      </c>
      <c r="C31" s="5" t="s">
        <v>890</v>
      </c>
      <c r="D31" s="4" t="s">
        <v>18</v>
      </c>
      <c r="E31" s="4" t="s">
        <v>1113</v>
      </c>
      <c r="F31" s="4" t="s">
        <v>1114</v>
      </c>
      <c r="G31" s="5" t="n">
        <v>48</v>
      </c>
      <c r="H31" s="5" t="s">
        <v>1121</v>
      </c>
      <c r="I31" s="4" t="s">
        <v>1157</v>
      </c>
      <c r="J31" s="4" t="s">
        <v>130</v>
      </c>
    </row>
    <row r="32" customFormat="false" ht="15" hidden="false" customHeight="false" outlineLevel="0" collapsed="false">
      <c r="A32" s="5" t="n">
        <v>40815</v>
      </c>
      <c r="B32" s="5" t="s">
        <v>52</v>
      </c>
      <c r="C32" s="5" t="s">
        <v>892</v>
      </c>
      <c r="D32" s="4" t="s">
        <v>18</v>
      </c>
      <c r="E32" s="4" t="s">
        <v>1113</v>
      </c>
      <c r="F32" s="4" t="s">
        <v>1114</v>
      </c>
      <c r="G32" s="5" t="n">
        <v>39</v>
      </c>
      <c r="H32" s="5" t="s">
        <v>1118</v>
      </c>
      <c r="I32" s="4" t="s">
        <v>1158</v>
      </c>
      <c r="J32" s="4" t="s">
        <v>131</v>
      </c>
    </row>
    <row r="33" customFormat="false" ht="15" hidden="false" customHeight="false" outlineLevel="0" collapsed="false">
      <c r="A33" s="5" t="n">
        <v>40744</v>
      </c>
      <c r="B33" s="5" t="s">
        <v>52</v>
      </c>
      <c r="C33" s="5" t="s">
        <v>1159</v>
      </c>
      <c r="D33" s="4" t="s">
        <v>18</v>
      </c>
      <c r="E33" s="4" t="s">
        <v>1113</v>
      </c>
      <c r="F33" s="4" t="s">
        <v>1114</v>
      </c>
      <c r="G33" s="5" t="n">
        <v>100</v>
      </c>
      <c r="H33" s="5" t="s">
        <v>1121</v>
      </c>
      <c r="I33" s="4" t="s">
        <v>1160</v>
      </c>
      <c r="J33" s="4" t="s">
        <v>130</v>
      </c>
    </row>
    <row r="34" customFormat="false" ht="15" hidden="false" customHeight="false" outlineLevel="0" collapsed="false">
      <c r="A34" s="5" t="n">
        <v>39678</v>
      </c>
      <c r="B34" s="5" t="s">
        <v>52</v>
      </c>
      <c r="C34" s="5" t="s">
        <v>1161</v>
      </c>
      <c r="D34" s="4" t="s">
        <v>18</v>
      </c>
      <c r="E34" s="4" t="s">
        <v>1113</v>
      </c>
      <c r="F34" s="4" t="s">
        <v>1114</v>
      </c>
      <c r="G34" s="5" t="n">
        <v>77</v>
      </c>
      <c r="H34" s="5" t="s">
        <v>1121</v>
      </c>
      <c r="I34" s="4" t="s">
        <v>1162</v>
      </c>
      <c r="J34" s="4" t="s">
        <v>130</v>
      </c>
    </row>
    <row r="35" customFormat="false" ht="15" hidden="false" customHeight="false" outlineLevel="0" collapsed="false">
      <c r="A35" s="5" t="n">
        <v>42367</v>
      </c>
      <c r="B35" s="5" t="s">
        <v>52</v>
      </c>
      <c r="C35" s="5" t="s">
        <v>1163</v>
      </c>
      <c r="D35" s="4" t="s">
        <v>22</v>
      </c>
      <c r="E35" s="4" t="s">
        <v>1113</v>
      </c>
      <c r="F35" s="4" t="s">
        <v>1128</v>
      </c>
      <c r="G35" s="5" t="n">
        <v>35</v>
      </c>
      <c r="H35" s="5" t="s">
        <v>1118</v>
      </c>
      <c r="I35" s="4" t="s">
        <v>1164</v>
      </c>
      <c r="J35" s="4" t="s">
        <v>131</v>
      </c>
    </row>
    <row r="36" customFormat="false" ht="15" hidden="false" customHeight="false" outlineLevel="0" collapsed="false">
      <c r="A36" s="5" t="n">
        <v>42368</v>
      </c>
      <c r="B36" s="5" t="s">
        <v>52</v>
      </c>
      <c r="C36" s="5" t="s">
        <v>1165</v>
      </c>
      <c r="D36" s="4" t="s">
        <v>22</v>
      </c>
      <c r="E36" s="4" t="s">
        <v>1113</v>
      </c>
      <c r="F36" s="4" t="s">
        <v>1128</v>
      </c>
      <c r="G36" s="5" t="n">
        <v>51</v>
      </c>
      <c r="H36" s="5" t="s">
        <v>1121</v>
      </c>
      <c r="I36" s="4" t="s">
        <v>1166</v>
      </c>
      <c r="J36" s="4" t="s">
        <v>130</v>
      </c>
    </row>
    <row r="37" customFormat="false" ht="15" hidden="false" customHeight="false" outlineLevel="0" collapsed="false">
      <c r="A37" s="5" t="n">
        <v>42369</v>
      </c>
      <c r="B37" s="5" t="s">
        <v>52</v>
      </c>
      <c r="C37" s="5" t="s">
        <v>1167</v>
      </c>
      <c r="D37" s="4" t="s">
        <v>22</v>
      </c>
      <c r="E37" s="4" t="s">
        <v>1113</v>
      </c>
      <c r="F37" s="4" t="s">
        <v>1128</v>
      </c>
      <c r="G37" s="5" t="n">
        <v>46</v>
      </c>
      <c r="H37" s="5" t="s">
        <v>1121</v>
      </c>
      <c r="I37" s="4" t="s">
        <v>1168</v>
      </c>
      <c r="J37" s="4" t="s">
        <v>130</v>
      </c>
    </row>
    <row r="38" customFormat="false" ht="15" hidden="false" customHeight="false" outlineLevel="0" collapsed="false">
      <c r="A38" s="5" t="n">
        <v>41355</v>
      </c>
      <c r="B38" s="5" t="s">
        <v>52</v>
      </c>
      <c r="C38" s="5" t="s">
        <v>1044</v>
      </c>
      <c r="D38" s="4" t="s">
        <v>22</v>
      </c>
      <c r="E38" s="4" t="s">
        <v>1113</v>
      </c>
      <c r="F38" s="4" t="s">
        <v>1128</v>
      </c>
      <c r="G38" s="5" t="n">
        <v>79</v>
      </c>
      <c r="H38" s="5" t="s">
        <v>1121</v>
      </c>
      <c r="I38" s="4" t="s">
        <v>1169</v>
      </c>
      <c r="J38" s="4" t="s">
        <v>130</v>
      </c>
    </row>
    <row r="39" customFormat="false" ht="15" hidden="false" customHeight="false" outlineLevel="0" collapsed="false">
      <c r="A39" s="5" t="n">
        <v>41700</v>
      </c>
      <c r="B39" s="5" t="s">
        <v>52</v>
      </c>
      <c r="C39" s="5" t="s">
        <v>1170</v>
      </c>
      <c r="D39" s="4" t="s">
        <v>24</v>
      </c>
      <c r="E39" s="4" t="s">
        <v>1113</v>
      </c>
      <c r="F39" s="4" t="s">
        <v>1128</v>
      </c>
      <c r="G39" s="5" t="n">
        <v>53</v>
      </c>
      <c r="H39" s="5" t="s">
        <v>1121</v>
      </c>
      <c r="I39" s="4" t="s">
        <v>1171</v>
      </c>
      <c r="J39" s="4" t="s">
        <v>130</v>
      </c>
    </row>
    <row r="40" customFormat="false" ht="15" hidden="false" customHeight="false" outlineLevel="0" collapsed="false">
      <c r="A40" s="5" t="n">
        <v>39864</v>
      </c>
      <c r="B40" s="5" t="s">
        <v>54</v>
      </c>
      <c r="C40" s="5" t="s">
        <v>1172</v>
      </c>
      <c r="D40" s="4" t="s">
        <v>24</v>
      </c>
      <c r="E40" s="4" t="s">
        <v>1113</v>
      </c>
      <c r="F40" s="4" t="s">
        <v>1114</v>
      </c>
      <c r="G40" s="5" t="n">
        <v>97</v>
      </c>
      <c r="H40" s="5" t="s">
        <v>1121</v>
      </c>
      <c r="I40" s="4" t="s">
        <v>1173</v>
      </c>
      <c r="J40" s="4" t="s">
        <v>130</v>
      </c>
    </row>
    <row r="41" customFormat="false" ht="15" hidden="false" customHeight="false" outlineLevel="0" collapsed="false">
      <c r="A41" s="5" t="n">
        <v>42374</v>
      </c>
      <c r="B41" s="5" t="s">
        <v>54</v>
      </c>
      <c r="C41" s="5" t="s">
        <v>1174</v>
      </c>
      <c r="D41" s="4" t="s">
        <v>24</v>
      </c>
      <c r="E41" s="4" t="s">
        <v>1113</v>
      </c>
      <c r="F41" s="4" t="s">
        <v>1114</v>
      </c>
      <c r="G41" s="5" t="n">
        <v>63</v>
      </c>
      <c r="H41" s="5" t="s">
        <v>1121</v>
      </c>
      <c r="I41" s="4" t="s">
        <v>1175</v>
      </c>
      <c r="J41" s="4" t="s">
        <v>130</v>
      </c>
    </row>
    <row r="42" customFormat="false" ht="15" hidden="false" customHeight="false" outlineLevel="0" collapsed="false">
      <c r="A42" s="5" t="n">
        <v>42375</v>
      </c>
      <c r="B42" s="5" t="s">
        <v>54</v>
      </c>
      <c r="C42" s="5" t="s">
        <v>1176</v>
      </c>
      <c r="D42" s="4" t="s">
        <v>24</v>
      </c>
      <c r="E42" s="4" t="s">
        <v>1113</v>
      </c>
      <c r="F42" s="4" t="s">
        <v>1114</v>
      </c>
      <c r="G42" s="5" t="n">
        <v>24</v>
      </c>
      <c r="H42" s="5" t="s">
        <v>1118</v>
      </c>
      <c r="I42" s="4" t="s">
        <v>1177</v>
      </c>
      <c r="J42" s="4" t="s">
        <v>131</v>
      </c>
    </row>
    <row r="43" customFormat="false" ht="15" hidden="false" customHeight="false" outlineLevel="0" collapsed="false">
      <c r="A43" s="5" t="n">
        <v>42376</v>
      </c>
      <c r="B43" s="5" t="s">
        <v>54</v>
      </c>
      <c r="C43" s="5" t="s">
        <v>1178</v>
      </c>
      <c r="D43" s="4" t="s">
        <v>24</v>
      </c>
      <c r="E43" s="4" t="s">
        <v>1113</v>
      </c>
      <c r="F43" s="4" t="s">
        <v>1114</v>
      </c>
      <c r="G43" s="5" t="n">
        <v>126</v>
      </c>
      <c r="H43" s="5" t="s">
        <v>1121</v>
      </c>
      <c r="I43" s="4" t="s">
        <v>1179</v>
      </c>
      <c r="J43" s="4" t="s">
        <v>130</v>
      </c>
    </row>
    <row r="44" customFormat="false" ht="15" hidden="false" customHeight="false" outlineLevel="0" collapsed="false">
      <c r="A44" s="5" t="n">
        <v>42380</v>
      </c>
      <c r="B44" s="5" t="s">
        <v>54</v>
      </c>
      <c r="C44" s="5" t="s">
        <v>269</v>
      </c>
      <c r="D44" s="4" t="s">
        <v>24</v>
      </c>
      <c r="E44" s="4" t="s">
        <v>1113</v>
      </c>
      <c r="F44" s="4" t="s">
        <v>1114</v>
      </c>
      <c r="G44" s="5" t="n">
        <v>61</v>
      </c>
      <c r="H44" s="5" t="s">
        <v>1121</v>
      </c>
      <c r="I44" s="4" t="s">
        <v>1180</v>
      </c>
      <c r="J44" s="4" t="s">
        <v>130</v>
      </c>
    </row>
    <row r="45" customFormat="false" ht="15" hidden="false" customHeight="false" outlineLevel="0" collapsed="false">
      <c r="A45" s="5" t="n">
        <v>41700</v>
      </c>
      <c r="B45" s="5" t="s">
        <v>54</v>
      </c>
      <c r="C45" s="5" t="s">
        <v>1181</v>
      </c>
      <c r="D45" s="4" t="s">
        <v>24</v>
      </c>
      <c r="E45" s="4" t="s">
        <v>1113</v>
      </c>
      <c r="F45" s="4" t="s">
        <v>1114</v>
      </c>
      <c r="G45" s="5" t="n">
        <v>48</v>
      </c>
      <c r="H45" s="5" t="s">
        <v>1121</v>
      </c>
      <c r="I45" s="4" t="s">
        <v>1182</v>
      </c>
      <c r="J45" s="4" t="s">
        <v>130</v>
      </c>
    </row>
    <row r="46" customFormat="false" ht="15" hidden="false" customHeight="false" outlineLevel="0" collapsed="false">
      <c r="A46" s="5" t="n">
        <v>42385</v>
      </c>
      <c r="B46" s="5" t="s">
        <v>54</v>
      </c>
      <c r="C46" s="5" t="s">
        <v>1183</v>
      </c>
      <c r="D46" s="4" t="s">
        <v>18</v>
      </c>
      <c r="E46" s="4" t="s">
        <v>1113</v>
      </c>
      <c r="F46" s="4" t="s">
        <v>1114</v>
      </c>
      <c r="G46" s="5" t="n">
        <v>48</v>
      </c>
      <c r="H46" s="5" t="s">
        <v>1121</v>
      </c>
      <c r="I46" s="4" t="s">
        <v>1184</v>
      </c>
      <c r="J46" s="4" t="s">
        <v>130</v>
      </c>
    </row>
    <row r="47" customFormat="false" ht="15" hidden="false" customHeight="false" outlineLevel="0" collapsed="false">
      <c r="A47" s="5" t="n">
        <v>42387</v>
      </c>
      <c r="B47" s="5" t="s">
        <v>54</v>
      </c>
      <c r="C47" s="5" t="s">
        <v>1185</v>
      </c>
      <c r="D47" s="4" t="s">
        <v>18</v>
      </c>
      <c r="E47" s="4" t="s">
        <v>1113</v>
      </c>
      <c r="F47" s="4" t="s">
        <v>1114</v>
      </c>
      <c r="G47" s="5" t="n">
        <v>47</v>
      </c>
      <c r="H47" s="5" t="s">
        <v>1121</v>
      </c>
      <c r="I47" s="4" t="s">
        <v>1186</v>
      </c>
      <c r="J47" s="4" t="s">
        <v>130</v>
      </c>
    </row>
    <row r="48" customFormat="false" ht="15" hidden="false" customHeight="false" outlineLevel="0" collapsed="false">
      <c r="A48" s="5" t="n">
        <v>41285</v>
      </c>
      <c r="B48" s="5" t="s">
        <v>54</v>
      </c>
      <c r="C48" s="5" t="s">
        <v>1187</v>
      </c>
      <c r="D48" s="4" t="s">
        <v>18</v>
      </c>
      <c r="E48" s="4" t="s">
        <v>1113</v>
      </c>
      <c r="F48" s="4" t="s">
        <v>1114</v>
      </c>
      <c r="G48" s="5" t="n">
        <v>63</v>
      </c>
      <c r="H48" s="5" t="s">
        <v>1121</v>
      </c>
      <c r="I48" s="4" t="s">
        <v>1188</v>
      </c>
      <c r="J48" s="4" t="s">
        <v>130</v>
      </c>
    </row>
    <row r="49" customFormat="false" ht="15" hidden="false" customHeight="false" outlineLevel="0" collapsed="false">
      <c r="A49" s="5" t="n">
        <v>41355</v>
      </c>
      <c r="B49" s="5" t="s">
        <v>54</v>
      </c>
      <c r="C49" s="5" t="s">
        <v>876</v>
      </c>
      <c r="D49" s="4" t="s">
        <v>22</v>
      </c>
      <c r="E49" s="4" t="s">
        <v>1113</v>
      </c>
      <c r="F49" s="4" t="s">
        <v>1128</v>
      </c>
      <c r="G49" s="5" t="n">
        <v>27</v>
      </c>
      <c r="H49" s="5" t="s">
        <v>1118</v>
      </c>
      <c r="I49" s="4" t="s">
        <v>1189</v>
      </c>
      <c r="J49" s="4" t="s">
        <v>131</v>
      </c>
    </row>
    <row r="50" customFormat="false" ht="15" hidden="false" customHeight="false" outlineLevel="0" collapsed="false">
      <c r="A50" s="5" t="n">
        <v>42392</v>
      </c>
      <c r="B50" s="5" t="s">
        <v>54</v>
      </c>
      <c r="C50" s="5" t="s">
        <v>815</v>
      </c>
      <c r="D50" s="4" t="s">
        <v>22</v>
      </c>
      <c r="E50" s="4" t="s">
        <v>1113</v>
      </c>
      <c r="F50" s="4" t="s">
        <v>1128</v>
      </c>
      <c r="G50" s="5" t="n">
        <v>39</v>
      </c>
      <c r="H50" s="5" t="s">
        <v>1118</v>
      </c>
      <c r="I50" s="4" t="s">
        <v>1190</v>
      </c>
      <c r="J50" s="4" t="s">
        <v>131</v>
      </c>
    </row>
    <row r="51" customFormat="false" ht="23.85" hidden="false" customHeight="false" outlineLevel="0" collapsed="false">
      <c r="A51" s="5" t="n">
        <v>35173</v>
      </c>
      <c r="B51" s="5" t="s">
        <v>54</v>
      </c>
      <c r="C51" s="5" t="s">
        <v>592</v>
      </c>
      <c r="D51" s="4" t="s">
        <v>30</v>
      </c>
      <c r="E51" s="4" t="s">
        <v>1113</v>
      </c>
      <c r="F51" s="4" t="s">
        <v>1114</v>
      </c>
      <c r="G51" s="5" t="n">
        <v>14</v>
      </c>
      <c r="H51" s="5" t="s">
        <v>1115</v>
      </c>
      <c r="I51" s="4" t="s">
        <v>1191</v>
      </c>
      <c r="J51" s="4" t="s">
        <v>132</v>
      </c>
    </row>
    <row r="52" customFormat="false" ht="23.85" hidden="false" customHeight="false" outlineLevel="0" collapsed="false">
      <c r="A52" s="5" t="n">
        <v>35890</v>
      </c>
      <c r="B52" s="5" t="s">
        <v>54</v>
      </c>
      <c r="C52" s="5" t="s">
        <v>1192</v>
      </c>
      <c r="D52" s="4" t="s">
        <v>26</v>
      </c>
      <c r="E52" s="4" t="s">
        <v>1113</v>
      </c>
      <c r="F52" s="4" t="s">
        <v>1128</v>
      </c>
      <c r="G52" s="5" t="n">
        <v>10</v>
      </c>
      <c r="H52" s="5" t="s">
        <v>1115</v>
      </c>
      <c r="I52" s="4" t="s">
        <v>1142</v>
      </c>
      <c r="J52" s="4" t="s">
        <v>132</v>
      </c>
    </row>
    <row r="53" customFormat="false" ht="15" hidden="false" customHeight="false" outlineLevel="0" collapsed="false">
      <c r="A53" s="5" t="n">
        <v>42397</v>
      </c>
      <c r="B53" s="5" t="s">
        <v>56</v>
      </c>
      <c r="C53" s="5" t="s">
        <v>295</v>
      </c>
      <c r="D53" s="4" t="s">
        <v>28</v>
      </c>
      <c r="E53" s="4" t="s">
        <v>1113</v>
      </c>
      <c r="F53" s="4" t="s">
        <v>1123</v>
      </c>
      <c r="G53" s="5" t="n">
        <v>84</v>
      </c>
      <c r="H53" s="5" t="s">
        <v>1121</v>
      </c>
      <c r="I53" s="4" t="s">
        <v>1193</v>
      </c>
      <c r="J53" s="4" t="s">
        <v>130</v>
      </c>
    </row>
    <row r="54" customFormat="false" ht="15" hidden="false" customHeight="false" outlineLevel="0" collapsed="false">
      <c r="A54" s="5" t="n">
        <v>42398</v>
      </c>
      <c r="B54" s="5" t="s">
        <v>56</v>
      </c>
      <c r="C54" s="5" t="s">
        <v>1194</v>
      </c>
      <c r="D54" s="4" t="s">
        <v>28</v>
      </c>
      <c r="E54" s="4" t="s">
        <v>1113</v>
      </c>
      <c r="F54" s="4" t="s">
        <v>1123</v>
      </c>
      <c r="G54" s="5" t="n">
        <v>98</v>
      </c>
      <c r="H54" s="5" t="s">
        <v>1121</v>
      </c>
      <c r="I54" s="4" t="s">
        <v>1195</v>
      </c>
      <c r="J54" s="4" t="s">
        <v>130</v>
      </c>
    </row>
    <row r="55" customFormat="false" ht="15" hidden="false" customHeight="false" outlineLevel="0" collapsed="false">
      <c r="A55" s="5" t="n">
        <v>42399</v>
      </c>
      <c r="B55" s="5" t="s">
        <v>56</v>
      </c>
      <c r="C55" s="5" t="s">
        <v>1196</v>
      </c>
      <c r="D55" s="4" t="s">
        <v>28</v>
      </c>
      <c r="E55" s="4" t="s">
        <v>1113</v>
      </c>
      <c r="F55" s="4" t="s">
        <v>1123</v>
      </c>
      <c r="G55" s="5" t="n">
        <v>75</v>
      </c>
      <c r="H55" s="5" t="s">
        <v>1121</v>
      </c>
      <c r="I55" s="4" t="s">
        <v>1197</v>
      </c>
      <c r="J55" s="4" t="s">
        <v>130</v>
      </c>
    </row>
    <row r="56" customFormat="false" ht="15" hidden="false" customHeight="false" outlineLevel="0" collapsed="false">
      <c r="A56" s="5" t="n">
        <v>42400</v>
      </c>
      <c r="B56" s="5" t="s">
        <v>56</v>
      </c>
      <c r="C56" s="5" t="s">
        <v>307</v>
      </c>
      <c r="D56" s="4" t="s">
        <v>28</v>
      </c>
      <c r="E56" s="4" t="s">
        <v>1113</v>
      </c>
      <c r="F56" s="4" t="s">
        <v>1123</v>
      </c>
      <c r="G56" s="5" t="n">
        <v>58</v>
      </c>
      <c r="H56" s="5" t="s">
        <v>1121</v>
      </c>
      <c r="I56" s="4" t="s">
        <v>1198</v>
      </c>
      <c r="J56" s="4" t="s">
        <v>130</v>
      </c>
    </row>
    <row r="57" customFormat="false" ht="15" hidden="false" customHeight="false" outlineLevel="0" collapsed="false">
      <c r="A57" s="5" t="n">
        <v>42401</v>
      </c>
      <c r="B57" s="5" t="s">
        <v>56</v>
      </c>
      <c r="C57" s="5" t="s">
        <v>1199</v>
      </c>
      <c r="D57" s="4" t="s">
        <v>22</v>
      </c>
      <c r="E57" s="4" t="s">
        <v>1113</v>
      </c>
      <c r="F57" s="4" t="s">
        <v>1128</v>
      </c>
      <c r="G57" s="5" t="n">
        <v>79</v>
      </c>
      <c r="H57" s="5" t="s">
        <v>1121</v>
      </c>
      <c r="I57" s="4" t="s">
        <v>1200</v>
      </c>
      <c r="J57" s="4" t="s">
        <v>130</v>
      </c>
    </row>
    <row r="58" customFormat="false" ht="15" hidden="false" customHeight="false" outlineLevel="0" collapsed="false">
      <c r="A58" s="5" t="n">
        <v>42402</v>
      </c>
      <c r="B58" s="5" t="s">
        <v>56</v>
      </c>
      <c r="C58" s="5" t="s">
        <v>1199</v>
      </c>
      <c r="D58" s="4" t="s">
        <v>28</v>
      </c>
      <c r="E58" s="4" t="s">
        <v>1113</v>
      </c>
      <c r="F58" s="4" t="s">
        <v>1123</v>
      </c>
      <c r="G58" s="5" t="n">
        <v>85</v>
      </c>
      <c r="H58" s="5" t="s">
        <v>1121</v>
      </c>
      <c r="I58" s="4" t="s">
        <v>1201</v>
      </c>
      <c r="J58" s="4" t="s">
        <v>130</v>
      </c>
    </row>
    <row r="59" customFormat="false" ht="15" hidden="false" customHeight="false" outlineLevel="0" collapsed="false">
      <c r="A59" s="5" t="n">
        <v>42403</v>
      </c>
      <c r="B59" s="5" t="s">
        <v>56</v>
      </c>
      <c r="C59" s="5" t="s">
        <v>319</v>
      </c>
      <c r="D59" s="4" t="s">
        <v>28</v>
      </c>
      <c r="E59" s="4" t="s">
        <v>1113</v>
      </c>
      <c r="F59" s="4" t="s">
        <v>1123</v>
      </c>
      <c r="G59" s="5" t="n">
        <v>37</v>
      </c>
      <c r="H59" s="5" t="s">
        <v>1118</v>
      </c>
      <c r="I59" s="4" t="s">
        <v>1202</v>
      </c>
      <c r="J59" s="4" t="s">
        <v>131</v>
      </c>
    </row>
    <row r="60" customFormat="false" ht="23.85" hidden="false" customHeight="false" outlineLevel="0" collapsed="false">
      <c r="A60" s="5" t="n">
        <v>42404</v>
      </c>
      <c r="B60" s="5" t="s">
        <v>56</v>
      </c>
      <c r="C60" s="5" t="s">
        <v>1203</v>
      </c>
      <c r="D60" s="4" t="s">
        <v>28</v>
      </c>
      <c r="E60" s="4" t="s">
        <v>1113</v>
      </c>
      <c r="F60" s="4" t="s">
        <v>1114</v>
      </c>
      <c r="G60" s="5" t="n">
        <v>16</v>
      </c>
      <c r="H60" s="5" t="s">
        <v>1115</v>
      </c>
      <c r="I60" s="4" t="s">
        <v>504</v>
      </c>
      <c r="J60" s="4" t="s">
        <v>132</v>
      </c>
    </row>
    <row r="61" customFormat="false" ht="15" hidden="false" customHeight="false" outlineLevel="0" collapsed="false">
      <c r="A61" s="5" t="n">
        <v>36718</v>
      </c>
      <c r="B61" s="5" t="s">
        <v>56</v>
      </c>
      <c r="C61" s="5" t="s">
        <v>876</v>
      </c>
      <c r="D61" s="4" t="s">
        <v>30</v>
      </c>
      <c r="E61" s="4" t="s">
        <v>1113</v>
      </c>
      <c r="F61" s="4" t="s">
        <v>1114</v>
      </c>
      <c r="G61" s="5" t="n">
        <v>59</v>
      </c>
      <c r="H61" s="5" t="s">
        <v>1121</v>
      </c>
      <c r="I61" s="4" t="s">
        <v>1204</v>
      </c>
      <c r="J61" s="4" t="s">
        <v>130</v>
      </c>
    </row>
    <row r="62" customFormat="false" ht="15" hidden="false" customHeight="false" outlineLevel="0" collapsed="false">
      <c r="A62" s="5" t="n">
        <v>42063</v>
      </c>
      <c r="B62" s="5" t="s">
        <v>56</v>
      </c>
      <c r="C62" s="5" t="s">
        <v>1205</v>
      </c>
      <c r="D62" s="4" t="s">
        <v>30</v>
      </c>
      <c r="E62" s="4" t="s">
        <v>1113</v>
      </c>
      <c r="F62" s="4" t="s">
        <v>1123</v>
      </c>
      <c r="G62" s="5" t="n">
        <v>79</v>
      </c>
      <c r="H62" s="5" t="s">
        <v>1121</v>
      </c>
      <c r="I62" s="4" t="s">
        <v>1206</v>
      </c>
      <c r="J62" s="4" t="s">
        <v>130</v>
      </c>
    </row>
    <row r="63" customFormat="false" ht="15" hidden="false" customHeight="false" outlineLevel="0" collapsed="false">
      <c r="A63" s="5" t="n">
        <v>39281</v>
      </c>
      <c r="B63" s="5" t="s">
        <v>56</v>
      </c>
      <c r="C63" s="5" t="s">
        <v>1207</v>
      </c>
      <c r="D63" s="4" t="s">
        <v>30</v>
      </c>
      <c r="E63" s="4" t="s">
        <v>1113</v>
      </c>
      <c r="F63" s="4" t="s">
        <v>1123</v>
      </c>
      <c r="G63" s="5" t="n">
        <v>124</v>
      </c>
      <c r="H63" s="5" t="s">
        <v>1121</v>
      </c>
      <c r="I63" s="4" t="s">
        <v>1208</v>
      </c>
      <c r="J63" s="4" t="s">
        <v>130</v>
      </c>
    </row>
    <row r="64" customFormat="false" ht="15" hidden="false" customHeight="false" outlineLevel="0" collapsed="false">
      <c r="A64" s="5" t="n">
        <v>42445</v>
      </c>
      <c r="B64" s="5" t="s">
        <v>56</v>
      </c>
      <c r="C64" s="5" t="s">
        <v>1209</v>
      </c>
      <c r="D64" s="4" t="s">
        <v>30</v>
      </c>
      <c r="E64" s="4" t="s">
        <v>1113</v>
      </c>
      <c r="F64" s="4" t="s">
        <v>1128</v>
      </c>
      <c r="G64" s="5" t="n">
        <v>71</v>
      </c>
      <c r="H64" s="5" t="s">
        <v>1121</v>
      </c>
      <c r="I64" s="4" t="s">
        <v>1210</v>
      </c>
      <c r="J64" s="4" t="s">
        <v>130</v>
      </c>
    </row>
    <row r="65" customFormat="false" ht="15" hidden="false" customHeight="false" outlineLevel="0" collapsed="false">
      <c r="A65" s="5" t="n">
        <v>42446</v>
      </c>
      <c r="B65" s="5" t="s">
        <v>56</v>
      </c>
      <c r="C65" s="5" t="s">
        <v>1211</v>
      </c>
      <c r="D65" s="4" t="s">
        <v>30</v>
      </c>
      <c r="E65" s="4" t="s">
        <v>1113</v>
      </c>
      <c r="F65" s="4" t="s">
        <v>1123</v>
      </c>
      <c r="G65" s="5" t="n">
        <v>71</v>
      </c>
      <c r="H65" s="5" t="s">
        <v>1121</v>
      </c>
      <c r="I65" s="4" t="s">
        <v>1212</v>
      </c>
      <c r="J65" s="4" t="s">
        <v>130</v>
      </c>
    </row>
    <row r="66" customFormat="false" ht="15" hidden="false" customHeight="false" outlineLevel="0" collapsed="false">
      <c r="A66" s="5" t="n">
        <v>42447</v>
      </c>
      <c r="B66" s="5" t="s">
        <v>56</v>
      </c>
      <c r="C66" s="5" t="s">
        <v>1213</v>
      </c>
      <c r="D66" s="4" t="s">
        <v>30</v>
      </c>
      <c r="E66" s="4" t="s">
        <v>1113</v>
      </c>
      <c r="F66" s="4" t="s">
        <v>1123</v>
      </c>
      <c r="G66" s="5" t="n">
        <v>123</v>
      </c>
      <c r="H66" s="5" t="s">
        <v>1121</v>
      </c>
      <c r="I66" s="4" t="s">
        <v>1214</v>
      </c>
      <c r="J66" s="4" t="s">
        <v>130</v>
      </c>
    </row>
    <row r="67" customFormat="false" ht="15" hidden="false" customHeight="false" outlineLevel="0" collapsed="false">
      <c r="A67" s="5" t="n">
        <v>42448</v>
      </c>
      <c r="B67" s="5" t="s">
        <v>56</v>
      </c>
      <c r="C67" s="5" t="s">
        <v>1215</v>
      </c>
      <c r="D67" s="4" t="s">
        <v>30</v>
      </c>
      <c r="E67" s="4" t="s">
        <v>1113</v>
      </c>
      <c r="F67" s="4" t="s">
        <v>1123</v>
      </c>
      <c r="G67" s="5" t="n">
        <v>93</v>
      </c>
      <c r="H67" s="5" t="s">
        <v>1121</v>
      </c>
      <c r="I67" s="4" t="s">
        <v>1216</v>
      </c>
      <c r="J67" s="4" t="s">
        <v>130</v>
      </c>
    </row>
    <row r="68" customFormat="false" ht="15" hidden="false" customHeight="false" outlineLevel="0" collapsed="false">
      <c r="A68" s="5" t="n">
        <v>42449</v>
      </c>
      <c r="B68" s="5" t="s">
        <v>56</v>
      </c>
      <c r="C68" s="5" t="s">
        <v>1217</v>
      </c>
      <c r="D68" s="4" t="s">
        <v>30</v>
      </c>
      <c r="E68" s="4" t="s">
        <v>1113</v>
      </c>
      <c r="F68" s="4" t="s">
        <v>1140</v>
      </c>
      <c r="G68" s="5" t="n">
        <v>109</v>
      </c>
      <c r="H68" s="5" t="s">
        <v>1121</v>
      </c>
      <c r="I68" s="4" t="s">
        <v>1218</v>
      </c>
      <c r="J68" s="4" t="s">
        <v>130</v>
      </c>
    </row>
    <row r="69" customFormat="false" ht="23.85" hidden="false" customHeight="false" outlineLevel="0" collapsed="false">
      <c r="A69" s="5" t="n">
        <v>42449</v>
      </c>
      <c r="B69" s="5" t="s">
        <v>56</v>
      </c>
      <c r="C69" s="5" t="s">
        <v>1217</v>
      </c>
      <c r="D69" s="4" t="s">
        <v>30</v>
      </c>
      <c r="E69" s="4" t="s">
        <v>1113</v>
      </c>
      <c r="F69" s="4" t="s">
        <v>1128</v>
      </c>
      <c r="G69" s="5" t="n">
        <v>10</v>
      </c>
      <c r="H69" s="5" t="s">
        <v>1115</v>
      </c>
      <c r="I69" s="4" t="s">
        <v>1142</v>
      </c>
      <c r="J69" s="4" t="s">
        <v>132</v>
      </c>
    </row>
    <row r="70" customFormat="false" ht="15" hidden="false" customHeight="false" outlineLevel="0" collapsed="false">
      <c r="A70" s="5" t="n">
        <v>42450</v>
      </c>
      <c r="B70" s="5" t="s">
        <v>56</v>
      </c>
      <c r="C70" s="5" t="s">
        <v>344</v>
      </c>
      <c r="D70" s="4" t="s">
        <v>28</v>
      </c>
      <c r="E70" s="4" t="s">
        <v>1113</v>
      </c>
      <c r="F70" s="4" t="s">
        <v>1123</v>
      </c>
      <c r="G70" s="5" t="n">
        <v>31</v>
      </c>
      <c r="H70" s="5" t="s">
        <v>1118</v>
      </c>
      <c r="I70" s="4" t="s">
        <v>1219</v>
      </c>
      <c r="J70" s="4" t="s">
        <v>131</v>
      </c>
    </row>
    <row r="71" customFormat="false" ht="15" hidden="false" customHeight="false" outlineLevel="0" collapsed="false">
      <c r="A71" s="5" t="n">
        <v>42452</v>
      </c>
      <c r="B71" s="5" t="s">
        <v>56</v>
      </c>
      <c r="C71" s="5" t="s">
        <v>348</v>
      </c>
      <c r="D71" s="4" t="s">
        <v>28</v>
      </c>
      <c r="E71" s="4" t="s">
        <v>1113</v>
      </c>
      <c r="F71" s="4" t="s">
        <v>1114</v>
      </c>
      <c r="G71" s="5" t="n">
        <v>64</v>
      </c>
      <c r="H71" s="5" t="s">
        <v>1121</v>
      </c>
      <c r="I71" s="4" t="s">
        <v>1220</v>
      </c>
      <c r="J71" s="4" t="s">
        <v>130</v>
      </c>
    </row>
    <row r="72" customFormat="false" ht="15" hidden="false" customHeight="false" outlineLevel="0" collapsed="false">
      <c r="A72" s="5" t="n">
        <v>42453</v>
      </c>
      <c r="B72" s="5" t="s">
        <v>56</v>
      </c>
      <c r="C72" s="5" t="s">
        <v>500</v>
      </c>
      <c r="D72" s="4" t="s">
        <v>22</v>
      </c>
      <c r="E72" s="4" t="s">
        <v>1113</v>
      </c>
      <c r="F72" s="4" t="s">
        <v>1128</v>
      </c>
      <c r="G72" s="5" t="n">
        <v>54</v>
      </c>
      <c r="H72" s="5" t="s">
        <v>1121</v>
      </c>
      <c r="I72" s="4" t="s">
        <v>1221</v>
      </c>
      <c r="J72" s="4" t="s">
        <v>130</v>
      </c>
    </row>
    <row r="73" customFormat="false" ht="15" hidden="false" customHeight="false" outlineLevel="0" collapsed="false">
      <c r="A73" s="5" t="n">
        <v>42455</v>
      </c>
      <c r="B73" s="5" t="s">
        <v>56</v>
      </c>
      <c r="C73" s="5" t="s">
        <v>356</v>
      </c>
      <c r="D73" s="4" t="s">
        <v>22</v>
      </c>
      <c r="E73" s="4" t="s">
        <v>1113</v>
      </c>
      <c r="F73" s="4" t="s">
        <v>1128</v>
      </c>
      <c r="G73" s="5" t="n">
        <v>48</v>
      </c>
      <c r="H73" s="5" t="s">
        <v>1121</v>
      </c>
      <c r="I73" s="4" t="s">
        <v>1222</v>
      </c>
      <c r="J73" s="4" t="s">
        <v>130</v>
      </c>
    </row>
    <row r="74" customFormat="false" ht="15" hidden="false" customHeight="false" outlineLevel="0" collapsed="false">
      <c r="A74" s="5" t="n">
        <v>42454</v>
      </c>
      <c r="B74" s="5" t="s">
        <v>56</v>
      </c>
      <c r="C74" s="5" t="s">
        <v>166</v>
      </c>
      <c r="D74" s="4" t="s">
        <v>28</v>
      </c>
      <c r="E74" s="4" t="s">
        <v>1113</v>
      </c>
      <c r="F74" s="4" t="s">
        <v>1123</v>
      </c>
      <c r="G74" s="5" t="n">
        <v>143</v>
      </c>
      <c r="H74" s="5" t="s">
        <v>1121</v>
      </c>
      <c r="I74" s="4" t="s">
        <v>1223</v>
      </c>
      <c r="J74" s="4" t="s">
        <v>130</v>
      </c>
    </row>
    <row r="75" customFormat="false" ht="15" hidden="false" customHeight="false" outlineLevel="0" collapsed="false">
      <c r="A75" s="5" t="n">
        <v>42456</v>
      </c>
      <c r="B75" s="5" t="s">
        <v>56</v>
      </c>
      <c r="C75" s="5" t="s">
        <v>366</v>
      </c>
      <c r="D75" s="4" t="s">
        <v>28</v>
      </c>
      <c r="E75" s="4" t="s">
        <v>1113</v>
      </c>
      <c r="F75" s="4" t="s">
        <v>1123</v>
      </c>
      <c r="G75" s="5" t="n">
        <v>44</v>
      </c>
      <c r="H75" s="5" t="s">
        <v>1121</v>
      </c>
      <c r="I75" s="4" t="s">
        <v>1224</v>
      </c>
      <c r="J75" s="4" t="s">
        <v>130</v>
      </c>
    </row>
    <row r="76" customFormat="false" ht="15" hidden="false" customHeight="false" outlineLevel="0" collapsed="false">
      <c r="A76" s="5" t="n">
        <v>42458</v>
      </c>
      <c r="B76" s="5" t="s">
        <v>56</v>
      </c>
      <c r="C76" s="5" t="s">
        <v>1225</v>
      </c>
      <c r="D76" s="4" t="s">
        <v>28</v>
      </c>
      <c r="E76" s="4" t="s">
        <v>1113</v>
      </c>
      <c r="F76" s="4" t="s">
        <v>1114</v>
      </c>
      <c r="G76" s="5" t="n">
        <v>58</v>
      </c>
      <c r="H76" s="5" t="s">
        <v>1121</v>
      </c>
      <c r="I76" s="4" t="s">
        <v>1226</v>
      </c>
      <c r="J76" s="4" t="s">
        <v>130</v>
      </c>
    </row>
    <row r="77" customFormat="false" ht="15" hidden="false" customHeight="false" outlineLevel="0" collapsed="false">
      <c r="A77" s="5" t="n">
        <v>42459</v>
      </c>
      <c r="B77" s="5" t="s">
        <v>56</v>
      </c>
      <c r="C77" s="5" t="s">
        <v>222</v>
      </c>
      <c r="D77" s="4" t="s">
        <v>28</v>
      </c>
      <c r="E77" s="4" t="s">
        <v>1113</v>
      </c>
      <c r="F77" s="4" t="s">
        <v>1114</v>
      </c>
      <c r="G77" s="5" t="n">
        <v>68</v>
      </c>
      <c r="H77" s="5" t="s">
        <v>1121</v>
      </c>
      <c r="I77" s="4" t="s">
        <v>1227</v>
      </c>
      <c r="J77" s="4" t="s">
        <v>130</v>
      </c>
    </row>
    <row r="78" customFormat="false" ht="15" hidden="false" customHeight="false" outlineLevel="0" collapsed="false">
      <c r="A78" s="5" t="n">
        <v>41700</v>
      </c>
      <c r="B78" s="5" t="s">
        <v>56</v>
      </c>
      <c r="C78" s="5" t="s">
        <v>1228</v>
      </c>
      <c r="D78" s="4" t="s">
        <v>24</v>
      </c>
      <c r="E78" s="4" t="s">
        <v>1113</v>
      </c>
      <c r="F78" s="4" t="s">
        <v>1128</v>
      </c>
      <c r="G78" s="5" t="n">
        <v>61</v>
      </c>
      <c r="H78" s="5" t="s">
        <v>1121</v>
      </c>
      <c r="I78" s="4" t="s">
        <v>1229</v>
      </c>
      <c r="J78" s="4" t="s">
        <v>130</v>
      </c>
    </row>
    <row r="79" customFormat="false" ht="15" hidden="false" customHeight="false" outlineLevel="0" collapsed="false">
      <c r="A79" s="5" t="n">
        <v>42329</v>
      </c>
      <c r="B79" s="5" t="s">
        <v>58</v>
      </c>
      <c r="C79" s="5" t="s">
        <v>319</v>
      </c>
      <c r="D79" s="4" t="s">
        <v>26</v>
      </c>
      <c r="E79" s="4" t="s">
        <v>1113</v>
      </c>
      <c r="F79" s="4" t="s">
        <v>1128</v>
      </c>
      <c r="G79" s="5" t="n">
        <v>95</v>
      </c>
      <c r="H79" s="5" t="s">
        <v>1121</v>
      </c>
      <c r="I79" s="4" t="s">
        <v>1230</v>
      </c>
      <c r="J79" s="4" t="s">
        <v>130</v>
      </c>
    </row>
    <row r="80" customFormat="false" ht="15" hidden="false" customHeight="false" outlineLevel="0" collapsed="false">
      <c r="A80" s="5" t="n">
        <v>42329</v>
      </c>
      <c r="B80" s="5" t="s">
        <v>58</v>
      </c>
      <c r="C80" s="5" t="s">
        <v>1231</v>
      </c>
      <c r="D80" s="4" t="s">
        <v>26</v>
      </c>
      <c r="E80" s="4" t="s">
        <v>1232</v>
      </c>
      <c r="F80" s="4"/>
      <c r="G80" s="5" t="n">
        <v>0</v>
      </c>
      <c r="H80" s="5" t="s">
        <v>1115</v>
      </c>
      <c r="I80" s="4"/>
      <c r="J80" s="4" t="s">
        <v>133</v>
      </c>
    </row>
    <row r="81" customFormat="false" ht="15" hidden="false" customHeight="false" outlineLevel="0" collapsed="false">
      <c r="A81" s="5" t="n">
        <v>42475</v>
      </c>
      <c r="B81" s="5" t="s">
        <v>58</v>
      </c>
      <c r="C81" s="5" t="s">
        <v>1233</v>
      </c>
      <c r="D81" s="4" t="s">
        <v>24</v>
      </c>
      <c r="E81" s="4" t="s">
        <v>1113</v>
      </c>
      <c r="F81" s="4" t="s">
        <v>1123</v>
      </c>
      <c r="G81" s="5" t="n">
        <v>118</v>
      </c>
      <c r="H81" s="5" t="s">
        <v>1121</v>
      </c>
      <c r="I81" s="4" t="s">
        <v>1234</v>
      </c>
      <c r="J81" s="4" t="s">
        <v>130</v>
      </c>
    </row>
    <row r="82" customFormat="false" ht="15" hidden="false" customHeight="false" outlineLevel="0" collapsed="false">
      <c r="A82" s="5" t="n">
        <v>41493</v>
      </c>
      <c r="B82" s="5" t="s">
        <v>58</v>
      </c>
      <c r="C82" s="5" t="s">
        <v>1235</v>
      </c>
      <c r="D82" s="4" t="s">
        <v>26</v>
      </c>
      <c r="E82" s="4" t="s">
        <v>1113</v>
      </c>
      <c r="F82" s="4" t="s">
        <v>1140</v>
      </c>
      <c r="G82" s="5" t="n">
        <v>75</v>
      </c>
      <c r="H82" s="5" t="s">
        <v>1121</v>
      </c>
      <c r="I82" s="4" t="s">
        <v>1236</v>
      </c>
      <c r="J82" s="4" t="s">
        <v>130</v>
      </c>
    </row>
    <row r="83" customFormat="false" ht="15" hidden="false" customHeight="false" outlineLevel="0" collapsed="false">
      <c r="A83" s="5" t="n">
        <v>41936</v>
      </c>
      <c r="B83" s="5" t="s">
        <v>58</v>
      </c>
      <c r="C83" s="5" t="s">
        <v>1237</v>
      </c>
      <c r="D83" s="4" t="s">
        <v>26</v>
      </c>
      <c r="E83" s="4" t="s">
        <v>1113</v>
      </c>
      <c r="F83" s="4" t="s">
        <v>1140</v>
      </c>
      <c r="G83" s="5" t="n">
        <v>122</v>
      </c>
      <c r="H83" s="5" t="s">
        <v>1121</v>
      </c>
      <c r="I83" s="4" t="s">
        <v>1238</v>
      </c>
      <c r="J83" s="4" t="s">
        <v>130</v>
      </c>
    </row>
    <row r="84" customFormat="false" ht="15" hidden="false" customHeight="false" outlineLevel="0" collapsed="false">
      <c r="A84" s="5" t="n">
        <v>39412</v>
      </c>
      <c r="B84" s="5" t="s">
        <v>58</v>
      </c>
      <c r="C84" s="5" t="s">
        <v>1239</v>
      </c>
      <c r="D84" s="4" t="s">
        <v>24</v>
      </c>
      <c r="E84" s="4" t="s">
        <v>1113</v>
      </c>
      <c r="F84" s="4" t="s">
        <v>1114</v>
      </c>
      <c r="G84" s="5" t="n">
        <v>81</v>
      </c>
      <c r="H84" s="5" t="s">
        <v>1121</v>
      </c>
      <c r="I84" s="4" t="s">
        <v>1240</v>
      </c>
      <c r="J84" s="4" t="s">
        <v>130</v>
      </c>
    </row>
    <row r="85" customFormat="false" ht="15" hidden="false" customHeight="false" outlineLevel="0" collapsed="false">
      <c r="A85" s="5" t="n">
        <v>39518</v>
      </c>
      <c r="B85" s="5" t="s">
        <v>58</v>
      </c>
      <c r="C85" s="5" t="s">
        <v>1241</v>
      </c>
      <c r="D85" s="4" t="s">
        <v>24</v>
      </c>
      <c r="E85" s="4" t="s">
        <v>1113</v>
      </c>
      <c r="F85" s="4" t="s">
        <v>1114</v>
      </c>
      <c r="G85" s="5" t="n">
        <v>93</v>
      </c>
      <c r="H85" s="5" t="s">
        <v>1121</v>
      </c>
      <c r="I85" s="4" t="s">
        <v>1242</v>
      </c>
      <c r="J85" s="4" t="s">
        <v>130</v>
      </c>
    </row>
    <row r="86" customFormat="false" ht="15" hidden="false" customHeight="false" outlineLevel="0" collapsed="false">
      <c r="A86" s="5" t="n">
        <v>42535</v>
      </c>
      <c r="B86" s="5" t="s">
        <v>58</v>
      </c>
      <c r="C86" s="5" t="s">
        <v>1243</v>
      </c>
      <c r="D86" s="4" t="s">
        <v>30</v>
      </c>
      <c r="E86" s="4" t="s">
        <v>1113</v>
      </c>
      <c r="F86" s="4" t="s">
        <v>1123</v>
      </c>
      <c r="G86" s="5" t="n">
        <v>37</v>
      </c>
      <c r="H86" s="5" t="s">
        <v>1118</v>
      </c>
      <c r="I86" s="4" t="s">
        <v>1244</v>
      </c>
      <c r="J86" s="4" t="s">
        <v>131</v>
      </c>
    </row>
    <row r="87" customFormat="false" ht="15" hidden="false" customHeight="false" outlineLevel="0" collapsed="false">
      <c r="A87" s="5" t="n">
        <v>40530</v>
      </c>
      <c r="B87" s="5" t="s">
        <v>58</v>
      </c>
      <c r="C87" s="5" t="s">
        <v>402</v>
      </c>
      <c r="D87" s="4" t="s">
        <v>18</v>
      </c>
      <c r="E87" s="4" t="s">
        <v>1113</v>
      </c>
      <c r="F87" s="4" t="s">
        <v>1114</v>
      </c>
      <c r="G87" s="5" t="n">
        <v>106</v>
      </c>
      <c r="H87" s="5" t="s">
        <v>1121</v>
      </c>
      <c r="I87" s="4" t="s">
        <v>1245</v>
      </c>
      <c r="J87" s="4" t="s">
        <v>130</v>
      </c>
    </row>
    <row r="88" customFormat="false" ht="15" hidden="false" customHeight="false" outlineLevel="0" collapsed="false">
      <c r="A88" s="5" t="n">
        <v>42536</v>
      </c>
      <c r="B88" s="5" t="s">
        <v>58</v>
      </c>
      <c r="C88" s="5" t="s">
        <v>1120</v>
      </c>
      <c r="D88" s="4" t="s">
        <v>18</v>
      </c>
      <c r="E88" s="4" t="s">
        <v>1113</v>
      </c>
      <c r="F88" s="4" t="s">
        <v>1114</v>
      </c>
      <c r="G88" s="5" t="n">
        <v>58</v>
      </c>
      <c r="H88" s="5" t="s">
        <v>1121</v>
      </c>
      <c r="I88" s="4" t="s">
        <v>1246</v>
      </c>
      <c r="J88" s="4" t="s">
        <v>130</v>
      </c>
    </row>
    <row r="89" customFormat="false" ht="15" hidden="false" customHeight="false" outlineLevel="0" collapsed="false">
      <c r="A89" s="5" t="n">
        <v>39678</v>
      </c>
      <c r="B89" s="5" t="s">
        <v>58</v>
      </c>
      <c r="C89" s="5" t="s">
        <v>1247</v>
      </c>
      <c r="D89" s="4" t="s">
        <v>18</v>
      </c>
      <c r="E89" s="4" t="s">
        <v>1113</v>
      </c>
      <c r="F89" s="4" t="s">
        <v>1114</v>
      </c>
      <c r="G89" s="5" t="n">
        <v>132</v>
      </c>
      <c r="H89" s="5" t="s">
        <v>1121</v>
      </c>
      <c r="I89" s="4" t="s">
        <v>1248</v>
      </c>
      <c r="J89" s="4" t="s">
        <v>130</v>
      </c>
    </row>
    <row r="90" customFormat="false" ht="15" hidden="false" customHeight="false" outlineLevel="0" collapsed="false">
      <c r="A90" s="5" t="n">
        <v>41700</v>
      </c>
      <c r="B90" s="5" t="s">
        <v>58</v>
      </c>
      <c r="C90" s="5" t="s">
        <v>1249</v>
      </c>
      <c r="D90" s="4" t="s">
        <v>24</v>
      </c>
      <c r="E90" s="4" t="s">
        <v>1113</v>
      </c>
      <c r="F90" s="4" t="s">
        <v>1128</v>
      </c>
      <c r="G90" s="5" t="n">
        <v>79</v>
      </c>
      <c r="H90" s="5" t="s">
        <v>1121</v>
      </c>
      <c r="I90" s="4" t="s">
        <v>1250</v>
      </c>
      <c r="J90" s="4" t="s">
        <v>130</v>
      </c>
    </row>
    <row r="91" customFormat="false" ht="15" hidden="false" customHeight="false" outlineLevel="0" collapsed="false">
      <c r="A91" s="5" t="n">
        <v>42539</v>
      </c>
      <c r="B91" s="5" t="s">
        <v>58</v>
      </c>
      <c r="C91" s="5" t="s">
        <v>380</v>
      </c>
      <c r="D91" s="4" t="s">
        <v>28</v>
      </c>
      <c r="E91" s="4" t="s">
        <v>1113</v>
      </c>
      <c r="F91" s="4" t="s">
        <v>1123</v>
      </c>
      <c r="G91" s="5" t="n">
        <v>61</v>
      </c>
      <c r="H91" s="5" t="s">
        <v>1121</v>
      </c>
      <c r="I91" s="4" t="s">
        <v>1251</v>
      </c>
      <c r="J91" s="4" t="s">
        <v>130</v>
      </c>
    </row>
    <row r="92" customFormat="false" ht="15" hidden="false" customHeight="false" outlineLevel="0" collapsed="false">
      <c r="A92" s="5" t="n">
        <v>42540</v>
      </c>
      <c r="B92" s="5" t="s">
        <v>58</v>
      </c>
      <c r="C92" s="5" t="s">
        <v>1252</v>
      </c>
      <c r="D92" s="4" t="s">
        <v>28</v>
      </c>
      <c r="E92" s="4" t="s">
        <v>1113</v>
      </c>
      <c r="F92" s="4" t="s">
        <v>1123</v>
      </c>
      <c r="G92" s="5" t="n">
        <v>51</v>
      </c>
      <c r="H92" s="5" t="s">
        <v>1121</v>
      </c>
      <c r="I92" s="4" t="s">
        <v>1253</v>
      </c>
      <c r="J92" s="4" t="s">
        <v>130</v>
      </c>
    </row>
    <row r="93" customFormat="false" ht="15" hidden="false" customHeight="false" outlineLevel="0" collapsed="false">
      <c r="A93" s="5" t="n">
        <v>42541</v>
      </c>
      <c r="B93" s="5" t="s">
        <v>58</v>
      </c>
      <c r="C93" s="5" t="s">
        <v>386</v>
      </c>
      <c r="D93" s="4" t="s">
        <v>28</v>
      </c>
      <c r="E93" s="4" t="s">
        <v>1113</v>
      </c>
      <c r="F93" s="4" t="s">
        <v>1123</v>
      </c>
      <c r="G93" s="5" t="n">
        <v>51</v>
      </c>
      <c r="H93" s="5" t="s">
        <v>1121</v>
      </c>
      <c r="I93" s="4" t="s">
        <v>1254</v>
      </c>
      <c r="J93" s="4" t="s">
        <v>130</v>
      </c>
    </row>
    <row r="94" customFormat="false" ht="15" hidden="false" customHeight="false" outlineLevel="0" collapsed="false">
      <c r="A94" s="5" t="n">
        <v>42542</v>
      </c>
      <c r="B94" s="5" t="s">
        <v>58</v>
      </c>
      <c r="C94" s="5" t="s">
        <v>658</v>
      </c>
      <c r="D94" s="4" t="s">
        <v>28</v>
      </c>
      <c r="E94" s="4" t="s">
        <v>1113</v>
      </c>
      <c r="F94" s="4" t="s">
        <v>1123</v>
      </c>
      <c r="G94" s="5" t="n">
        <v>71</v>
      </c>
      <c r="H94" s="5" t="s">
        <v>1121</v>
      </c>
      <c r="I94" s="4" t="s">
        <v>1255</v>
      </c>
      <c r="J94" s="4" t="s">
        <v>130</v>
      </c>
    </row>
    <row r="95" customFormat="false" ht="15" hidden="false" customHeight="false" outlineLevel="0" collapsed="false">
      <c r="A95" s="5" t="n">
        <v>41307</v>
      </c>
      <c r="B95" s="5" t="s">
        <v>58</v>
      </c>
      <c r="C95" s="5" t="s">
        <v>1256</v>
      </c>
      <c r="D95" s="4" t="s">
        <v>30</v>
      </c>
      <c r="E95" s="4" t="s">
        <v>1113</v>
      </c>
      <c r="F95" s="4" t="s">
        <v>1114</v>
      </c>
      <c r="G95" s="5" t="n">
        <v>28</v>
      </c>
      <c r="H95" s="5" t="s">
        <v>1118</v>
      </c>
      <c r="I95" s="4" t="s">
        <v>1257</v>
      </c>
      <c r="J95" s="4" t="s">
        <v>131</v>
      </c>
    </row>
    <row r="96" customFormat="false" ht="15" hidden="false" customHeight="false" outlineLevel="0" collapsed="false">
      <c r="A96" s="5" t="n">
        <v>42547</v>
      </c>
      <c r="B96" s="5" t="s">
        <v>58</v>
      </c>
      <c r="C96" s="5" t="s">
        <v>1258</v>
      </c>
      <c r="D96" s="4" t="s">
        <v>28</v>
      </c>
      <c r="E96" s="4" t="s">
        <v>1113</v>
      </c>
      <c r="F96" s="4" t="s">
        <v>1114</v>
      </c>
      <c r="G96" s="5" t="n">
        <v>120</v>
      </c>
      <c r="H96" s="5" t="s">
        <v>1121</v>
      </c>
      <c r="I96" s="4" t="s">
        <v>1259</v>
      </c>
      <c r="J96" s="4" t="s">
        <v>130</v>
      </c>
    </row>
    <row r="97" customFormat="false" ht="15" hidden="false" customHeight="false" outlineLevel="0" collapsed="false">
      <c r="A97" s="5" t="n">
        <v>42548</v>
      </c>
      <c r="B97" s="5" t="s">
        <v>60</v>
      </c>
      <c r="C97" s="5" t="s">
        <v>1260</v>
      </c>
      <c r="D97" s="4" t="s">
        <v>22</v>
      </c>
      <c r="E97" s="4" t="s">
        <v>1113</v>
      </c>
      <c r="F97" s="4" t="s">
        <v>1128</v>
      </c>
      <c r="G97" s="5" t="n">
        <v>49</v>
      </c>
      <c r="H97" s="5" t="s">
        <v>1121</v>
      </c>
      <c r="I97" s="4" t="s">
        <v>1261</v>
      </c>
      <c r="J97" s="4" t="s">
        <v>130</v>
      </c>
    </row>
    <row r="98" customFormat="false" ht="15" hidden="false" customHeight="false" outlineLevel="0" collapsed="false">
      <c r="A98" s="5" t="n">
        <v>41223</v>
      </c>
      <c r="B98" s="5" t="s">
        <v>60</v>
      </c>
      <c r="C98" s="5" t="s">
        <v>1262</v>
      </c>
      <c r="D98" s="4" t="s">
        <v>24</v>
      </c>
      <c r="E98" s="4" t="s">
        <v>1113</v>
      </c>
      <c r="F98" s="4" t="s">
        <v>1114</v>
      </c>
      <c r="G98" s="5" t="n">
        <v>99</v>
      </c>
      <c r="H98" s="5" t="s">
        <v>1121</v>
      </c>
      <c r="I98" s="4" t="s">
        <v>1263</v>
      </c>
      <c r="J98" s="4" t="s">
        <v>130</v>
      </c>
    </row>
    <row r="99" customFormat="false" ht="15" hidden="false" customHeight="false" outlineLevel="0" collapsed="false">
      <c r="A99" s="5" t="n">
        <v>40742</v>
      </c>
      <c r="B99" s="5" t="s">
        <v>60</v>
      </c>
      <c r="C99" s="5" t="s">
        <v>1264</v>
      </c>
      <c r="D99" s="4" t="s">
        <v>24</v>
      </c>
      <c r="E99" s="4" t="s">
        <v>1113</v>
      </c>
      <c r="F99" s="4" t="s">
        <v>1114</v>
      </c>
      <c r="G99" s="5" t="n">
        <v>68</v>
      </c>
      <c r="H99" s="5" t="s">
        <v>1121</v>
      </c>
      <c r="I99" s="4" t="s">
        <v>1265</v>
      </c>
      <c r="J99" s="4" t="s">
        <v>130</v>
      </c>
    </row>
    <row r="100" customFormat="false" ht="15" hidden="false" customHeight="false" outlineLevel="0" collapsed="false">
      <c r="A100" s="5" t="n">
        <v>40688</v>
      </c>
      <c r="B100" s="5" t="s">
        <v>60</v>
      </c>
      <c r="C100" s="5" t="s">
        <v>452</v>
      </c>
      <c r="D100" s="4" t="s">
        <v>24</v>
      </c>
      <c r="E100" s="4" t="s">
        <v>1113</v>
      </c>
      <c r="F100" s="4" t="s">
        <v>1114</v>
      </c>
      <c r="G100" s="5" t="n">
        <v>87</v>
      </c>
      <c r="H100" s="5" t="s">
        <v>1121</v>
      </c>
      <c r="I100" s="4" t="s">
        <v>1266</v>
      </c>
      <c r="J100" s="4" t="s">
        <v>130</v>
      </c>
    </row>
    <row r="101" customFormat="false" ht="15" hidden="false" customHeight="false" outlineLevel="0" collapsed="false">
      <c r="A101" s="5" t="n">
        <v>41695</v>
      </c>
      <c r="B101" s="5" t="s">
        <v>60</v>
      </c>
      <c r="C101" s="5" t="s">
        <v>1267</v>
      </c>
      <c r="D101" s="4" t="s">
        <v>26</v>
      </c>
      <c r="E101" s="4" t="s">
        <v>1113</v>
      </c>
      <c r="F101" s="4" t="s">
        <v>1140</v>
      </c>
      <c r="G101" s="5" t="n">
        <v>65</v>
      </c>
      <c r="H101" s="5" t="s">
        <v>1121</v>
      </c>
      <c r="I101" s="4" t="s">
        <v>1268</v>
      </c>
      <c r="J101" s="4" t="s">
        <v>130</v>
      </c>
    </row>
    <row r="102" customFormat="false" ht="15" hidden="false" customHeight="false" outlineLevel="0" collapsed="false">
      <c r="A102" s="5" t="n">
        <v>41505</v>
      </c>
      <c r="B102" s="5" t="s">
        <v>60</v>
      </c>
      <c r="C102" s="5" t="s">
        <v>1269</v>
      </c>
      <c r="D102" s="4" t="s">
        <v>26</v>
      </c>
      <c r="E102" s="4" t="s">
        <v>1113</v>
      </c>
      <c r="F102" s="4" t="s">
        <v>1140</v>
      </c>
      <c r="G102" s="5" t="n">
        <v>98</v>
      </c>
      <c r="H102" s="5" t="s">
        <v>1121</v>
      </c>
      <c r="I102" s="4" t="s">
        <v>1270</v>
      </c>
      <c r="J102" s="4" t="s">
        <v>130</v>
      </c>
    </row>
    <row r="103" customFormat="false" ht="15" hidden="false" customHeight="false" outlineLevel="0" collapsed="false">
      <c r="A103" s="5" t="n">
        <v>41528</v>
      </c>
      <c r="B103" s="5" t="s">
        <v>60</v>
      </c>
      <c r="C103" s="5" t="s">
        <v>869</v>
      </c>
      <c r="D103" s="4" t="s">
        <v>26</v>
      </c>
      <c r="E103" s="4" t="s">
        <v>1113</v>
      </c>
      <c r="F103" s="4" t="s">
        <v>1140</v>
      </c>
      <c r="G103" s="5" t="n">
        <v>90</v>
      </c>
      <c r="H103" s="5" t="s">
        <v>1121</v>
      </c>
      <c r="I103" s="4" t="s">
        <v>1271</v>
      </c>
      <c r="J103" s="4" t="s">
        <v>130</v>
      </c>
    </row>
    <row r="104" customFormat="false" ht="15" hidden="false" customHeight="false" outlineLevel="0" collapsed="false">
      <c r="A104" s="5" t="n">
        <v>41636</v>
      </c>
      <c r="B104" s="5" t="s">
        <v>60</v>
      </c>
      <c r="C104" s="5" t="s">
        <v>869</v>
      </c>
      <c r="D104" s="4" t="s">
        <v>26</v>
      </c>
      <c r="E104" s="4" t="s">
        <v>1113</v>
      </c>
      <c r="F104" s="4" t="s">
        <v>1140</v>
      </c>
      <c r="G104" s="5" t="n">
        <v>89</v>
      </c>
      <c r="H104" s="5" t="s">
        <v>1121</v>
      </c>
      <c r="I104" s="4" t="s">
        <v>1272</v>
      </c>
      <c r="J104" s="4" t="s">
        <v>130</v>
      </c>
    </row>
    <row r="105" customFormat="false" ht="15" hidden="false" customHeight="false" outlineLevel="0" collapsed="false">
      <c r="A105" s="5" t="n">
        <v>41684</v>
      </c>
      <c r="B105" s="5" t="s">
        <v>60</v>
      </c>
      <c r="C105" s="5" t="s">
        <v>1273</v>
      </c>
      <c r="D105" s="4" t="s">
        <v>26</v>
      </c>
      <c r="E105" s="4" t="s">
        <v>1113</v>
      </c>
      <c r="F105" s="4" t="s">
        <v>1140</v>
      </c>
      <c r="G105" s="5" t="n">
        <v>93</v>
      </c>
      <c r="H105" s="5" t="s">
        <v>1121</v>
      </c>
      <c r="I105" s="4" t="s">
        <v>1274</v>
      </c>
      <c r="J105" s="4" t="s">
        <v>130</v>
      </c>
    </row>
    <row r="106" customFormat="false" ht="15" hidden="false" customHeight="false" outlineLevel="0" collapsed="false">
      <c r="A106" s="5" t="n">
        <v>42228</v>
      </c>
      <c r="B106" s="5" t="s">
        <v>60</v>
      </c>
      <c r="C106" s="5" t="s">
        <v>1275</v>
      </c>
      <c r="D106" s="4" t="s">
        <v>26</v>
      </c>
      <c r="E106" s="4" t="s">
        <v>1113</v>
      </c>
      <c r="F106" s="4" t="s">
        <v>1128</v>
      </c>
      <c r="G106" s="5" t="n">
        <v>117</v>
      </c>
      <c r="H106" s="5" t="s">
        <v>1121</v>
      </c>
      <c r="I106" s="4" t="s">
        <v>1276</v>
      </c>
      <c r="J106" s="4" t="s">
        <v>130</v>
      </c>
    </row>
    <row r="107" customFormat="false" ht="15" hidden="false" customHeight="false" outlineLevel="0" collapsed="false">
      <c r="A107" s="5" t="n">
        <v>41929</v>
      </c>
      <c r="B107" s="5" t="s">
        <v>60</v>
      </c>
      <c r="C107" s="5" t="s">
        <v>997</v>
      </c>
      <c r="D107" s="4" t="s">
        <v>26</v>
      </c>
      <c r="E107" s="4" t="s">
        <v>1113</v>
      </c>
      <c r="F107" s="4" t="s">
        <v>1277</v>
      </c>
      <c r="G107" s="5" t="n">
        <v>70</v>
      </c>
      <c r="H107" s="5" t="s">
        <v>1121</v>
      </c>
      <c r="I107" s="4" t="s">
        <v>1278</v>
      </c>
      <c r="J107" s="4" t="s">
        <v>130</v>
      </c>
    </row>
    <row r="108" customFormat="false" ht="15" hidden="false" customHeight="false" outlineLevel="0" collapsed="false">
      <c r="A108" s="5" t="n">
        <v>42557</v>
      </c>
      <c r="B108" s="5" t="s">
        <v>60</v>
      </c>
      <c r="C108" s="5" t="s">
        <v>398</v>
      </c>
      <c r="D108" s="4" t="s">
        <v>28</v>
      </c>
      <c r="E108" s="4" t="s">
        <v>1113</v>
      </c>
      <c r="F108" s="4" t="s">
        <v>1123</v>
      </c>
      <c r="G108" s="5" t="n">
        <v>38</v>
      </c>
      <c r="H108" s="5" t="s">
        <v>1118</v>
      </c>
      <c r="I108" s="4" t="s">
        <v>1279</v>
      </c>
      <c r="J108" s="4" t="s">
        <v>131</v>
      </c>
    </row>
    <row r="109" customFormat="false" ht="15" hidden="false" customHeight="false" outlineLevel="0" collapsed="false">
      <c r="A109" s="5" t="n">
        <v>42558</v>
      </c>
      <c r="B109" s="5" t="s">
        <v>60</v>
      </c>
      <c r="C109" s="5" t="s">
        <v>400</v>
      </c>
      <c r="D109" s="4" t="s">
        <v>28</v>
      </c>
      <c r="E109" s="4" t="s">
        <v>1113</v>
      </c>
      <c r="F109" s="4" t="s">
        <v>1114</v>
      </c>
      <c r="G109" s="5" t="n">
        <v>82</v>
      </c>
      <c r="H109" s="5" t="s">
        <v>1121</v>
      </c>
      <c r="I109" s="4" t="s">
        <v>1280</v>
      </c>
      <c r="J109" s="4" t="s">
        <v>130</v>
      </c>
    </row>
    <row r="110" customFormat="false" ht="15" hidden="false" customHeight="false" outlineLevel="0" collapsed="false">
      <c r="A110" s="5" t="n">
        <v>42559</v>
      </c>
      <c r="B110" s="5" t="s">
        <v>60</v>
      </c>
      <c r="C110" s="5" t="s">
        <v>1281</v>
      </c>
      <c r="D110" s="4" t="s">
        <v>28</v>
      </c>
      <c r="E110" s="4" t="s">
        <v>1113</v>
      </c>
      <c r="F110" s="4" t="s">
        <v>1123</v>
      </c>
      <c r="G110" s="5" t="n">
        <v>62</v>
      </c>
      <c r="H110" s="5" t="s">
        <v>1121</v>
      </c>
      <c r="I110" s="4" t="s">
        <v>1282</v>
      </c>
      <c r="J110" s="4" t="s">
        <v>130</v>
      </c>
    </row>
    <row r="111" customFormat="false" ht="15" hidden="false" customHeight="false" outlineLevel="0" collapsed="false">
      <c r="A111" s="5" t="n">
        <v>42560</v>
      </c>
      <c r="B111" s="5" t="s">
        <v>60</v>
      </c>
      <c r="C111" s="5" t="s">
        <v>402</v>
      </c>
      <c r="D111" s="4" t="s">
        <v>30</v>
      </c>
      <c r="E111" s="4" t="s">
        <v>1113</v>
      </c>
      <c r="F111" s="4" t="s">
        <v>1283</v>
      </c>
      <c r="G111" s="5" t="n">
        <v>47</v>
      </c>
      <c r="H111" s="5" t="s">
        <v>1121</v>
      </c>
      <c r="I111" s="4" t="s">
        <v>1284</v>
      </c>
      <c r="J111" s="4" t="s">
        <v>130</v>
      </c>
    </row>
    <row r="112" customFormat="false" ht="15" hidden="false" customHeight="false" outlineLevel="0" collapsed="false">
      <c r="A112" s="5" t="n">
        <v>42561</v>
      </c>
      <c r="B112" s="5" t="s">
        <v>60</v>
      </c>
      <c r="C112" s="5" t="s">
        <v>371</v>
      </c>
      <c r="D112" s="4" t="s">
        <v>28</v>
      </c>
      <c r="E112" s="4" t="s">
        <v>1113</v>
      </c>
      <c r="F112" s="4" t="s">
        <v>1123</v>
      </c>
      <c r="G112" s="5" t="n">
        <v>46</v>
      </c>
      <c r="H112" s="5" t="s">
        <v>1121</v>
      </c>
      <c r="I112" s="4" t="s">
        <v>1285</v>
      </c>
      <c r="J112" s="4" t="s">
        <v>130</v>
      </c>
    </row>
    <row r="113" customFormat="false" ht="15" hidden="false" customHeight="false" outlineLevel="0" collapsed="false">
      <c r="A113" s="5" t="n">
        <v>42562</v>
      </c>
      <c r="B113" s="5" t="s">
        <v>60</v>
      </c>
      <c r="C113" s="5" t="s">
        <v>1087</v>
      </c>
      <c r="D113" s="4" t="s">
        <v>28</v>
      </c>
      <c r="E113" s="4" t="s">
        <v>1113</v>
      </c>
      <c r="F113" s="4" t="s">
        <v>1123</v>
      </c>
      <c r="G113" s="5" t="n">
        <v>93</v>
      </c>
      <c r="H113" s="5" t="s">
        <v>1121</v>
      </c>
      <c r="I113" s="4" t="s">
        <v>1286</v>
      </c>
      <c r="J113" s="4" t="s">
        <v>130</v>
      </c>
    </row>
    <row r="114" customFormat="false" ht="15" hidden="false" customHeight="false" outlineLevel="0" collapsed="false">
      <c r="A114" s="5" t="n">
        <v>42563</v>
      </c>
      <c r="B114" s="5" t="s">
        <v>60</v>
      </c>
      <c r="C114" s="5" t="s">
        <v>418</v>
      </c>
      <c r="D114" s="4" t="s">
        <v>28</v>
      </c>
      <c r="E114" s="4" t="s">
        <v>1113</v>
      </c>
      <c r="F114" s="4" t="s">
        <v>1123</v>
      </c>
      <c r="G114" s="5" t="n">
        <v>46</v>
      </c>
      <c r="H114" s="5" t="s">
        <v>1121</v>
      </c>
      <c r="I114" s="4" t="s">
        <v>1287</v>
      </c>
      <c r="J114" s="4" t="s">
        <v>130</v>
      </c>
    </row>
    <row r="115" customFormat="false" ht="23.85" hidden="false" customHeight="false" outlineLevel="0" collapsed="false">
      <c r="A115" s="5" t="n">
        <v>42564</v>
      </c>
      <c r="B115" s="5" t="s">
        <v>60</v>
      </c>
      <c r="C115" s="5" t="s">
        <v>1288</v>
      </c>
      <c r="D115" s="4" t="s">
        <v>28</v>
      </c>
      <c r="E115" s="4" t="s">
        <v>1113</v>
      </c>
      <c r="F115" s="4" t="s">
        <v>1114</v>
      </c>
      <c r="G115" s="5" t="n">
        <v>16</v>
      </c>
      <c r="H115" s="5" t="s">
        <v>1115</v>
      </c>
      <c r="I115" s="4" t="s">
        <v>657</v>
      </c>
      <c r="J115" s="4" t="s">
        <v>132</v>
      </c>
    </row>
    <row r="116" customFormat="false" ht="23.85" hidden="false" customHeight="false" outlineLevel="0" collapsed="false">
      <c r="A116" s="5" t="n">
        <v>41307</v>
      </c>
      <c r="B116" s="5" t="s">
        <v>60</v>
      </c>
      <c r="C116" s="5" t="s">
        <v>419</v>
      </c>
      <c r="D116" s="4" t="s">
        <v>30</v>
      </c>
      <c r="E116" s="4" t="s">
        <v>1113</v>
      </c>
      <c r="F116" s="4" t="s">
        <v>1114</v>
      </c>
      <c r="G116" s="5" t="n">
        <v>18</v>
      </c>
      <c r="H116" s="5" t="s">
        <v>1115</v>
      </c>
      <c r="I116" s="4" t="s">
        <v>1289</v>
      </c>
      <c r="J116" s="4" t="s">
        <v>132</v>
      </c>
    </row>
    <row r="117" customFormat="false" ht="15" hidden="false" customHeight="false" outlineLevel="0" collapsed="false">
      <c r="A117" s="5" t="n">
        <v>41952</v>
      </c>
      <c r="B117" s="5" t="s">
        <v>60</v>
      </c>
      <c r="C117" s="5" t="s">
        <v>1290</v>
      </c>
      <c r="D117" s="4" t="s">
        <v>30</v>
      </c>
      <c r="E117" s="4" t="s">
        <v>1113</v>
      </c>
      <c r="F117" s="4" t="s">
        <v>1123</v>
      </c>
      <c r="G117" s="5" t="n">
        <v>30</v>
      </c>
      <c r="H117" s="5" t="s">
        <v>1118</v>
      </c>
      <c r="I117" s="4" t="s">
        <v>1291</v>
      </c>
      <c r="J117" s="4" t="s">
        <v>131</v>
      </c>
    </row>
    <row r="118" customFormat="false" ht="15" hidden="false" customHeight="false" outlineLevel="0" collapsed="false">
      <c r="A118" s="5" t="n">
        <v>42565</v>
      </c>
      <c r="B118" s="5" t="s">
        <v>60</v>
      </c>
      <c r="C118" s="5" t="s">
        <v>423</v>
      </c>
      <c r="D118" s="4" t="s">
        <v>18</v>
      </c>
      <c r="E118" s="4" t="s">
        <v>1113</v>
      </c>
      <c r="F118" s="4" t="s">
        <v>1114</v>
      </c>
      <c r="G118" s="5" t="n">
        <v>78</v>
      </c>
      <c r="H118" s="5" t="s">
        <v>1121</v>
      </c>
      <c r="I118" s="4" t="s">
        <v>1292</v>
      </c>
      <c r="J118" s="4" t="s">
        <v>130</v>
      </c>
    </row>
    <row r="119" customFormat="false" ht="15" hidden="false" customHeight="false" outlineLevel="0" collapsed="false">
      <c r="A119" s="5" t="n">
        <v>42566</v>
      </c>
      <c r="B119" s="5" t="s">
        <v>60</v>
      </c>
      <c r="C119" s="5" t="s">
        <v>426</v>
      </c>
      <c r="D119" s="4" t="s">
        <v>30</v>
      </c>
      <c r="E119" s="4" t="s">
        <v>1113</v>
      </c>
      <c r="F119" s="4" t="s">
        <v>1123</v>
      </c>
      <c r="G119" s="5" t="n">
        <v>60</v>
      </c>
      <c r="H119" s="5" t="s">
        <v>1121</v>
      </c>
      <c r="I119" s="4" t="s">
        <v>1293</v>
      </c>
      <c r="J119" s="4" t="s">
        <v>130</v>
      </c>
    </row>
    <row r="120" customFormat="false" ht="15" hidden="false" customHeight="false" outlineLevel="0" collapsed="false">
      <c r="A120" s="5" t="n">
        <v>42567</v>
      </c>
      <c r="B120" s="5" t="s">
        <v>60</v>
      </c>
      <c r="C120" s="5" t="s">
        <v>1294</v>
      </c>
      <c r="D120" s="4" t="s">
        <v>18</v>
      </c>
      <c r="E120" s="4" t="s">
        <v>1113</v>
      </c>
      <c r="F120" s="4" t="s">
        <v>1114</v>
      </c>
      <c r="G120" s="5" t="n">
        <v>138</v>
      </c>
      <c r="H120" s="5" t="s">
        <v>1121</v>
      </c>
      <c r="I120" s="4" t="s">
        <v>1295</v>
      </c>
      <c r="J120" s="4" t="s">
        <v>130</v>
      </c>
    </row>
    <row r="121" customFormat="false" ht="15" hidden="false" customHeight="false" outlineLevel="0" collapsed="false">
      <c r="A121" s="5" t="n">
        <v>42568</v>
      </c>
      <c r="B121" s="5" t="s">
        <v>60</v>
      </c>
      <c r="C121" s="5" t="s">
        <v>1296</v>
      </c>
      <c r="D121" s="4" t="s">
        <v>18</v>
      </c>
      <c r="E121" s="4" t="s">
        <v>1113</v>
      </c>
      <c r="F121" s="4" t="s">
        <v>1114</v>
      </c>
      <c r="G121" s="5" t="n">
        <v>95</v>
      </c>
      <c r="H121" s="5" t="s">
        <v>1121</v>
      </c>
      <c r="I121" s="4" t="s">
        <v>1297</v>
      </c>
      <c r="J121" s="4" t="s">
        <v>130</v>
      </c>
    </row>
    <row r="122" customFormat="false" ht="15" hidden="false" customHeight="false" outlineLevel="0" collapsed="false">
      <c r="A122" s="5" t="n">
        <v>42569</v>
      </c>
      <c r="B122" s="5" t="s">
        <v>62</v>
      </c>
      <c r="C122" s="5" t="s">
        <v>1298</v>
      </c>
      <c r="D122" s="4" t="s">
        <v>22</v>
      </c>
      <c r="E122" s="4" t="s">
        <v>1113</v>
      </c>
      <c r="F122" s="4" t="s">
        <v>1128</v>
      </c>
      <c r="G122" s="5" t="n">
        <v>52</v>
      </c>
      <c r="H122" s="5" t="s">
        <v>1121</v>
      </c>
      <c r="I122" s="4" t="s">
        <v>1299</v>
      </c>
      <c r="J122" s="4" t="s">
        <v>130</v>
      </c>
    </row>
    <row r="123" customFormat="false" ht="15" hidden="false" customHeight="false" outlineLevel="0" collapsed="false">
      <c r="A123" s="5" t="n">
        <v>42570</v>
      </c>
      <c r="B123" s="5" t="s">
        <v>62</v>
      </c>
      <c r="C123" s="5" t="s">
        <v>1300</v>
      </c>
      <c r="D123" s="4" t="s">
        <v>22</v>
      </c>
      <c r="E123" s="4" t="s">
        <v>1113</v>
      </c>
      <c r="F123" s="4" t="s">
        <v>1128</v>
      </c>
      <c r="G123" s="5" t="n">
        <v>45</v>
      </c>
      <c r="H123" s="5" t="s">
        <v>1121</v>
      </c>
      <c r="I123" s="4" t="s">
        <v>1301</v>
      </c>
      <c r="J123" s="4" t="s">
        <v>130</v>
      </c>
    </row>
    <row r="124" customFormat="false" ht="15" hidden="false" customHeight="false" outlineLevel="0" collapsed="false">
      <c r="A124" s="5" t="n">
        <v>42571</v>
      </c>
      <c r="B124" s="5" t="s">
        <v>62</v>
      </c>
      <c r="C124" s="5" t="s">
        <v>720</v>
      </c>
      <c r="D124" s="4" t="s">
        <v>22</v>
      </c>
      <c r="E124" s="4" t="s">
        <v>1113</v>
      </c>
      <c r="F124" s="4" t="s">
        <v>1128</v>
      </c>
      <c r="G124" s="5" t="n">
        <v>38</v>
      </c>
      <c r="H124" s="5" t="s">
        <v>1118</v>
      </c>
      <c r="I124" s="4" t="s">
        <v>1302</v>
      </c>
      <c r="J124" s="4" t="s">
        <v>131</v>
      </c>
    </row>
    <row r="125" customFormat="false" ht="15" hidden="false" customHeight="false" outlineLevel="0" collapsed="false">
      <c r="A125" s="5" t="n">
        <v>42572</v>
      </c>
      <c r="B125" s="5" t="s">
        <v>62</v>
      </c>
      <c r="C125" s="5" t="s">
        <v>1303</v>
      </c>
      <c r="D125" s="4" t="s">
        <v>22</v>
      </c>
      <c r="E125" s="4" t="s">
        <v>1113</v>
      </c>
      <c r="F125" s="4" t="s">
        <v>1128</v>
      </c>
      <c r="G125" s="5" t="n">
        <v>52</v>
      </c>
      <c r="H125" s="5" t="s">
        <v>1121</v>
      </c>
      <c r="I125" s="4" t="s">
        <v>1304</v>
      </c>
      <c r="J125" s="4" t="s">
        <v>130</v>
      </c>
    </row>
    <row r="126" customFormat="false" ht="15" hidden="false" customHeight="false" outlineLevel="0" collapsed="false">
      <c r="A126" s="5" t="n">
        <v>41223</v>
      </c>
      <c r="B126" s="5" t="s">
        <v>63</v>
      </c>
      <c r="C126" s="5" t="s">
        <v>431</v>
      </c>
      <c r="D126" s="4" t="s">
        <v>24</v>
      </c>
      <c r="E126" s="4" t="s">
        <v>1113</v>
      </c>
      <c r="F126" s="4" t="s">
        <v>1123</v>
      </c>
      <c r="G126" s="5" t="n">
        <v>45</v>
      </c>
      <c r="H126" s="5" t="s">
        <v>1121</v>
      </c>
      <c r="I126" s="4" t="s">
        <v>1305</v>
      </c>
      <c r="J126" s="4" t="s">
        <v>130</v>
      </c>
    </row>
    <row r="127" customFormat="false" ht="15" hidden="false" customHeight="false" outlineLevel="0" collapsed="false">
      <c r="A127" s="5" t="n">
        <v>40742</v>
      </c>
      <c r="B127" s="5" t="s">
        <v>63</v>
      </c>
      <c r="C127" s="5" t="s">
        <v>1298</v>
      </c>
      <c r="D127" s="4" t="s">
        <v>24</v>
      </c>
      <c r="E127" s="4" t="s">
        <v>1113</v>
      </c>
      <c r="F127" s="4" t="s">
        <v>1123</v>
      </c>
      <c r="G127" s="5" t="n">
        <v>74</v>
      </c>
      <c r="H127" s="5" t="s">
        <v>1121</v>
      </c>
      <c r="I127" s="4" t="s">
        <v>1306</v>
      </c>
      <c r="J127" s="4" t="s">
        <v>130</v>
      </c>
    </row>
    <row r="128" customFormat="false" ht="15" hidden="false" customHeight="false" outlineLevel="0" collapsed="false">
      <c r="A128" s="5" t="n">
        <v>41700</v>
      </c>
      <c r="B128" s="5" t="s">
        <v>63</v>
      </c>
      <c r="C128" s="5" t="s">
        <v>1307</v>
      </c>
      <c r="D128" s="4" t="s">
        <v>24</v>
      </c>
      <c r="E128" s="4" t="s">
        <v>1113</v>
      </c>
      <c r="F128" s="4" t="s">
        <v>1123</v>
      </c>
      <c r="G128" s="5" t="n">
        <v>66</v>
      </c>
      <c r="H128" s="5" t="s">
        <v>1121</v>
      </c>
      <c r="I128" s="4" t="s">
        <v>1308</v>
      </c>
      <c r="J128" s="4" t="s">
        <v>130</v>
      </c>
    </row>
    <row r="129" customFormat="false" ht="15" hidden="false" customHeight="false" outlineLevel="0" collapsed="false">
      <c r="A129" s="5" t="n">
        <v>42576</v>
      </c>
      <c r="B129" s="5" t="s">
        <v>63</v>
      </c>
      <c r="C129" s="5" t="s">
        <v>1309</v>
      </c>
      <c r="D129" s="4" t="s">
        <v>30</v>
      </c>
      <c r="E129" s="4" t="s">
        <v>1113</v>
      </c>
      <c r="F129" s="4" t="s">
        <v>1123</v>
      </c>
      <c r="G129" s="5" t="n">
        <v>95</v>
      </c>
      <c r="H129" s="5" t="s">
        <v>1121</v>
      </c>
      <c r="I129" s="4" t="s">
        <v>1310</v>
      </c>
      <c r="J129" s="4" t="s">
        <v>130</v>
      </c>
    </row>
    <row r="130" customFormat="false" ht="15" hidden="false" customHeight="false" outlineLevel="0" collapsed="false">
      <c r="A130" s="5" t="n">
        <v>42577</v>
      </c>
      <c r="B130" s="5" t="s">
        <v>63</v>
      </c>
      <c r="C130" s="5" t="s">
        <v>736</v>
      </c>
      <c r="D130" s="4" t="s">
        <v>30</v>
      </c>
      <c r="E130" s="4" t="s">
        <v>1113</v>
      </c>
      <c r="F130" s="4" t="s">
        <v>1123</v>
      </c>
      <c r="G130" s="5" t="n">
        <v>61</v>
      </c>
      <c r="H130" s="5" t="s">
        <v>1121</v>
      </c>
      <c r="I130" s="4" t="s">
        <v>1311</v>
      </c>
      <c r="J130" s="4" t="s">
        <v>130</v>
      </c>
    </row>
    <row r="131" customFormat="false" ht="15" hidden="false" customHeight="false" outlineLevel="0" collapsed="false">
      <c r="A131" s="5" t="n">
        <v>42578</v>
      </c>
      <c r="B131" s="5" t="s">
        <v>63</v>
      </c>
      <c r="C131" s="5" t="s">
        <v>204</v>
      </c>
      <c r="D131" s="4" t="s">
        <v>30</v>
      </c>
      <c r="E131" s="4" t="s">
        <v>1113</v>
      </c>
      <c r="F131" s="4" t="s">
        <v>1123</v>
      </c>
      <c r="G131" s="5" t="n">
        <v>38</v>
      </c>
      <c r="H131" s="5" t="s">
        <v>1118</v>
      </c>
      <c r="I131" s="4" t="s">
        <v>1312</v>
      </c>
      <c r="J131" s="4" t="s">
        <v>131</v>
      </c>
    </row>
    <row r="132" customFormat="false" ht="15" hidden="false" customHeight="false" outlineLevel="0" collapsed="false">
      <c r="A132" s="5" t="n">
        <v>42579</v>
      </c>
      <c r="B132" s="5" t="s">
        <v>63</v>
      </c>
      <c r="C132" s="5" t="s">
        <v>1313</v>
      </c>
      <c r="D132" s="4" t="s">
        <v>22</v>
      </c>
      <c r="E132" s="4" t="s">
        <v>1113</v>
      </c>
      <c r="F132" s="4" t="s">
        <v>1128</v>
      </c>
      <c r="G132" s="5" t="n">
        <v>32</v>
      </c>
      <c r="H132" s="5" t="s">
        <v>1118</v>
      </c>
      <c r="I132" s="4" t="s">
        <v>1314</v>
      </c>
      <c r="J132" s="4" t="s">
        <v>131</v>
      </c>
    </row>
    <row r="133" customFormat="false" ht="15" hidden="false" customHeight="false" outlineLevel="0" collapsed="false">
      <c r="A133" s="5" t="n">
        <v>42580</v>
      </c>
      <c r="B133" s="5" t="s">
        <v>63</v>
      </c>
      <c r="C133" s="5" t="s">
        <v>462</v>
      </c>
      <c r="D133" s="4" t="s">
        <v>22</v>
      </c>
      <c r="E133" s="4" t="s">
        <v>1113</v>
      </c>
      <c r="F133" s="4" t="s">
        <v>1128</v>
      </c>
      <c r="G133" s="5" t="n">
        <v>28</v>
      </c>
      <c r="H133" s="5" t="s">
        <v>1118</v>
      </c>
      <c r="I133" s="4" t="s">
        <v>1315</v>
      </c>
      <c r="J133" s="4" t="s">
        <v>131</v>
      </c>
    </row>
    <row r="134" customFormat="false" ht="15" hidden="false" customHeight="false" outlineLevel="0" collapsed="false">
      <c r="A134" s="5" t="n">
        <v>42584</v>
      </c>
      <c r="B134" s="5" t="s">
        <v>63</v>
      </c>
      <c r="C134" s="5" t="s">
        <v>162</v>
      </c>
      <c r="D134" s="4" t="s">
        <v>28</v>
      </c>
      <c r="E134" s="4" t="s">
        <v>1113</v>
      </c>
      <c r="F134" s="4" t="s">
        <v>1123</v>
      </c>
      <c r="G134" s="5" t="n">
        <v>47</v>
      </c>
      <c r="H134" s="5" t="s">
        <v>1121</v>
      </c>
      <c r="I134" s="4" t="s">
        <v>1316</v>
      </c>
      <c r="J134" s="4" t="s">
        <v>130</v>
      </c>
    </row>
    <row r="135" customFormat="false" ht="15" hidden="false" customHeight="false" outlineLevel="0" collapsed="false">
      <c r="A135" s="5" t="n">
        <v>42585</v>
      </c>
      <c r="B135" s="5" t="s">
        <v>63</v>
      </c>
      <c r="C135" s="5" t="s">
        <v>352</v>
      </c>
      <c r="D135" s="4" t="s">
        <v>28</v>
      </c>
      <c r="E135" s="4" t="s">
        <v>1113</v>
      </c>
      <c r="F135" s="4" t="s">
        <v>1123</v>
      </c>
      <c r="G135" s="5" t="n">
        <v>48</v>
      </c>
      <c r="H135" s="5" t="s">
        <v>1121</v>
      </c>
      <c r="I135" s="4" t="s">
        <v>1317</v>
      </c>
      <c r="J135" s="4" t="s">
        <v>130</v>
      </c>
    </row>
    <row r="136" customFormat="false" ht="15" hidden="false" customHeight="false" outlineLevel="0" collapsed="false">
      <c r="A136" s="5" t="n">
        <v>42586</v>
      </c>
      <c r="B136" s="5" t="s">
        <v>63</v>
      </c>
      <c r="C136" s="5" t="s">
        <v>356</v>
      </c>
      <c r="D136" s="4" t="s">
        <v>28</v>
      </c>
      <c r="E136" s="4" t="s">
        <v>1113</v>
      </c>
      <c r="F136" s="4" t="s">
        <v>1123</v>
      </c>
      <c r="G136" s="5" t="n">
        <v>62</v>
      </c>
      <c r="H136" s="5" t="s">
        <v>1121</v>
      </c>
      <c r="I136" s="4" t="s">
        <v>1318</v>
      </c>
      <c r="J136" s="4" t="s">
        <v>130</v>
      </c>
    </row>
    <row r="137" customFormat="false" ht="15" hidden="false" customHeight="false" outlineLevel="0" collapsed="false">
      <c r="A137" s="5" t="n">
        <v>42587</v>
      </c>
      <c r="B137" s="5" t="s">
        <v>63</v>
      </c>
      <c r="C137" s="5" t="s">
        <v>170</v>
      </c>
      <c r="D137" s="4" t="s">
        <v>28</v>
      </c>
      <c r="E137" s="4" t="s">
        <v>1113</v>
      </c>
      <c r="F137" s="4" t="s">
        <v>1123</v>
      </c>
      <c r="G137" s="5" t="n">
        <v>87</v>
      </c>
      <c r="H137" s="5" t="s">
        <v>1121</v>
      </c>
      <c r="I137" s="4" t="s">
        <v>1319</v>
      </c>
      <c r="J137" s="4" t="s">
        <v>130</v>
      </c>
    </row>
    <row r="138" customFormat="false" ht="15" hidden="false" customHeight="false" outlineLevel="0" collapsed="false">
      <c r="A138" s="5" t="n">
        <v>42589</v>
      </c>
      <c r="B138" s="5" t="s">
        <v>63</v>
      </c>
      <c r="C138" s="5" t="s">
        <v>366</v>
      </c>
      <c r="D138" s="4" t="s">
        <v>28</v>
      </c>
      <c r="E138" s="4" t="s">
        <v>1113</v>
      </c>
      <c r="F138" s="4" t="s">
        <v>1123</v>
      </c>
      <c r="G138" s="5" t="n">
        <v>31</v>
      </c>
      <c r="H138" s="5" t="s">
        <v>1118</v>
      </c>
      <c r="I138" s="4" t="s">
        <v>1219</v>
      </c>
      <c r="J138" s="4" t="s">
        <v>131</v>
      </c>
    </row>
    <row r="139" customFormat="false" ht="15" hidden="false" customHeight="false" outlineLevel="0" collapsed="false">
      <c r="A139" s="5" t="n">
        <v>42590</v>
      </c>
      <c r="B139" s="5" t="s">
        <v>63</v>
      </c>
      <c r="C139" s="5" t="s">
        <v>1225</v>
      </c>
      <c r="D139" s="4" t="s">
        <v>28</v>
      </c>
      <c r="E139" s="4" t="s">
        <v>1113</v>
      </c>
      <c r="F139" s="4" t="s">
        <v>1123</v>
      </c>
      <c r="G139" s="5" t="n">
        <v>43</v>
      </c>
      <c r="H139" s="5" t="s">
        <v>1121</v>
      </c>
      <c r="I139" s="4" t="s">
        <v>1320</v>
      </c>
      <c r="J139" s="4" t="s">
        <v>130</v>
      </c>
    </row>
    <row r="140" customFormat="false" ht="15" hidden="false" customHeight="false" outlineLevel="0" collapsed="false">
      <c r="A140" s="5" t="n">
        <v>42604</v>
      </c>
      <c r="B140" s="5" t="s">
        <v>64</v>
      </c>
      <c r="C140" s="5" t="s">
        <v>1321</v>
      </c>
      <c r="D140" s="4" t="s">
        <v>30</v>
      </c>
      <c r="E140" s="4" t="s">
        <v>1113</v>
      </c>
      <c r="F140" s="4" t="s">
        <v>1114</v>
      </c>
      <c r="G140" s="5" t="n">
        <v>105</v>
      </c>
      <c r="H140" s="5" t="s">
        <v>1121</v>
      </c>
      <c r="I140" s="4" t="s">
        <v>1322</v>
      </c>
      <c r="J140" s="4" t="s">
        <v>130</v>
      </c>
    </row>
    <row r="141" customFormat="false" ht="15" hidden="false" customHeight="false" outlineLevel="0" collapsed="false">
      <c r="A141" s="5" t="n">
        <v>42605</v>
      </c>
      <c r="B141" s="5" t="s">
        <v>64</v>
      </c>
      <c r="C141" s="5" t="s">
        <v>1323</v>
      </c>
      <c r="D141" s="4" t="s">
        <v>30</v>
      </c>
      <c r="E141" s="4" t="s">
        <v>1113</v>
      </c>
      <c r="F141" s="4" t="s">
        <v>1123</v>
      </c>
      <c r="G141" s="5" t="n">
        <v>33</v>
      </c>
      <c r="H141" s="5" t="s">
        <v>1118</v>
      </c>
      <c r="I141" s="4" t="s">
        <v>1324</v>
      </c>
      <c r="J141" s="4" t="s">
        <v>131</v>
      </c>
    </row>
    <row r="142" customFormat="false" ht="15" hidden="false" customHeight="false" outlineLevel="0" collapsed="false">
      <c r="A142" s="5" t="n">
        <v>42560</v>
      </c>
      <c r="B142" s="5" t="s">
        <v>64</v>
      </c>
      <c r="C142" s="5" t="s">
        <v>1325</v>
      </c>
      <c r="D142" s="4" t="s">
        <v>30</v>
      </c>
      <c r="E142" s="4" t="s">
        <v>1113</v>
      </c>
      <c r="F142" s="4" t="s">
        <v>1114</v>
      </c>
      <c r="G142" s="5" t="n">
        <v>127</v>
      </c>
      <c r="H142" s="5" t="s">
        <v>1121</v>
      </c>
      <c r="I142" s="4" t="s">
        <v>1326</v>
      </c>
      <c r="J142" s="4" t="s">
        <v>130</v>
      </c>
    </row>
    <row r="143" customFormat="false" ht="15" hidden="false" customHeight="false" outlineLevel="0" collapsed="false">
      <c r="A143" s="5" t="n">
        <v>42604</v>
      </c>
      <c r="B143" s="5" t="s">
        <v>64</v>
      </c>
      <c r="C143" s="5" t="s">
        <v>1327</v>
      </c>
      <c r="D143" s="4" t="s">
        <v>30</v>
      </c>
      <c r="E143" s="4" t="s">
        <v>1113</v>
      </c>
      <c r="F143" s="4" t="s">
        <v>1123</v>
      </c>
      <c r="G143" s="5" t="n">
        <v>73</v>
      </c>
      <c r="H143" s="5" t="s">
        <v>1121</v>
      </c>
      <c r="I143" s="4" t="s">
        <v>1328</v>
      </c>
      <c r="J143" s="4" t="s">
        <v>130</v>
      </c>
    </row>
    <row r="144" customFormat="false" ht="15" hidden="false" customHeight="false" outlineLevel="0" collapsed="false">
      <c r="A144" s="5" t="n">
        <v>42612</v>
      </c>
      <c r="B144" s="5" t="s">
        <v>64</v>
      </c>
      <c r="C144" s="5" t="s">
        <v>485</v>
      </c>
      <c r="D144" s="4" t="s">
        <v>28</v>
      </c>
      <c r="E144" s="4" t="s">
        <v>1113</v>
      </c>
      <c r="F144" s="4" t="s">
        <v>1123</v>
      </c>
      <c r="G144" s="5" t="n">
        <v>51</v>
      </c>
      <c r="H144" s="5" t="s">
        <v>1121</v>
      </c>
      <c r="I144" s="4" t="s">
        <v>1329</v>
      </c>
      <c r="J144" s="4" t="s">
        <v>130</v>
      </c>
    </row>
    <row r="145" customFormat="false" ht="15" hidden="false" customHeight="false" outlineLevel="0" collapsed="false">
      <c r="A145" s="5" t="n">
        <v>42613</v>
      </c>
      <c r="B145" s="5" t="s">
        <v>64</v>
      </c>
      <c r="C145" s="5" t="s">
        <v>340</v>
      </c>
      <c r="D145" s="4" t="s">
        <v>28</v>
      </c>
      <c r="E145" s="4" t="s">
        <v>1113</v>
      </c>
      <c r="F145" s="4" t="s">
        <v>1123</v>
      </c>
      <c r="G145" s="5" t="n">
        <v>72</v>
      </c>
      <c r="H145" s="5" t="s">
        <v>1121</v>
      </c>
      <c r="I145" s="4" t="s">
        <v>1330</v>
      </c>
      <c r="J145" s="4" t="s">
        <v>130</v>
      </c>
    </row>
    <row r="146" customFormat="false" ht="15" hidden="false" customHeight="false" outlineLevel="0" collapsed="false">
      <c r="A146" s="5" t="n">
        <v>42614</v>
      </c>
      <c r="B146" s="5" t="s">
        <v>64</v>
      </c>
      <c r="C146" s="5" t="s">
        <v>344</v>
      </c>
      <c r="D146" s="4" t="s">
        <v>28</v>
      </c>
      <c r="E146" s="4" t="s">
        <v>1113</v>
      </c>
      <c r="F146" s="4" t="s">
        <v>1123</v>
      </c>
      <c r="G146" s="5" t="n">
        <v>41</v>
      </c>
      <c r="H146" s="5" t="s">
        <v>1121</v>
      </c>
      <c r="I146" s="4" t="s">
        <v>1331</v>
      </c>
      <c r="J146" s="4" t="s">
        <v>130</v>
      </c>
    </row>
    <row r="147" customFormat="false" ht="15" hidden="false" customHeight="false" outlineLevel="0" collapsed="false">
      <c r="A147" s="5" t="n">
        <v>42615</v>
      </c>
      <c r="B147" s="5" t="s">
        <v>64</v>
      </c>
      <c r="C147" s="5" t="s">
        <v>152</v>
      </c>
      <c r="D147" s="4" t="s">
        <v>28</v>
      </c>
      <c r="E147" s="4" t="s">
        <v>1113</v>
      </c>
      <c r="F147" s="4" t="s">
        <v>1114</v>
      </c>
      <c r="G147" s="5" t="n">
        <v>62</v>
      </c>
      <c r="H147" s="5" t="s">
        <v>1121</v>
      </c>
      <c r="I147" s="4" t="s">
        <v>1332</v>
      </c>
      <c r="J147" s="4" t="s">
        <v>130</v>
      </c>
    </row>
    <row r="148" customFormat="false" ht="15" hidden="false" customHeight="false" outlineLevel="0" collapsed="false">
      <c r="A148" s="5" t="n">
        <v>42616</v>
      </c>
      <c r="B148" s="5" t="s">
        <v>64</v>
      </c>
      <c r="C148" s="5" t="s">
        <v>348</v>
      </c>
      <c r="D148" s="4" t="s">
        <v>30</v>
      </c>
      <c r="E148" s="4" t="s">
        <v>1113</v>
      </c>
      <c r="F148" s="4" t="s">
        <v>1114</v>
      </c>
      <c r="G148" s="5" t="n">
        <v>54</v>
      </c>
      <c r="H148" s="5" t="s">
        <v>1121</v>
      </c>
      <c r="I148" s="4" t="s">
        <v>1333</v>
      </c>
      <c r="J148" s="4" t="s">
        <v>130</v>
      </c>
    </row>
    <row r="149" customFormat="false" ht="15" hidden="false" customHeight="false" outlineLevel="0" collapsed="false">
      <c r="A149" s="5" t="n">
        <v>42617</v>
      </c>
      <c r="B149" s="5" t="s">
        <v>64</v>
      </c>
      <c r="C149" s="5" t="s">
        <v>500</v>
      </c>
      <c r="D149" s="4" t="s">
        <v>28</v>
      </c>
      <c r="E149" s="4" t="s">
        <v>1113</v>
      </c>
      <c r="F149" s="4" t="s">
        <v>1123</v>
      </c>
      <c r="G149" s="5" t="n">
        <v>63</v>
      </c>
      <c r="H149" s="5" t="s">
        <v>1121</v>
      </c>
      <c r="I149" s="4" t="s">
        <v>1334</v>
      </c>
      <c r="J149" s="4" t="s">
        <v>130</v>
      </c>
    </row>
    <row r="150" customFormat="false" ht="15" hidden="false" customHeight="false" outlineLevel="0" collapsed="false">
      <c r="A150" s="5" t="n">
        <v>39201</v>
      </c>
      <c r="B150" s="5" t="s">
        <v>64</v>
      </c>
      <c r="C150" s="5" t="s">
        <v>500</v>
      </c>
      <c r="D150" s="4" t="s">
        <v>30</v>
      </c>
      <c r="E150" s="4" t="s">
        <v>1113</v>
      </c>
      <c r="F150" s="4" t="s">
        <v>1114</v>
      </c>
      <c r="G150" s="5" t="n">
        <v>68</v>
      </c>
      <c r="H150" s="5" t="s">
        <v>1121</v>
      </c>
      <c r="I150" s="4" t="s">
        <v>1335</v>
      </c>
      <c r="J150" s="4" t="s">
        <v>130</v>
      </c>
    </row>
    <row r="151" customFormat="false" ht="15" hidden="false" customHeight="false" outlineLevel="0" collapsed="false">
      <c r="A151" s="5" t="n">
        <v>7001</v>
      </c>
      <c r="B151" s="5" t="s">
        <v>64</v>
      </c>
      <c r="C151" s="5" t="s">
        <v>162</v>
      </c>
      <c r="D151" s="4" t="s">
        <v>30</v>
      </c>
      <c r="E151" s="4" t="s">
        <v>1113</v>
      </c>
      <c r="F151" s="4" t="s">
        <v>1114</v>
      </c>
      <c r="G151" s="5" t="n">
        <v>57</v>
      </c>
      <c r="H151" s="5" t="s">
        <v>1121</v>
      </c>
      <c r="I151" s="4" t="s">
        <v>1336</v>
      </c>
      <c r="J151" s="4" t="s">
        <v>130</v>
      </c>
    </row>
    <row r="152" customFormat="false" ht="15" hidden="false" customHeight="false" outlineLevel="0" collapsed="false">
      <c r="A152" s="5" t="n">
        <v>42618</v>
      </c>
      <c r="B152" s="5" t="s">
        <v>64</v>
      </c>
      <c r="C152" s="5" t="s">
        <v>352</v>
      </c>
      <c r="D152" s="4" t="s">
        <v>28</v>
      </c>
      <c r="E152" s="4" t="s">
        <v>1113</v>
      </c>
      <c r="F152" s="4" t="s">
        <v>1123</v>
      </c>
      <c r="G152" s="5" t="n">
        <v>46</v>
      </c>
      <c r="H152" s="5" t="s">
        <v>1121</v>
      </c>
      <c r="I152" s="4" t="s">
        <v>1337</v>
      </c>
      <c r="J152" s="4" t="s">
        <v>130</v>
      </c>
    </row>
    <row r="153" customFormat="false" ht="15" hidden="false" customHeight="false" outlineLevel="0" collapsed="false">
      <c r="A153" s="5" t="n">
        <v>42619</v>
      </c>
      <c r="B153" s="5" t="s">
        <v>64</v>
      </c>
      <c r="C153" s="5" t="s">
        <v>468</v>
      </c>
      <c r="D153" s="4" t="s">
        <v>28</v>
      </c>
      <c r="E153" s="4" t="s">
        <v>1113</v>
      </c>
      <c r="F153" s="4" t="s">
        <v>1114</v>
      </c>
      <c r="G153" s="5" t="n">
        <v>48</v>
      </c>
      <c r="H153" s="5" t="s">
        <v>1121</v>
      </c>
      <c r="I153" s="4" t="s">
        <v>1338</v>
      </c>
      <c r="J153" s="4" t="s">
        <v>130</v>
      </c>
    </row>
    <row r="154" customFormat="false" ht="15" hidden="false" customHeight="false" outlineLevel="0" collapsed="false">
      <c r="A154" s="5" t="n">
        <v>9025</v>
      </c>
      <c r="B154" s="5" t="s">
        <v>64</v>
      </c>
      <c r="C154" s="5" t="s">
        <v>166</v>
      </c>
      <c r="D154" s="4" t="s">
        <v>30</v>
      </c>
      <c r="E154" s="4" t="s">
        <v>1113</v>
      </c>
      <c r="F154" s="4" t="s">
        <v>1114</v>
      </c>
      <c r="G154" s="5" t="n">
        <v>34</v>
      </c>
      <c r="H154" s="5" t="s">
        <v>1118</v>
      </c>
      <c r="I154" s="4" t="s">
        <v>1339</v>
      </c>
      <c r="J154" s="4" t="s">
        <v>131</v>
      </c>
    </row>
    <row r="155" customFormat="false" ht="15" hidden="false" customHeight="false" outlineLevel="0" collapsed="false">
      <c r="A155" s="5" t="n">
        <v>41094</v>
      </c>
      <c r="B155" s="5" t="s">
        <v>64</v>
      </c>
      <c r="C155" s="5" t="s">
        <v>915</v>
      </c>
      <c r="D155" s="4" t="s">
        <v>32</v>
      </c>
      <c r="E155" s="4" t="s">
        <v>1113</v>
      </c>
      <c r="F155" s="4" t="s">
        <v>1140</v>
      </c>
      <c r="G155" s="5" t="n">
        <v>47</v>
      </c>
      <c r="H155" s="5" t="s">
        <v>1121</v>
      </c>
      <c r="I155" s="4" t="s">
        <v>1340</v>
      </c>
      <c r="J155" s="4" t="s">
        <v>130</v>
      </c>
    </row>
    <row r="156" customFormat="false" ht="15" hidden="false" customHeight="false" outlineLevel="0" collapsed="false">
      <c r="A156" s="5" t="n">
        <v>39238</v>
      </c>
      <c r="B156" s="5" t="s">
        <v>64</v>
      </c>
      <c r="C156" s="5" t="s">
        <v>757</v>
      </c>
      <c r="D156" s="4" t="s">
        <v>32</v>
      </c>
      <c r="E156" s="4" t="s">
        <v>1113</v>
      </c>
      <c r="F156" s="4" t="s">
        <v>1140</v>
      </c>
      <c r="G156" s="5" t="n">
        <v>40</v>
      </c>
      <c r="H156" s="5" t="s">
        <v>1121</v>
      </c>
      <c r="I156" s="4" t="s">
        <v>1341</v>
      </c>
      <c r="J156" s="4" t="s">
        <v>130</v>
      </c>
    </row>
    <row r="157" customFormat="false" ht="15" hidden="false" customHeight="false" outlineLevel="0" collapsed="false">
      <c r="A157" s="5" t="n">
        <v>41493</v>
      </c>
      <c r="B157" s="5" t="s">
        <v>64</v>
      </c>
      <c r="C157" s="5" t="s">
        <v>1342</v>
      </c>
      <c r="D157" s="4" t="s">
        <v>26</v>
      </c>
      <c r="E157" s="4" t="s">
        <v>1113</v>
      </c>
      <c r="F157" s="4" t="s">
        <v>1140</v>
      </c>
      <c r="G157" s="5" t="n">
        <v>53</v>
      </c>
      <c r="H157" s="5" t="s">
        <v>1121</v>
      </c>
      <c r="I157" s="4" t="s">
        <v>1343</v>
      </c>
      <c r="J157" s="4" t="s">
        <v>130</v>
      </c>
    </row>
    <row r="158" customFormat="false" ht="15" hidden="false" customHeight="false" outlineLevel="0" collapsed="false">
      <c r="A158" s="5" t="n">
        <v>42229</v>
      </c>
      <c r="B158" s="5" t="s">
        <v>64</v>
      </c>
      <c r="C158" s="5" t="s">
        <v>1342</v>
      </c>
      <c r="D158" s="4" t="s">
        <v>26</v>
      </c>
      <c r="E158" s="4" t="s">
        <v>1113</v>
      </c>
      <c r="F158" s="4" t="s">
        <v>1128</v>
      </c>
      <c r="G158" s="5" t="n">
        <v>63</v>
      </c>
      <c r="H158" s="5" t="s">
        <v>1121</v>
      </c>
      <c r="I158" s="4" t="s">
        <v>1344</v>
      </c>
      <c r="J158" s="4" t="s">
        <v>130</v>
      </c>
    </row>
    <row r="159" customFormat="false" ht="15" hidden="false" customHeight="false" outlineLevel="0" collapsed="false">
      <c r="A159" s="5" t="n">
        <v>41358</v>
      </c>
      <c r="B159" s="5" t="s">
        <v>65</v>
      </c>
      <c r="C159" s="5" t="s">
        <v>505</v>
      </c>
      <c r="D159" s="4" t="s">
        <v>22</v>
      </c>
      <c r="E159" s="4" t="s">
        <v>1113</v>
      </c>
      <c r="F159" s="4" t="s">
        <v>1128</v>
      </c>
      <c r="G159" s="5" t="n">
        <v>44</v>
      </c>
      <c r="H159" s="5" t="s">
        <v>1121</v>
      </c>
      <c r="I159" s="4" t="s">
        <v>1345</v>
      </c>
      <c r="J159" s="4" t="s">
        <v>130</v>
      </c>
    </row>
    <row r="160" customFormat="false" ht="15" hidden="false" customHeight="false" outlineLevel="0" collapsed="false">
      <c r="A160" s="5" t="n">
        <v>42623</v>
      </c>
      <c r="B160" s="5" t="s">
        <v>65</v>
      </c>
      <c r="C160" s="5" t="s">
        <v>1346</v>
      </c>
      <c r="D160" s="4" t="s">
        <v>22</v>
      </c>
      <c r="E160" s="4" t="s">
        <v>1113</v>
      </c>
      <c r="F160" s="4" t="s">
        <v>1128</v>
      </c>
      <c r="G160" s="5" t="n">
        <v>29</v>
      </c>
      <c r="H160" s="5" t="s">
        <v>1118</v>
      </c>
      <c r="I160" s="4" t="s">
        <v>1347</v>
      </c>
      <c r="J160" s="4" t="s">
        <v>131</v>
      </c>
    </row>
    <row r="161" customFormat="false" ht="15" hidden="false" customHeight="false" outlineLevel="0" collapsed="false">
      <c r="A161" s="5" t="n">
        <v>42624</v>
      </c>
      <c r="B161" s="5" t="s">
        <v>65</v>
      </c>
      <c r="C161" s="5" t="s">
        <v>1348</v>
      </c>
      <c r="D161" s="4" t="s">
        <v>22</v>
      </c>
      <c r="E161" s="4" t="s">
        <v>1113</v>
      </c>
      <c r="F161" s="4" t="s">
        <v>1128</v>
      </c>
      <c r="G161" s="5" t="n">
        <v>31</v>
      </c>
      <c r="H161" s="5" t="s">
        <v>1118</v>
      </c>
      <c r="I161" s="4" t="s">
        <v>1349</v>
      </c>
      <c r="J161" s="4" t="s">
        <v>131</v>
      </c>
    </row>
    <row r="162" customFormat="false" ht="15" hidden="false" customHeight="false" outlineLevel="0" collapsed="false">
      <c r="A162" s="5" t="n">
        <v>42625</v>
      </c>
      <c r="B162" s="5" t="s">
        <v>65</v>
      </c>
      <c r="C162" s="5" t="s">
        <v>1350</v>
      </c>
      <c r="D162" s="4" t="s">
        <v>22</v>
      </c>
      <c r="E162" s="4" t="s">
        <v>1113</v>
      </c>
      <c r="F162" s="4" t="s">
        <v>1128</v>
      </c>
      <c r="G162" s="5" t="n">
        <v>57</v>
      </c>
      <c r="H162" s="5" t="s">
        <v>1121</v>
      </c>
      <c r="I162" s="4" t="s">
        <v>1351</v>
      </c>
      <c r="J162" s="4" t="s">
        <v>130</v>
      </c>
    </row>
    <row r="163" customFormat="false" ht="15" hidden="false" customHeight="false" outlineLevel="0" collapsed="false">
      <c r="A163" s="5" t="n">
        <v>42627</v>
      </c>
      <c r="B163" s="5" t="s">
        <v>65</v>
      </c>
      <c r="C163" s="5" t="s">
        <v>1352</v>
      </c>
      <c r="D163" s="4" t="s">
        <v>30</v>
      </c>
      <c r="E163" s="4" t="s">
        <v>1113</v>
      </c>
      <c r="F163" s="4" t="s">
        <v>1123</v>
      </c>
      <c r="G163" s="5" t="n">
        <v>102</v>
      </c>
      <c r="H163" s="5" t="s">
        <v>1121</v>
      </c>
      <c r="I163" s="4" t="s">
        <v>1353</v>
      </c>
      <c r="J163" s="4" t="s">
        <v>130</v>
      </c>
    </row>
    <row r="164" customFormat="false" ht="15" hidden="false" customHeight="false" outlineLevel="0" collapsed="false">
      <c r="A164" s="5" t="n">
        <v>8141</v>
      </c>
      <c r="B164" s="5" t="s">
        <v>65</v>
      </c>
      <c r="C164" s="5" t="s">
        <v>1354</v>
      </c>
      <c r="D164" s="4" t="s">
        <v>30</v>
      </c>
      <c r="E164" s="4" t="s">
        <v>1113</v>
      </c>
      <c r="F164" s="4" t="s">
        <v>1123</v>
      </c>
      <c r="G164" s="5" t="n">
        <v>70</v>
      </c>
      <c r="H164" s="5" t="s">
        <v>1121</v>
      </c>
      <c r="I164" s="4" t="s">
        <v>1355</v>
      </c>
      <c r="J164" s="4" t="s">
        <v>130</v>
      </c>
    </row>
    <row r="165" customFormat="false" ht="15" hidden="false" customHeight="false" outlineLevel="0" collapsed="false">
      <c r="A165" s="5" t="n">
        <v>39061</v>
      </c>
      <c r="B165" s="5" t="s">
        <v>65</v>
      </c>
      <c r="C165" s="5" t="s">
        <v>627</v>
      </c>
      <c r="D165" s="4" t="s">
        <v>30</v>
      </c>
      <c r="E165" s="4" t="s">
        <v>1113</v>
      </c>
      <c r="F165" s="4" t="s">
        <v>1123</v>
      </c>
      <c r="G165" s="5" t="n">
        <v>93</v>
      </c>
      <c r="H165" s="5" t="s">
        <v>1121</v>
      </c>
      <c r="I165" s="4" t="s">
        <v>1356</v>
      </c>
      <c r="J165" s="4" t="s">
        <v>130</v>
      </c>
    </row>
    <row r="166" customFormat="false" ht="15" hidden="false" customHeight="false" outlineLevel="0" collapsed="false">
      <c r="A166" s="5" t="n">
        <v>42629</v>
      </c>
      <c r="B166" s="5" t="s">
        <v>65</v>
      </c>
      <c r="C166" s="5" t="s">
        <v>1357</v>
      </c>
      <c r="D166" s="4" t="s">
        <v>30</v>
      </c>
      <c r="E166" s="4" t="s">
        <v>1113</v>
      </c>
      <c r="F166" s="4" t="s">
        <v>1123</v>
      </c>
      <c r="G166" s="5" t="n">
        <v>48</v>
      </c>
      <c r="H166" s="5" t="s">
        <v>1121</v>
      </c>
      <c r="I166" s="4" t="s">
        <v>1358</v>
      </c>
      <c r="J166" s="4" t="s">
        <v>130</v>
      </c>
    </row>
    <row r="167" customFormat="false" ht="15" hidden="false" customHeight="false" outlineLevel="0" collapsed="false">
      <c r="A167" s="5" t="n">
        <v>42634</v>
      </c>
      <c r="B167" s="5" t="s">
        <v>65</v>
      </c>
      <c r="C167" s="5" t="s">
        <v>1359</v>
      </c>
      <c r="D167" s="4" t="s">
        <v>26</v>
      </c>
      <c r="E167" s="4" t="s">
        <v>1232</v>
      </c>
      <c r="F167" s="4"/>
      <c r="G167" s="5" t="n">
        <v>0</v>
      </c>
      <c r="H167" s="5" t="s">
        <v>1115</v>
      </c>
      <c r="I167" s="4"/>
      <c r="J167" s="4" t="s">
        <v>133</v>
      </c>
    </row>
    <row r="168" customFormat="false" ht="15" hidden="false" customHeight="false" outlineLevel="0" collapsed="false">
      <c r="A168" s="5" t="n">
        <v>42634</v>
      </c>
      <c r="B168" s="5" t="s">
        <v>65</v>
      </c>
      <c r="C168" s="5" t="s">
        <v>1360</v>
      </c>
      <c r="D168" s="4" t="s">
        <v>26</v>
      </c>
      <c r="E168" s="4" t="s">
        <v>1113</v>
      </c>
      <c r="F168" s="4" t="s">
        <v>1128</v>
      </c>
      <c r="G168" s="5" t="n">
        <v>132</v>
      </c>
      <c r="H168" s="5" t="s">
        <v>1121</v>
      </c>
      <c r="I168" s="4" t="s">
        <v>1361</v>
      </c>
      <c r="J168" s="4" t="s">
        <v>130</v>
      </c>
    </row>
    <row r="169" customFormat="false" ht="15" hidden="false" customHeight="false" outlineLevel="0" collapsed="false">
      <c r="A169" s="5" t="n">
        <v>42635</v>
      </c>
      <c r="B169" s="5" t="s">
        <v>65</v>
      </c>
      <c r="C169" s="5" t="s">
        <v>1362</v>
      </c>
      <c r="D169" s="4" t="s">
        <v>26</v>
      </c>
      <c r="E169" s="4" t="s">
        <v>1113</v>
      </c>
      <c r="F169" s="4" t="s">
        <v>1114</v>
      </c>
      <c r="G169" s="5" t="n">
        <v>144</v>
      </c>
      <c r="H169" s="5" t="s">
        <v>1121</v>
      </c>
      <c r="I169" s="4" t="s">
        <v>1363</v>
      </c>
      <c r="J169" s="4" t="s">
        <v>130</v>
      </c>
    </row>
    <row r="170" customFormat="false" ht="15" hidden="false" customHeight="false" outlineLevel="0" collapsed="false">
      <c r="A170" s="5" t="n">
        <v>42635</v>
      </c>
      <c r="B170" s="5" t="s">
        <v>65</v>
      </c>
      <c r="C170" s="5" t="s">
        <v>1364</v>
      </c>
      <c r="D170" s="4" t="s">
        <v>26</v>
      </c>
      <c r="E170" s="4" t="s">
        <v>1232</v>
      </c>
      <c r="F170" s="4"/>
      <c r="G170" s="5" t="n">
        <v>0</v>
      </c>
      <c r="H170" s="5" t="s">
        <v>1115</v>
      </c>
      <c r="I170" s="4"/>
      <c r="J170" s="4" t="s">
        <v>133</v>
      </c>
    </row>
    <row r="171" customFormat="false" ht="15" hidden="false" customHeight="false" outlineLevel="0" collapsed="false">
      <c r="A171" s="5" t="n">
        <v>42636</v>
      </c>
      <c r="B171" s="5" t="s">
        <v>65</v>
      </c>
      <c r="C171" s="5" t="s">
        <v>1365</v>
      </c>
      <c r="D171" s="4" t="s">
        <v>26</v>
      </c>
      <c r="E171" s="4" t="s">
        <v>1232</v>
      </c>
      <c r="F171" s="4"/>
      <c r="G171" s="5" t="n">
        <v>0</v>
      </c>
      <c r="H171" s="5" t="s">
        <v>1115</v>
      </c>
      <c r="I171" s="4"/>
      <c r="J171" s="4" t="s">
        <v>133</v>
      </c>
    </row>
    <row r="172" customFormat="false" ht="15" hidden="false" customHeight="false" outlineLevel="0" collapsed="false">
      <c r="A172" s="5" t="n">
        <v>42636</v>
      </c>
      <c r="B172" s="5" t="s">
        <v>65</v>
      </c>
      <c r="C172" s="5" t="s">
        <v>1273</v>
      </c>
      <c r="D172" s="4" t="s">
        <v>26</v>
      </c>
      <c r="E172" s="4" t="s">
        <v>1113</v>
      </c>
      <c r="F172" s="4" t="s">
        <v>1123</v>
      </c>
      <c r="G172" s="5" t="n">
        <v>61</v>
      </c>
      <c r="H172" s="5" t="s">
        <v>1121</v>
      </c>
      <c r="I172" s="4" t="s">
        <v>1366</v>
      </c>
      <c r="J172" s="4" t="s">
        <v>130</v>
      </c>
    </row>
    <row r="173" customFormat="false" ht="15" hidden="false" customHeight="false" outlineLevel="0" collapsed="false">
      <c r="A173" s="5" t="n">
        <v>42637</v>
      </c>
      <c r="B173" s="5" t="s">
        <v>65</v>
      </c>
      <c r="C173" s="5" t="s">
        <v>544</v>
      </c>
      <c r="D173" s="4" t="s">
        <v>26</v>
      </c>
      <c r="E173" s="4" t="s">
        <v>1232</v>
      </c>
      <c r="F173" s="4"/>
      <c r="G173" s="5" t="n">
        <v>0</v>
      </c>
      <c r="H173" s="5" t="s">
        <v>1115</v>
      </c>
      <c r="I173" s="4"/>
      <c r="J173" s="4" t="s">
        <v>133</v>
      </c>
    </row>
    <row r="174" customFormat="false" ht="15" hidden="false" customHeight="false" outlineLevel="0" collapsed="false">
      <c r="A174" s="5" t="n">
        <v>42637</v>
      </c>
      <c r="B174" s="5" t="s">
        <v>65</v>
      </c>
      <c r="C174" s="5" t="s">
        <v>673</v>
      </c>
      <c r="D174" s="4" t="s">
        <v>26</v>
      </c>
      <c r="E174" s="4" t="s">
        <v>1113</v>
      </c>
      <c r="F174" s="4" t="s">
        <v>1114</v>
      </c>
      <c r="G174" s="5" t="n">
        <v>164</v>
      </c>
      <c r="H174" s="5" t="s">
        <v>1121</v>
      </c>
      <c r="I174" s="4" t="s">
        <v>1367</v>
      </c>
      <c r="J174" s="4" t="s">
        <v>130</v>
      </c>
    </row>
    <row r="175" customFormat="false" ht="15" hidden="false" customHeight="false" outlineLevel="0" collapsed="false">
      <c r="A175" s="5" t="n">
        <v>42638</v>
      </c>
      <c r="B175" s="5" t="s">
        <v>65</v>
      </c>
      <c r="C175" s="5" t="s">
        <v>1368</v>
      </c>
      <c r="D175" s="4" t="s">
        <v>18</v>
      </c>
      <c r="E175" s="4" t="s">
        <v>1113</v>
      </c>
      <c r="F175" s="4" t="s">
        <v>1114</v>
      </c>
      <c r="G175" s="5" t="n">
        <v>55</v>
      </c>
      <c r="H175" s="5" t="s">
        <v>1121</v>
      </c>
      <c r="I175" s="4" t="s">
        <v>1369</v>
      </c>
      <c r="J175" s="4" t="s">
        <v>130</v>
      </c>
    </row>
    <row r="176" customFormat="false" ht="15" hidden="false" customHeight="false" outlineLevel="0" collapsed="false">
      <c r="A176" s="5" t="n">
        <v>38839</v>
      </c>
      <c r="B176" s="5" t="s">
        <v>65</v>
      </c>
      <c r="C176" s="5" t="s">
        <v>1215</v>
      </c>
      <c r="D176" s="4" t="s">
        <v>18</v>
      </c>
      <c r="E176" s="4" t="s">
        <v>1113</v>
      </c>
      <c r="F176" s="4" t="s">
        <v>1114</v>
      </c>
      <c r="G176" s="5" t="n">
        <v>117</v>
      </c>
      <c r="H176" s="5" t="s">
        <v>1121</v>
      </c>
      <c r="I176" s="4" t="s">
        <v>1370</v>
      </c>
      <c r="J176" s="4" t="s">
        <v>130</v>
      </c>
    </row>
    <row r="177" customFormat="false" ht="15" hidden="false" customHeight="false" outlineLevel="0" collapsed="false">
      <c r="A177" s="5" t="n">
        <v>38839</v>
      </c>
      <c r="B177" s="5" t="s">
        <v>65</v>
      </c>
      <c r="C177" s="5" t="s">
        <v>1215</v>
      </c>
      <c r="D177" s="4" t="s">
        <v>18</v>
      </c>
      <c r="E177" s="4" t="s">
        <v>1232</v>
      </c>
      <c r="F177" s="4"/>
      <c r="G177" s="5" t="n">
        <v>0</v>
      </c>
      <c r="H177" s="5" t="s">
        <v>1115</v>
      </c>
      <c r="I177" s="4"/>
      <c r="J177" s="4" t="s">
        <v>133</v>
      </c>
    </row>
    <row r="178" customFormat="false" ht="15" hidden="false" customHeight="false" outlineLevel="0" collapsed="false">
      <c r="A178" s="5" t="n">
        <v>42641</v>
      </c>
      <c r="B178" s="5" t="s">
        <v>65</v>
      </c>
      <c r="C178" s="5" t="s">
        <v>340</v>
      </c>
      <c r="D178" s="4" t="s">
        <v>28</v>
      </c>
      <c r="E178" s="4" t="s">
        <v>1113</v>
      </c>
      <c r="F178" s="4" t="s">
        <v>1114</v>
      </c>
      <c r="G178" s="5" t="n">
        <v>78</v>
      </c>
      <c r="H178" s="5" t="s">
        <v>1121</v>
      </c>
      <c r="I178" s="4" t="s">
        <v>1371</v>
      </c>
      <c r="J178" s="4" t="s">
        <v>130</v>
      </c>
    </row>
    <row r="179" customFormat="false" ht="15" hidden="false" customHeight="false" outlineLevel="0" collapsed="false">
      <c r="A179" s="5" t="n">
        <v>42642</v>
      </c>
      <c r="B179" s="5" t="s">
        <v>65</v>
      </c>
      <c r="C179" s="5" t="s">
        <v>344</v>
      </c>
      <c r="D179" s="4" t="s">
        <v>28</v>
      </c>
      <c r="E179" s="4" t="s">
        <v>1113</v>
      </c>
      <c r="F179" s="4" t="s">
        <v>1114</v>
      </c>
      <c r="G179" s="5" t="n">
        <v>48</v>
      </c>
      <c r="H179" s="5" t="s">
        <v>1121</v>
      </c>
      <c r="I179" s="4" t="s">
        <v>1372</v>
      </c>
      <c r="J179" s="4" t="s">
        <v>130</v>
      </c>
    </row>
    <row r="180" customFormat="false" ht="15" hidden="false" customHeight="false" outlineLevel="0" collapsed="false">
      <c r="A180" s="5" t="n">
        <v>42643</v>
      </c>
      <c r="B180" s="5" t="s">
        <v>65</v>
      </c>
      <c r="C180" s="5" t="s">
        <v>468</v>
      </c>
      <c r="D180" s="4" t="s">
        <v>28</v>
      </c>
      <c r="E180" s="4" t="s">
        <v>1113</v>
      </c>
      <c r="F180" s="4" t="s">
        <v>1114</v>
      </c>
      <c r="G180" s="5" t="n">
        <v>34</v>
      </c>
      <c r="H180" s="5" t="s">
        <v>1118</v>
      </c>
      <c r="I180" s="4" t="s">
        <v>1373</v>
      </c>
      <c r="J180" s="4" t="s">
        <v>131</v>
      </c>
    </row>
    <row r="181" customFormat="false" ht="15" hidden="false" customHeight="false" outlineLevel="0" collapsed="false">
      <c r="A181" s="5" t="n">
        <v>42644</v>
      </c>
      <c r="B181" s="5" t="s">
        <v>65</v>
      </c>
      <c r="C181" s="5" t="s">
        <v>166</v>
      </c>
      <c r="D181" s="4" t="s">
        <v>28</v>
      </c>
      <c r="E181" s="4" t="s">
        <v>1113</v>
      </c>
      <c r="F181" s="4" t="s">
        <v>1114</v>
      </c>
      <c r="G181" s="5" t="n">
        <v>73</v>
      </c>
      <c r="H181" s="5" t="s">
        <v>1121</v>
      </c>
      <c r="I181" s="4" t="s">
        <v>1374</v>
      </c>
      <c r="J181" s="4" t="s">
        <v>130</v>
      </c>
    </row>
    <row r="182" customFormat="false" ht="15" hidden="false" customHeight="false" outlineLevel="0" collapsed="false">
      <c r="A182" s="5" t="n">
        <v>42645</v>
      </c>
      <c r="B182" s="5" t="s">
        <v>65</v>
      </c>
      <c r="C182" s="5" t="s">
        <v>557</v>
      </c>
      <c r="D182" s="4" t="s">
        <v>28</v>
      </c>
      <c r="E182" s="4" t="s">
        <v>1113</v>
      </c>
      <c r="F182" s="4" t="s">
        <v>1114</v>
      </c>
      <c r="G182" s="5" t="n">
        <v>34</v>
      </c>
      <c r="H182" s="5" t="s">
        <v>1118</v>
      </c>
      <c r="I182" s="4" t="s">
        <v>1375</v>
      </c>
      <c r="J182" s="4" t="s">
        <v>131</v>
      </c>
    </row>
    <row r="183" customFormat="false" ht="15" hidden="false" customHeight="false" outlineLevel="0" collapsed="false">
      <c r="A183" s="5" t="n">
        <v>41700</v>
      </c>
      <c r="B183" s="5" t="s">
        <v>65</v>
      </c>
      <c r="C183" s="5" t="s">
        <v>1376</v>
      </c>
      <c r="D183" s="4" t="s">
        <v>24</v>
      </c>
      <c r="E183" s="4" t="s">
        <v>1113</v>
      </c>
      <c r="F183" s="4" t="s">
        <v>1128</v>
      </c>
      <c r="G183" s="5" t="n">
        <v>85</v>
      </c>
      <c r="H183" s="5" t="s">
        <v>1121</v>
      </c>
      <c r="I183" s="4" t="s">
        <v>1377</v>
      </c>
      <c r="J183" s="4" t="s">
        <v>130</v>
      </c>
    </row>
    <row r="184" customFormat="false" ht="15" hidden="false" customHeight="false" outlineLevel="0" collapsed="false">
      <c r="A184" s="5" t="n">
        <v>40781</v>
      </c>
      <c r="B184" s="5" t="s">
        <v>66</v>
      </c>
      <c r="C184" s="5" t="s">
        <v>1378</v>
      </c>
      <c r="D184" s="4" t="s">
        <v>22</v>
      </c>
      <c r="E184" s="4" t="s">
        <v>1113</v>
      </c>
      <c r="F184" s="4" t="s">
        <v>1128</v>
      </c>
      <c r="G184" s="5" t="n">
        <v>50</v>
      </c>
      <c r="H184" s="5" t="s">
        <v>1121</v>
      </c>
      <c r="I184" s="4" t="s">
        <v>1379</v>
      </c>
      <c r="J184" s="4" t="s">
        <v>130</v>
      </c>
    </row>
    <row r="185" customFormat="false" ht="15" hidden="false" customHeight="false" outlineLevel="0" collapsed="false">
      <c r="A185" s="5" t="n">
        <v>40804</v>
      </c>
      <c r="B185" s="5" t="s">
        <v>66</v>
      </c>
      <c r="C185" s="5" t="s">
        <v>1380</v>
      </c>
      <c r="D185" s="4" t="s">
        <v>22</v>
      </c>
      <c r="E185" s="4" t="s">
        <v>1113</v>
      </c>
      <c r="F185" s="4" t="s">
        <v>1128</v>
      </c>
      <c r="G185" s="5" t="n">
        <v>21</v>
      </c>
      <c r="H185" s="5" t="s">
        <v>1118</v>
      </c>
      <c r="I185" s="4" t="s">
        <v>1381</v>
      </c>
      <c r="J185" s="4" t="s">
        <v>131</v>
      </c>
    </row>
    <row r="186" customFormat="false" ht="15" hidden="false" customHeight="false" outlineLevel="0" collapsed="false">
      <c r="A186" s="5" t="n">
        <v>42655</v>
      </c>
      <c r="B186" s="5" t="s">
        <v>66</v>
      </c>
      <c r="C186" s="5" t="s">
        <v>1382</v>
      </c>
      <c r="D186" s="4" t="s">
        <v>22</v>
      </c>
      <c r="E186" s="4" t="s">
        <v>1113</v>
      </c>
      <c r="F186" s="4" t="s">
        <v>1128</v>
      </c>
      <c r="G186" s="5" t="n">
        <v>87</v>
      </c>
      <c r="H186" s="5" t="s">
        <v>1121</v>
      </c>
      <c r="I186" s="4" t="s">
        <v>1383</v>
      </c>
      <c r="J186" s="4" t="s">
        <v>130</v>
      </c>
    </row>
    <row r="187" customFormat="false" ht="15" hidden="false" customHeight="false" outlineLevel="0" collapsed="false">
      <c r="A187" s="5" t="n">
        <v>41952</v>
      </c>
      <c r="B187" s="5" t="s">
        <v>66</v>
      </c>
      <c r="C187" s="5" t="s">
        <v>937</v>
      </c>
      <c r="D187" s="4" t="s">
        <v>30</v>
      </c>
      <c r="E187" s="4" t="s">
        <v>1113</v>
      </c>
      <c r="F187" s="4" t="s">
        <v>1123</v>
      </c>
      <c r="G187" s="5" t="n">
        <v>61</v>
      </c>
      <c r="H187" s="5" t="s">
        <v>1121</v>
      </c>
      <c r="I187" s="4" t="s">
        <v>1384</v>
      </c>
      <c r="J187" s="4" t="s">
        <v>130</v>
      </c>
    </row>
    <row r="188" customFormat="false" ht="15" hidden="false" customHeight="false" outlineLevel="0" collapsed="false">
      <c r="A188" s="5" t="n">
        <v>41700</v>
      </c>
      <c r="B188" s="5" t="s">
        <v>66</v>
      </c>
      <c r="C188" s="5" t="s">
        <v>1385</v>
      </c>
      <c r="D188" s="4" t="s">
        <v>24</v>
      </c>
      <c r="E188" s="4" t="s">
        <v>1113</v>
      </c>
      <c r="F188" s="4" t="s">
        <v>1128</v>
      </c>
      <c r="G188" s="5" t="n">
        <v>67</v>
      </c>
      <c r="H188" s="5" t="s">
        <v>1121</v>
      </c>
      <c r="I188" s="4" t="s">
        <v>1386</v>
      </c>
      <c r="J188" s="4" t="s">
        <v>130</v>
      </c>
    </row>
    <row r="189" customFormat="false" ht="15" hidden="false" customHeight="false" outlineLevel="0" collapsed="false">
      <c r="A189" s="5" t="n">
        <v>41307</v>
      </c>
      <c r="B189" s="5" t="s">
        <v>66</v>
      </c>
      <c r="C189" s="5" t="s">
        <v>436</v>
      </c>
      <c r="D189" s="4" t="s">
        <v>30</v>
      </c>
      <c r="E189" s="4" t="s">
        <v>1113</v>
      </c>
      <c r="F189" s="4" t="s">
        <v>1123</v>
      </c>
      <c r="G189" s="5" t="n">
        <v>91</v>
      </c>
      <c r="H189" s="5" t="s">
        <v>1121</v>
      </c>
      <c r="I189" s="4" t="s">
        <v>1387</v>
      </c>
      <c r="J189" s="4" t="s">
        <v>130</v>
      </c>
    </row>
    <row r="190" customFormat="false" ht="15" hidden="false" customHeight="false" outlineLevel="0" collapsed="false">
      <c r="A190" s="5" t="n">
        <v>42658</v>
      </c>
      <c r="B190" s="5" t="s">
        <v>66</v>
      </c>
      <c r="C190" s="5" t="s">
        <v>991</v>
      </c>
      <c r="D190" s="4" t="s">
        <v>22</v>
      </c>
      <c r="E190" s="4" t="s">
        <v>1113</v>
      </c>
      <c r="F190" s="4" t="s">
        <v>1128</v>
      </c>
      <c r="G190" s="5" t="n">
        <v>45</v>
      </c>
      <c r="H190" s="5" t="s">
        <v>1121</v>
      </c>
      <c r="I190" s="4" t="s">
        <v>1388</v>
      </c>
      <c r="J190" s="4" t="s">
        <v>130</v>
      </c>
    </row>
    <row r="191" customFormat="false" ht="15" hidden="false" customHeight="false" outlineLevel="0" collapsed="false">
      <c r="A191" s="5" t="n">
        <v>42659</v>
      </c>
      <c r="B191" s="5" t="s">
        <v>66</v>
      </c>
      <c r="C191" s="5" t="s">
        <v>876</v>
      </c>
      <c r="D191" s="4" t="s">
        <v>30</v>
      </c>
      <c r="E191" s="4" t="s">
        <v>1113</v>
      </c>
      <c r="F191" s="4" t="s">
        <v>1123</v>
      </c>
      <c r="G191" s="5" t="n">
        <v>63</v>
      </c>
      <c r="H191" s="5" t="s">
        <v>1121</v>
      </c>
      <c r="I191" s="4" t="s">
        <v>1389</v>
      </c>
      <c r="J191" s="4" t="s">
        <v>130</v>
      </c>
    </row>
    <row r="192" customFormat="false" ht="15" hidden="false" customHeight="false" outlineLevel="0" collapsed="false">
      <c r="A192" s="5" t="n">
        <v>42660</v>
      </c>
      <c r="B192" s="5" t="s">
        <v>66</v>
      </c>
      <c r="C192" s="5" t="s">
        <v>1390</v>
      </c>
      <c r="D192" s="4" t="s">
        <v>28</v>
      </c>
      <c r="E192" s="4" t="s">
        <v>1113</v>
      </c>
      <c r="F192" s="4" t="s">
        <v>1123</v>
      </c>
      <c r="G192" s="5" t="n">
        <v>70</v>
      </c>
      <c r="H192" s="5" t="s">
        <v>1121</v>
      </c>
      <c r="I192" s="4" t="s">
        <v>1391</v>
      </c>
      <c r="J192" s="4" t="s">
        <v>130</v>
      </c>
    </row>
    <row r="193" customFormat="false" ht="15" hidden="false" customHeight="false" outlineLevel="0" collapsed="false">
      <c r="A193" s="5" t="n">
        <v>42661</v>
      </c>
      <c r="B193" s="5" t="s">
        <v>66</v>
      </c>
      <c r="C193" s="5" t="s">
        <v>179</v>
      </c>
      <c r="D193" s="4" t="s">
        <v>28</v>
      </c>
      <c r="E193" s="4" t="s">
        <v>1113</v>
      </c>
      <c r="F193" s="4" t="s">
        <v>1123</v>
      </c>
      <c r="G193" s="5" t="n">
        <v>59</v>
      </c>
      <c r="H193" s="5" t="s">
        <v>1121</v>
      </c>
      <c r="I193" s="4" t="s">
        <v>1392</v>
      </c>
      <c r="J193" s="4" t="s">
        <v>130</v>
      </c>
    </row>
    <row r="194" customFormat="false" ht="15" hidden="false" customHeight="false" outlineLevel="0" collapsed="false">
      <c r="A194" s="5" t="n">
        <v>42662</v>
      </c>
      <c r="B194" s="5" t="s">
        <v>66</v>
      </c>
      <c r="C194" s="5" t="s">
        <v>1393</v>
      </c>
      <c r="D194" s="4" t="s">
        <v>28</v>
      </c>
      <c r="E194" s="4" t="s">
        <v>1113</v>
      </c>
      <c r="F194" s="4" t="s">
        <v>1123</v>
      </c>
      <c r="G194" s="5" t="n">
        <v>52</v>
      </c>
      <c r="H194" s="5" t="s">
        <v>1121</v>
      </c>
      <c r="I194" s="4" t="s">
        <v>1394</v>
      </c>
      <c r="J194" s="4" t="s">
        <v>130</v>
      </c>
    </row>
    <row r="195" customFormat="false" ht="15" hidden="false" customHeight="false" outlineLevel="0" collapsed="false">
      <c r="A195" s="5" t="n">
        <v>42663</v>
      </c>
      <c r="B195" s="5" t="s">
        <v>66</v>
      </c>
      <c r="C195" s="5" t="s">
        <v>423</v>
      </c>
      <c r="D195" s="4" t="s">
        <v>32</v>
      </c>
      <c r="E195" s="4" t="s">
        <v>1113</v>
      </c>
      <c r="F195" s="4" t="s">
        <v>1140</v>
      </c>
      <c r="G195" s="5" t="n">
        <v>70</v>
      </c>
      <c r="H195" s="5" t="s">
        <v>1121</v>
      </c>
      <c r="I195" s="4" t="s">
        <v>1395</v>
      </c>
      <c r="J195" s="4" t="s">
        <v>130</v>
      </c>
    </row>
    <row r="196" customFormat="false" ht="15" hidden="false" customHeight="false" outlineLevel="0" collapsed="false">
      <c r="A196" s="5" t="n">
        <v>42664</v>
      </c>
      <c r="B196" s="5" t="s">
        <v>66</v>
      </c>
      <c r="C196" s="5" t="s">
        <v>1396</v>
      </c>
      <c r="D196" s="4" t="s">
        <v>28</v>
      </c>
      <c r="E196" s="4" t="s">
        <v>1113</v>
      </c>
      <c r="F196" s="4" t="s">
        <v>1114</v>
      </c>
      <c r="G196" s="5" t="n">
        <v>85</v>
      </c>
      <c r="H196" s="5" t="s">
        <v>1121</v>
      </c>
      <c r="I196" s="4" t="s">
        <v>1374</v>
      </c>
      <c r="J196" s="4" t="s">
        <v>130</v>
      </c>
    </row>
    <row r="197" customFormat="false" ht="15" hidden="false" customHeight="false" outlineLevel="0" collapsed="false">
      <c r="A197" s="5" t="n">
        <v>42665</v>
      </c>
      <c r="B197" s="5" t="s">
        <v>66</v>
      </c>
      <c r="C197" s="5" t="s">
        <v>1397</v>
      </c>
      <c r="D197" s="4" t="s">
        <v>28</v>
      </c>
      <c r="E197" s="4" t="s">
        <v>1113</v>
      </c>
      <c r="F197" s="4" t="s">
        <v>1114</v>
      </c>
      <c r="G197" s="5" t="n">
        <v>34</v>
      </c>
      <c r="H197" s="5" t="s">
        <v>1118</v>
      </c>
      <c r="I197" s="4" t="s">
        <v>1373</v>
      </c>
      <c r="J197" s="4" t="s">
        <v>131</v>
      </c>
    </row>
    <row r="198" customFormat="false" ht="15" hidden="false" customHeight="false" outlineLevel="0" collapsed="false">
      <c r="A198" s="5" t="n">
        <v>42666</v>
      </c>
      <c r="B198" s="5" t="s">
        <v>66</v>
      </c>
      <c r="C198" s="5" t="s">
        <v>1398</v>
      </c>
      <c r="D198" s="4" t="s">
        <v>28</v>
      </c>
      <c r="E198" s="4" t="s">
        <v>1113</v>
      </c>
      <c r="F198" s="4" t="s">
        <v>1114</v>
      </c>
      <c r="G198" s="5" t="n">
        <v>34</v>
      </c>
      <c r="H198" s="5" t="s">
        <v>1118</v>
      </c>
      <c r="I198" s="4" t="s">
        <v>1399</v>
      </c>
      <c r="J198" s="4" t="s">
        <v>131</v>
      </c>
    </row>
    <row r="199" customFormat="false" ht="15" hidden="false" customHeight="false" outlineLevel="0" collapsed="false">
      <c r="A199" s="5" t="n">
        <v>35890</v>
      </c>
      <c r="B199" s="5" t="s">
        <v>66</v>
      </c>
      <c r="C199" s="5" t="s">
        <v>1400</v>
      </c>
      <c r="D199" s="4" t="s">
        <v>26</v>
      </c>
      <c r="E199" s="4" t="s">
        <v>1113</v>
      </c>
      <c r="F199" s="4" t="s">
        <v>1128</v>
      </c>
      <c r="G199" s="5" t="n">
        <v>24</v>
      </c>
      <c r="H199" s="5" t="s">
        <v>1118</v>
      </c>
      <c r="I199" s="4" t="s">
        <v>1401</v>
      </c>
      <c r="J199" s="4" t="s">
        <v>131</v>
      </c>
    </row>
    <row r="200" customFormat="false" ht="23.85" hidden="false" customHeight="false" outlineLevel="0" collapsed="false">
      <c r="A200" s="5" t="n">
        <v>42635</v>
      </c>
      <c r="B200" s="5" t="s">
        <v>66</v>
      </c>
      <c r="C200" s="5" t="s">
        <v>1402</v>
      </c>
      <c r="D200" s="4" t="s">
        <v>26</v>
      </c>
      <c r="E200" s="4" t="s">
        <v>1113</v>
      </c>
      <c r="F200" s="4" t="s">
        <v>1128</v>
      </c>
      <c r="G200" s="5" t="n">
        <v>10</v>
      </c>
      <c r="H200" s="5" t="s">
        <v>1115</v>
      </c>
      <c r="I200" s="4" t="s">
        <v>1142</v>
      </c>
      <c r="J200" s="4" t="s">
        <v>132</v>
      </c>
    </row>
    <row r="201" customFormat="false" ht="15" hidden="false" customHeight="false" outlineLevel="0" collapsed="false">
      <c r="A201" s="5" t="n">
        <v>42659</v>
      </c>
      <c r="B201" s="5" t="s">
        <v>67</v>
      </c>
      <c r="C201" s="5" t="s">
        <v>1403</v>
      </c>
      <c r="D201" s="4" t="s">
        <v>30</v>
      </c>
      <c r="E201" s="4" t="s">
        <v>1113</v>
      </c>
      <c r="F201" s="4" t="s">
        <v>1114</v>
      </c>
      <c r="G201" s="5" t="n">
        <v>40</v>
      </c>
      <c r="H201" s="5" t="s">
        <v>1121</v>
      </c>
      <c r="I201" s="4" t="s">
        <v>1404</v>
      </c>
      <c r="J201" s="4" t="s">
        <v>130</v>
      </c>
    </row>
    <row r="202" customFormat="false" ht="15" hidden="false" customHeight="false" outlineLevel="0" collapsed="false">
      <c r="A202" s="5" t="n">
        <v>42684</v>
      </c>
      <c r="B202" s="5" t="s">
        <v>67</v>
      </c>
      <c r="C202" s="5" t="s">
        <v>596</v>
      </c>
      <c r="D202" s="4" t="s">
        <v>30</v>
      </c>
      <c r="E202" s="4" t="s">
        <v>1113</v>
      </c>
      <c r="F202" s="4" t="s">
        <v>1123</v>
      </c>
      <c r="G202" s="5" t="n">
        <v>49</v>
      </c>
      <c r="H202" s="5" t="s">
        <v>1121</v>
      </c>
      <c r="I202" s="4" t="s">
        <v>1405</v>
      </c>
      <c r="J202" s="4" t="s">
        <v>130</v>
      </c>
    </row>
    <row r="203" customFormat="false" ht="15" hidden="false" customHeight="false" outlineLevel="0" collapsed="false">
      <c r="A203" s="5" t="n">
        <v>42685</v>
      </c>
      <c r="B203" s="5" t="s">
        <v>67</v>
      </c>
      <c r="C203" s="5" t="s">
        <v>1406</v>
      </c>
      <c r="D203" s="4" t="s">
        <v>26</v>
      </c>
      <c r="E203" s="4" t="s">
        <v>1113</v>
      </c>
      <c r="F203" s="4" t="s">
        <v>1114</v>
      </c>
      <c r="G203" s="5" t="n">
        <v>108</v>
      </c>
      <c r="H203" s="5" t="s">
        <v>1121</v>
      </c>
      <c r="I203" s="4" t="s">
        <v>1407</v>
      </c>
      <c r="J203" s="4" t="s">
        <v>130</v>
      </c>
    </row>
    <row r="204" customFormat="false" ht="15" hidden="false" customHeight="false" outlineLevel="0" collapsed="false">
      <c r="A204" s="5" t="n">
        <v>37970</v>
      </c>
      <c r="B204" s="5" t="s">
        <v>67</v>
      </c>
      <c r="C204" s="5" t="s">
        <v>1408</v>
      </c>
      <c r="D204" s="4" t="s">
        <v>32</v>
      </c>
      <c r="E204" s="4" t="s">
        <v>1113</v>
      </c>
      <c r="F204" s="4" t="s">
        <v>1140</v>
      </c>
      <c r="G204" s="5" t="n">
        <v>91</v>
      </c>
      <c r="H204" s="5" t="s">
        <v>1121</v>
      </c>
      <c r="I204" s="4" t="s">
        <v>1409</v>
      </c>
      <c r="J204" s="4" t="s">
        <v>130</v>
      </c>
    </row>
    <row r="205" customFormat="false" ht="15" hidden="false" customHeight="false" outlineLevel="0" collapsed="false">
      <c r="A205" s="5" t="n">
        <v>42687</v>
      </c>
      <c r="B205" s="5" t="s">
        <v>67</v>
      </c>
      <c r="C205" s="5" t="s">
        <v>394</v>
      </c>
      <c r="D205" s="4" t="s">
        <v>28</v>
      </c>
      <c r="E205" s="4" t="s">
        <v>1113</v>
      </c>
      <c r="F205" s="4" t="s">
        <v>1123</v>
      </c>
      <c r="G205" s="5" t="n">
        <v>78</v>
      </c>
      <c r="H205" s="5" t="s">
        <v>1121</v>
      </c>
      <c r="I205" s="4" t="s">
        <v>1410</v>
      </c>
      <c r="J205" s="4" t="s">
        <v>130</v>
      </c>
    </row>
    <row r="206" customFormat="false" ht="15" hidden="false" customHeight="false" outlineLevel="0" collapsed="false">
      <c r="A206" s="5" t="n">
        <v>42688</v>
      </c>
      <c r="B206" s="5" t="s">
        <v>67</v>
      </c>
      <c r="C206" s="5" t="s">
        <v>1281</v>
      </c>
      <c r="D206" s="4" t="s">
        <v>28</v>
      </c>
      <c r="E206" s="4" t="s">
        <v>1113</v>
      </c>
      <c r="F206" s="4" t="s">
        <v>1123</v>
      </c>
      <c r="G206" s="5" t="n">
        <v>72</v>
      </c>
      <c r="H206" s="5" t="s">
        <v>1121</v>
      </c>
      <c r="I206" s="4" t="s">
        <v>1411</v>
      </c>
      <c r="J206" s="4" t="s">
        <v>130</v>
      </c>
    </row>
    <row r="207" customFormat="false" ht="15" hidden="false" customHeight="false" outlineLevel="0" collapsed="false">
      <c r="A207" s="5" t="n">
        <v>42689</v>
      </c>
      <c r="B207" s="5" t="s">
        <v>67</v>
      </c>
      <c r="C207" s="5" t="s">
        <v>414</v>
      </c>
      <c r="D207" s="4" t="s">
        <v>28</v>
      </c>
      <c r="E207" s="4" t="s">
        <v>1113</v>
      </c>
      <c r="F207" s="4" t="s">
        <v>1123</v>
      </c>
      <c r="G207" s="5" t="n">
        <v>131</v>
      </c>
      <c r="H207" s="5" t="s">
        <v>1121</v>
      </c>
      <c r="I207" s="4" t="s">
        <v>1412</v>
      </c>
      <c r="J207" s="4" t="s">
        <v>130</v>
      </c>
    </row>
    <row r="208" customFormat="false" ht="15" hidden="false" customHeight="false" outlineLevel="0" collapsed="false">
      <c r="A208" s="5" t="n">
        <v>42690</v>
      </c>
      <c r="B208" s="5" t="s">
        <v>67</v>
      </c>
      <c r="C208" s="5" t="s">
        <v>418</v>
      </c>
      <c r="D208" s="4" t="s">
        <v>28</v>
      </c>
      <c r="E208" s="4" t="s">
        <v>1113</v>
      </c>
      <c r="F208" s="4" t="s">
        <v>1123</v>
      </c>
      <c r="G208" s="5" t="n">
        <v>58</v>
      </c>
      <c r="H208" s="5" t="s">
        <v>1121</v>
      </c>
      <c r="I208" s="4" t="s">
        <v>1413</v>
      </c>
      <c r="J208" s="4" t="s">
        <v>130</v>
      </c>
    </row>
    <row r="209" customFormat="false" ht="15" hidden="false" customHeight="false" outlineLevel="0" collapsed="false">
      <c r="A209" s="5" t="n">
        <v>42691</v>
      </c>
      <c r="B209" s="5" t="s">
        <v>67</v>
      </c>
      <c r="C209" s="5" t="s">
        <v>1249</v>
      </c>
      <c r="D209" s="4" t="s">
        <v>28</v>
      </c>
      <c r="E209" s="4" t="s">
        <v>1113</v>
      </c>
      <c r="F209" s="4" t="s">
        <v>1123</v>
      </c>
      <c r="G209" s="5" t="n">
        <v>44</v>
      </c>
      <c r="H209" s="5" t="s">
        <v>1121</v>
      </c>
      <c r="I209" s="4" t="s">
        <v>1414</v>
      </c>
      <c r="J209" s="4" t="s">
        <v>130</v>
      </c>
    </row>
    <row r="210" customFormat="false" ht="15" hidden="false" customHeight="false" outlineLevel="0" collapsed="false">
      <c r="A210" s="5" t="n">
        <v>41223</v>
      </c>
      <c r="B210" s="5" t="s">
        <v>67</v>
      </c>
      <c r="C210" s="5" t="s">
        <v>340</v>
      </c>
      <c r="D210" s="4" t="s">
        <v>24</v>
      </c>
      <c r="E210" s="4" t="s">
        <v>1113</v>
      </c>
      <c r="F210" s="4" t="s">
        <v>1114</v>
      </c>
      <c r="G210" s="5" t="n">
        <v>84</v>
      </c>
      <c r="H210" s="5" t="s">
        <v>1121</v>
      </c>
      <c r="I210" s="4" t="s">
        <v>1415</v>
      </c>
      <c r="J210" s="4" t="s">
        <v>130</v>
      </c>
    </row>
    <row r="211" customFormat="false" ht="15" hidden="false" customHeight="false" outlineLevel="0" collapsed="false">
      <c r="A211" s="5" t="n">
        <v>39275</v>
      </c>
      <c r="B211" s="5" t="s">
        <v>67</v>
      </c>
      <c r="C211" s="5" t="s">
        <v>344</v>
      </c>
      <c r="D211" s="4" t="s">
        <v>24</v>
      </c>
      <c r="E211" s="4" t="s">
        <v>1113</v>
      </c>
      <c r="F211" s="4" t="s">
        <v>1128</v>
      </c>
      <c r="G211" s="5" t="n">
        <v>74</v>
      </c>
      <c r="H211" s="5" t="s">
        <v>1121</v>
      </c>
      <c r="I211" s="4" t="s">
        <v>1416</v>
      </c>
      <c r="J211" s="4" t="s">
        <v>130</v>
      </c>
    </row>
    <row r="212" customFormat="false" ht="15" hidden="false" customHeight="false" outlineLevel="0" collapsed="false">
      <c r="A212" s="5" t="n">
        <v>41952</v>
      </c>
      <c r="B212" s="5" t="s">
        <v>67</v>
      </c>
      <c r="C212" s="5" t="s">
        <v>1417</v>
      </c>
      <c r="D212" s="4" t="s">
        <v>30</v>
      </c>
      <c r="E212" s="4" t="s">
        <v>1113</v>
      </c>
      <c r="F212" s="4" t="s">
        <v>1123</v>
      </c>
      <c r="G212" s="5" t="n">
        <v>40</v>
      </c>
      <c r="H212" s="5" t="s">
        <v>1121</v>
      </c>
      <c r="I212" s="4" t="s">
        <v>1418</v>
      </c>
      <c r="J212" s="4" t="s">
        <v>130</v>
      </c>
    </row>
    <row r="213" customFormat="false" ht="15" hidden="false" customHeight="false" outlineLevel="0" collapsed="false">
      <c r="A213" s="5" t="n">
        <v>42457</v>
      </c>
      <c r="B213" s="5" t="s">
        <v>67</v>
      </c>
      <c r="C213" s="5" t="s">
        <v>1258</v>
      </c>
      <c r="D213" s="4" t="s">
        <v>22</v>
      </c>
      <c r="E213" s="4" t="s">
        <v>1113</v>
      </c>
      <c r="F213" s="4" t="s">
        <v>1128</v>
      </c>
      <c r="G213" s="5" t="n">
        <v>74</v>
      </c>
      <c r="H213" s="5" t="s">
        <v>1121</v>
      </c>
      <c r="I213" s="4" t="s">
        <v>1419</v>
      </c>
      <c r="J213" s="4" t="s">
        <v>130</v>
      </c>
    </row>
    <row r="214" customFormat="false" ht="15" hidden="false" customHeight="false" outlineLevel="0" collapsed="false">
      <c r="A214" s="5" t="n">
        <v>42699</v>
      </c>
      <c r="B214" s="5" t="s">
        <v>68</v>
      </c>
      <c r="C214" s="5" t="s">
        <v>1420</v>
      </c>
      <c r="D214" s="4" t="s">
        <v>22</v>
      </c>
      <c r="E214" s="4" t="s">
        <v>1113</v>
      </c>
      <c r="F214" s="4" t="s">
        <v>1128</v>
      </c>
      <c r="G214" s="5" t="n">
        <v>37</v>
      </c>
      <c r="H214" s="5" t="s">
        <v>1118</v>
      </c>
      <c r="I214" s="4" t="s">
        <v>1421</v>
      </c>
      <c r="J214" s="4" t="s">
        <v>131</v>
      </c>
    </row>
    <row r="215" customFormat="false" ht="23.85" hidden="false" customHeight="false" outlineLevel="0" collapsed="false">
      <c r="A215" s="5" t="n">
        <v>35173</v>
      </c>
      <c r="B215" s="5" t="s">
        <v>68</v>
      </c>
      <c r="C215" s="5" t="s">
        <v>1422</v>
      </c>
      <c r="D215" s="4" t="s">
        <v>30</v>
      </c>
      <c r="E215" s="4" t="s">
        <v>1113</v>
      </c>
      <c r="F215" s="4" t="s">
        <v>1114</v>
      </c>
      <c r="G215" s="5" t="n">
        <v>14</v>
      </c>
      <c r="H215" s="5" t="s">
        <v>1115</v>
      </c>
      <c r="I215" s="4" t="s">
        <v>1191</v>
      </c>
      <c r="J215" s="4" t="s">
        <v>132</v>
      </c>
    </row>
    <row r="216" customFormat="false" ht="15" hidden="false" customHeight="false" outlineLevel="0" collapsed="false">
      <c r="A216" s="5" t="n">
        <v>40529</v>
      </c>
      <c r="B216" s="5" t="s">
        <v>68</v>
      </c>
      <c r="C216" s="5" t="s">
        <v>624</v>
      </c>
      <c r="D216" s="4" t="s">
        <v>18</v>
      </c>
      <c r="E216" s="4" t="s">
        <v>1113</v>
      </c>
      <c r="F216" s="4" t="s">
        <v>1114</v>
      </c>
      <c r="G216" s="5" t="n">
        <v>94</v>
      </c>
      <c r="H216" s="5" t="s">
        <v>1121</v>
      </c>
      <c r="I216" s="4" t="s">
        <v>1423</v>
      </c>
      <c r="J216" s="4" t="s">
        <v>130</v>
      </c>
    </row>
    <row r="217" customFormat="false" ht="15" hidden="false" customHeight="false" outlineLevel="0" collapsed="false">
      <c r="A217" s="5" t="n">
        <v>42707</v>
      </c>
      <c r="B217" s="5" t="s">
        <v>68</v>
      </c>
      <c r="C217" s="5" t="s">
        <v>1424</v>
      </c>
      <c r="D217" s="4" t="s">
        <v>18</v>
      </c>
      <c r="E217" s="4" t="s">
        <v>1113</v>
      </c>
      <c r="F217" s="4" t="s">
        <v>1114</v>
      </c>
      <c r="G217" s="5" t="n">
        <v>60</v>
      </c>
      <c r="H217" s="5" t="s">
        <v>1121</v>
      </c>
      <c r="I217" s="4" t="s">
        <v>1425</v>
      </c>
      <c r="J217" s="4" t="s">
        <v>130</v>
      </c>
    </row>
    <row r="218" customFormat="false" ht="15" hidden="false" customHeight="false" outlineLevel="0" collapsed="false">
      <c r="A218" s="5" t="n">
        <v>41700</v>
      </c>
      <c r="B218" s="5" t="s">
        <v>70</v>
      </c>
      <c r="C218" s="5" t="s">
        <v>1426</v>
      </c>
      <c r="D218" s="4" t="s">
        <v>24</v>
      </c>
      <c r="E218" s="4" t="s">
        <v>1113</v>
      </c>
      <c r="F218" s="4" t="s">
        <v>1128</v>
      </c>
      <c r="G218" s="5" t="n">
        <v>91</v>
      </c>
      <c r="H218" s="5" t="s">
        <v>1121</v>
      </c>
      <c r="I218" s="4" t="s">
        <v>1427</v>
      </c>
      <c r="J218" s="4" t="s">
        <v>130</v>
      </c>
    </row>
    <row r="219" customFormat="false" ht="15" hidden="false" customHeight="false" outlineLevel="0" collapsed="false">
      <c r="A219" s="5" t="n">
        <v>42636</v>
      </c>
      <c r="B219" s="5" t="s">
        <v>70</v>
      </c>
      <c r="C219" s="5" t="s">
        <v>1428</v>
      </c>
      <c r="D219" s="4" t="s">
        <v>26</v>
      </c>
      <c r="E219" s="4" t="s">
        <v>1113</v>
      </c>
      <c r="F219" s="4" t="s">
        <v>1140</v>
      </c>
      <c r="G219" s="5" t="n">
        <v>79</v>
      </c>
      <c r="H219" s="5" t="s">
        <v>1121</v>
      </c>
      <c r="I219" s="4" t="s">
        <v>1429</v>
      </c>
      <c r="J219" s="4" t="s">
        <v>130</v>
      </c>
    </row>
    <row r="220" customFormat="false" ht="15" hidden="false" customHeight="false" outlineLevel="0" collapsed="false">
      <c r="A220" s="5" t="n">
        <v>42712</v>
      </c>
      <c r="B220" s="5" t="s">
        <v>70</v>
      </c>
      <c r="C220" s="5" t="s">
        <v>1428</v>
      </c>
      <c r="D220" s="4" t="s">
        <v>22</v>
      </c>
      <c r="E220" s="4" t="s">
        <v>1113</v>
      </c>
      <c r="F220" s="4" t="s">
        <v>1128</v>
      </c>
      <c r="G220" s="5" t="n">
        <v>77</v>
      </c>
      <c r="H220" s="5" t="s">
        <v>1121</v>
      </c>
      <c r="I220" s="4" t="s">
        <v>1430</v>
      </c>
      <c r="J220" s="4" t="s">
        <v>130</v>
      </c>
    </row>
    <row r="221" customFormat="false" ht="15" hidden="false" customHeight="false" outlineLevel="0" collapsed="false">
      <c r="A221" s="5" t="n">
        <v>41695</v>
      </c>
      <c r="B221" s="5" t="s">
        <v>70</v>
      </c>
      <c r="C221" s="5" t="s">
        <v>1431</v>
      </c>
      <c r="D221" s="4" t="s">
        <v>26</v>
      </c>
      <c r="E221" s="4" t="s">
        <v>1113</v>
      </c>
      <c r="F221" s="4" t="s">
        <v>1128</v>
      </c>
      <c r="G221" s="5" t="n">
        <v>96</v>
      </c>
      <c r="H221" s="5" t="s">
        <v>1121</v>
      </c>
      <c r="I221" s="4" t="s">
        <v>1432</v>
      </c>
      <c r="J221" s="4" t="s">
        <v>130</v>
      </c>
    </row>
    <row r="222" customFormat="false" ht="15" hidden="false" customHeight="false" outlineLevel="0" collapsed="false">
      <c r="A222" s="5" t="n">
        <v>41636</v>
      </c>
      <c r="B222" s="5" t="s">
        <v>70</v>
      </c>
      <c r="C222" s="5" t="s">
        <v>1433</v>
      </c>
      <c r="D222" s="4" t="s">
        <v>26</v>
      </c>
      <c r="E222" s="4" t="s">
        <v>1113</v>
      </c>
      <c r="F222" s="4" t="s">
        <v>1140</v>
      </c>
      <c r="G222" s="5" t="n">
        <v>74</v>
      </c>
      <c r="H222" s="5" t="s">
        <v>1121</v>
      </c>
      <c r="I222" s="4" t="s">
        <v>1434</v>
      </c>
      <c r="J222" s="4" t="s">
        <v>130</v>
      </c>
    </row>
    <row r="223" customFormat="false" ht="15" hidden="false" customHeight="false" outlineLevel="0" collapsed="false">
      <c r="A223" s="5" t="n">
        <v>42685</v>
      </c>
      <c r="B223" s="5" t="s">
        <v>70</v>
      </c>
      <c r="C223" s="5" t="s">
        <v>1433</v>
      </c>
      <c r="D223" s="4" t="s">
        <v>26</v>
      </c>
      <c r="E223" s="4" t="s">
        <v>1113</v>
      </c>
      <c r="F223" s="4" t="s">
        <v>1128</v>
      </c>
      <c r="G223" s="5" t="n">
        <v>93</v>
      </c>
      <c r="H223" s="5" t="s">
        <v>1121</v>
      </c>
      <c r="I223" s="4" t="s">
        <v>1435</v>
      </c>
      <c r="J223" s="4" t="s">
        <v>130</v>
      </c>
    </row>
    <row r="224" customFormat="false" ht="15" hidden="false" customHeight="false" outlineLevel="0" collapsed="false">
      <c r="A224" s="5" t="n">
        <v>42329</v>
      </c>
      <c r="B224" s="5" t="s">
        <v>70</v>
      </c>
      <c r="C224" s="5" t="s">
        <v>1436</v>
      </c>
      <c r="D224" s="4" t="s">
        <v>26</v>
      </c>
      <c r="E224" s="4" t="s">
        <v>1113</v>
      </c>
      <c r="F224" s="4" t="s">
        <v>1128</v>
      </c>
      <c r="G224" s="5" t="n">
        <v>80</v>
      </c>
      <c r="H224" s="5" t="s">
        <v>1121</v>
      </c>
      <c r="I224" s="4" t="s">
        <v>1437</v>
      </c>
      <c r="J224" s="4" t="s">
        <v>130</v>
      </c>
    </row>
    <row r="225" customFormat="false" ht="15" hidden="false" customHeight="false" outlineLevel="0" collapsed="false">
      <c r="A225" s="5" t="n">
        <v>36421</v>
      </c>
      <c r="B225" s="5" t="s">
        <v>70</v>
      </c>
      <c r="C225" s="5" t="s">
        <v>1438</v>
      </c>
      <c r="D225" s="4" t="s">
        <v>26</v>
      </c>
      <c r="E225" s="4" t="s">
        <v>1113</v>
      </c>
      <c r="F225" s="4" t="s">
        <v>1140</v>
      </c>
      <c r="G225" s="5" t="n">
        <v>115</v>
      </c>
      <c r="H225" s="5" t="s">
        <v>1121</v>
      </c>
      <c r="I225" s="4" t="s">
        <v>1439</v>
      </c>
      <c r="J225" s="4" t="s">
        <v>130</v>
      </c>
    </row>
    <row r="226" customFormat="false" ht="15" hidden="false" customHeight="false" outlineLevel="0" collapsed="false">
      <c r="A226" s="5" t="n">
        <v>42634</v>
      </c>
      <c r="B226" s="5" t="s">
        <v>70</v>
      </c>
      <c r="C226" s="5" t="s">
        <v>1440</v>
      </c>
      <c r="D226" s="4" t="s">
        <v>26</v>
      </c>
      <c r="E226" s="4" t="s">
        <v>1113</v>
      </c>
      <c r="F226" s="4" t="s">
        <v>1128</v>
      </c>
      <c r="G226" s="5" t="n">
        <v>133</v>
      </c>
      <c r="H226" s="5" t="s">
        <v>1121</v>
      </c>
      <c r="I226" s="4" t="s">
        <v>1441</v>
      </c>
      <c r="J226" s="4" t="s">
        <v>130</v>
      </c>
    </row>
    <row r="227" customFormat="false" ht="15" hidden="false" customHeight="false" outlineLevel="0" collapsed="false">
      <c r="A227" s="5" t="n">
        <v>42635</v>
      </c>
      <c r="B227" s="5" t="s">
        <v>70</v>
      </c>
      <c r="C227" s="5" t="s">
        <v>1442</v>
      </c>
      <c r="D227" s="4" t="s">
        <v>26</v>
      </c>
      <c r="E227" s="4" t="s">
        <v>1113</v>
      </c>
      <c r="F227" s="4" t="s">
        <v>1128</v>
      </c>
      <c r="G227" s="5" t="n">
        <v>150</v>
      </c>
      <c r="H227" s="5" t="s">
        <v>1121</v>
      </c>
      <c r="I227" s="4" t="s">
        <v>1443</v>
      </c>
      <c r="J227" s="4" t="s">
        <v>130</v>
      </c>
    </row>
    <row r="228" customFormat="false" ht="15" hidden="false" customHeight="false" outlineLevel="0" collapsed="false">
      <c r="A228" s="5" t="n">
        <v>41493</v>
      </c>
      <c r="B228" s="5" t="s">
        <v>70</v>
      </c>
      <c r="C228" s="5" t="s">
        <v>1444</v>
      </c>
      <c r="D228" s="4" t="s">
        <v>26</v>
      </c>
      <c r="E228" s="4" t="s">
        <v>1113</v>
      </c>
      <c r="F228" s="4" t="s">
        <v>1128</v>
      </c>
      <c r="G228" s="5" t="n">
        <v>82</v>
      </c>
      <c r="H228" s="5" t="s">
        <v>1121</v>
      </c>
      <c r="I228" s="4" t="s">
        <v>1445</v>
      </c>
      <c r="J228" s="4" t="s">
        <v>130</v>
      </c>
    </row>
    <row r="229" customFormat="false" ht="15" hidden="false" customHeight="false" outlineLevel="0" collapsed="false">
      <c r="A229" s="5" t="n">
        <v>41905</v>
      </c>
      <c r="B229" s="5" t="s">
        <v>70</v>
      </c>
      <c r="C229" s="5" t="s">
        <v>1446</v>
      </c>
      <c r="D229" s="4" t="s">
        <v>26</v>
      </c>
      <c r="E229" s="4" t="s">
        <v>1113</v>
      </c>
      <c r="F229" s="4" t="s">
        <v>1128</v>
      </c>
      <c r="G229" s="5" t="n">
        <v>63</v>
      </c>
      <c r="H229" s="5" t="s">
        <v>1121</v>
      </c>
      <c r="I229" s="4" t="s">
        <v>1447</v>
      </c>
      <c r="J229" s="4" t="s">
        <v>130</v>
      </c>
    </row>
    <row r="230" customFormat="false" ht="15" hidden="false" customHeight="false" outlineLevel="0" collapsed="false">
      <c r="A230" s="5" t="n">
        <v>42235</v>
      </c>
      <c r="B230" s="5" t="s">
        <v>70</v>
      </c>
      <c r="C230" s="5" t="s">
        <v>1448</v>
      </c>
      <c r="D230" s="4" t="s">
        <v>26</v>
      </c>
      <c r="E230" s="4" t="s">
        <v>1113</v>
      </c>
      <c r="F230" s="4" t="s">
        <v>1128</v>
      </c>
      <c r="G230" s="5" t="n">
        <v>127</v>
      </c>
      <c r="H230" s="5" t="s">
        <v>1121</v>
      </c>
      <c r="I230" s="4" t="s">
        <v>1449</v>
      </c>
      <c r="J230" s="4" t="s">
        <v>130</v>
      </c>
    </row>
    <row r="231" customFormat="false" ht="15" hidden="false" customHeight="false" outlineLevel="0" collapsed="false">
      <c r="A231" s="5" t="n">
        <v>41271</v>
      </c>
      <c r="B231" s="5" t="s">
        <v>70</v>
      </c>
      <c r="C231" s="5" t="s">
        <v>1450</v>
      </c>
      <c r="D231" s="4" t="s">
        <v>26</v>
      </c>
      <c r="E231" s="4" t="s">
        <v>1113</v>
      </c>
      <c r="F231" s="4" t="s">
        <v>1277</v>
      </c>
      <c r="G231" s="5" t="n">
        <v>82</v>
      </c>
      <c r="H231" s="5" t="s">
        <v>1121</v>
      </c>
      <c r="I231" s="4" t="s">
        <v>1451</v>
      </c>
      <c r="J231" s="4" t="s">
        <v>130</v>
      </c>
    </row>
    <row r="232" customFormat="false" ht="15" hidden="false" customHeight="false" outlineLevel="0" collapsed="false">
      <c r="A232" s="5" t="n">
        <v>41333</v>
      </c>
      <c r="B232" s="5" t="s">
        <v>70</v>
      </c>
      <c r="C232" s="5" t="s">
        <v>1452</v>
      </c>
      <c r="D232" s="4" t="s">
        <v>26</v>
      </c>
      <c r="E232" s="4" t="s">
        <v>1113</v>
      </c>
      <c r="F232" s="4" t="s">
        <v>1140</v>
      </c>
      <c r="G232" s="5" t="n">
        <v>111</v>
      </c>
      <c r="H232" s="5" t="s">
        <v>1121</v>
      </c>
      <c r="I232" s="4" t="s">
        <v>1453</v>
      </c>
      <c r="J232" s="4" t="s">
        <v>130</v>
      </c>
    </row>
    <row r="233" customFormat="false" ht="15" hidden="false" customHeight="false" outlineLevel="0" collapsed="false">
      <c r="A233" s="5" t="n">
        <v>41700</v>
      </c>
      <c r="B233" s="5" t="s">
        <v>70</v>
      </c>
      <c r="C233" s="5" t="s">
        <v>1454</v>
      </c>
      <c r="D233" s="4" t="s">
        <v>24</v>
      </c>
      <c r="E233" s="4" t="s">
        <v>1113</v>
      </c>
      <c r="F233" s="4" t="s">
        <v>1128</v>
      </c>
      <c r="G233" s="5" t="n">
        <v>47</v>
      </c>
      <c r="H233" s="5" t="s">
        <v>1121</v>
      </c>
      <c r="I233" s="4" t="s">
        <v>1455</v>
      </c>
      <c r="J233" s="4" t="s">
        <v>130</v>
      </c>
    </row>
    <row r="234" customFormat="false" ht="15" hidden="false" customHeight="false" outlineLevel="0" collapsed="false">
      <c r="A234" s="5" t="n">
        <v>42721</v>
      </c>
      <c r="B234" s="5" t="s">
        <v>70</v>
      </c>
      <c r="C234" s="5" t="s">
        <v>695</v>
      </c>
      <c r="D234" s="4" t="s">
        <v>28</v>
      </c>
      <c r="E234" s="4" t="s">
        <v>1113</v>
      </c>
      <c r="F234" s="4" t="s">
        <v>1123</v>
      </c>
      <c r="G234" s="5" t="n">
        <v>31</v>
      </c>
      <c r="H234" s="5" t="s">
        <v>1118</v>
      </c>
      <c r="I234" s="4" t="s">
        <v>1219</v>
      </c>
      <c r="J234" s="4" t="s">
        <v>131</v>
      </c>
    </row>
    <row r="235" customFormat="false" ht="15" hidden="false" customHeight="false" outlineLevel="0" collapsed="false">
      <c r="A235" s="5" t="n">
        <v>42722</v>
      </c>
      <c r="B235" s="5" t="s">
        <v>70</v>
      </c>
      <c r="C235" s="5" t="s">
        <v>704</v>
      </c>
      <c r="D235" s="4" t="s">
        <v>28</v>
      </c>
      <c r="E235" s="4" t="s">
        <v>1113</v>
      </c>
      <c r="F235" s="4" t="s">
        <v>1123</v>
      </c>
      <c r="G235" s="5" t="n">
        <v>71</v>
      </c>
      <c r="H235" s="5" t="s">
        <v>1121</v>
      </c>
      <c r="I235" s="4" t="s">
        <v>1456</v>
      </c>
      <c r="J235" s="4" t="s">
        <v>130</v>
      </c>
    </row>
    <row r="236" customFormat="false" ht="15" hidden="false" customHeight="false" outlineLevel="0" collapsed="false">
      <c r="A236" s="5" t="n">
        <v>42723</v>
      </c>
      <c r="B236" s="5" t="s">
        <v>70</v>
      </c>
      <c r="C236" s="5" t="s">
        <v>640</v>
      </c>
      <c r="D236" s="4" t="s">
        <v>28</v>
      </c>
      <c r="E236" s="4" t="s">
        <v>1113</v>
      </c>
      <c r="F236" s="4" t="s">
        <v>1123</v>
      </c>
      <c r="G236" s="5" t="n">
        <v>52</v>
      </c>
      <c r="H236" s="5" t="s">
        <v>1121</v>
      </c>
      <c r="I236" s="4" t="s">
        <v>1457</v>
      </c>
      <c r="J236" s="4" t="s">
        <v>130</v>
      </c>
    </row>
    <row r="237" customFormat="false" ht="15" hidden="false" customHeight="false" outlineLevel="0" collapsed="false">
      <c r="A237" s="5" t="n">
        <v>42724</v>
      </c>
      <c r="B237" s="5" t="s">
        <v>70</v>
      </c>
      <c r="C237" s="5" t="s">
        <v>1458</v>
      </c>
      <c r="D237" s="4" t="s">
        <v>28</v>
      </c>
      <c r="E237" s="4" t="s">
        <v>1113</v>
      </c>
      <c r="F237" s="4" t="s">
        <v>1123</v>
      </c>
      <c r="G237" s="5" t="n">
        <v>58</v>
      </c>
      <c r="H237" s="5" t="s">
        <v>1121</v>
      </c>
      <c r="I237" s="4" t="s">
        <v>1459</v>
      </c>
      <c r="J237" s="4" t="s">
        <v>130</v>
      </c>
    </row>
    <row r="238" customFormat="false" ht="15" hidden="false" customHeight="false" outlineLevel="0" collapsed="false">
      <c r="A238" s="5" t="n">
        <v>42725</v>
      </c>
      <c r="B238" s="5" t="s">
        <v>70</v>
      </c>
      <c r="C238" s="5" t="s">
        <v>1460</v>
      </c>
      <c r="D238" s="4" t="s">
        <v>28</v>
      </c>
      <c r="E238" s="4" t="s">
        <v>1113</v>
      </c>
      <c r="F238" s="4" t="s">
        <v>1123</v>
      </c>
      <c r="G238" s="5" t="n">
        <v>63</v>
      </c>
      <c r="H238" s="5" t="s">
        <v>1121</v>
      </c>
      <c r="I238" s="4" t="s">
        <v>1461</v>
      </c>
      <c r="J238" s="4" t="s">
        <v>130</v>
      </c>
    </row>
    <row r="239" customFormat="false" ht="15" hidden="false" customHeight="false" outlineLevel="0" collapsed="false">
      <c r="A239" s="5" t="n">
        <v>42604</v>
      </c>
      <c r="B239" s="5" t="s">
        <v>70</v>
      </c>
      <c r="C239" s="5" t="s">
        <v>580</v>
      </c>
      <c r="D239" s="4" t="s">
        <v>30</v>
      </c>
      <c r="E239" s="4" t="s">
        <v>1113</v>
      </c>
      <c r="F239" s="4" t="s">
        <v>1123</v>
      </c>
      <c r="G239" s="5" t="n">
        <v>75</v>
      </c>
      <c r="H239" s="5" t="s">
        <v>1121</v>
      </c>
      <c r="I239" s="4" t="s">
        <v>1462</v>
      </c>
      <c r="J239" s="4" t="s">
        <v>130</v>
      </c>
    </row>
    <row r="240" customFormat="false" ht="15" hidden="false" customHeight="false" outlineLevel="0" collapsed="false">
      <c r="A240" s="5" t="n">
        <v>42726</v>
      </c>
      <c r="B240" s="5" t="s">
        <v>70</v>
      </c>
      <c r="C240" s="5" t="s">
        <v>1290</v>
      </c>
      <c r="D240" s="4" t="s">
        <v>30</v>
      </c>
      <c r="E240" s="4" t="s">
        <v>1113</v>
      </c>
      <c r="F240" s="4" t="s">
        <v>1123</v>
      </c>
      <c r="G240" s="5" t="n">
        <v>85</v>
      </c>
      <c r="H240" s="5" t="s">
        <v>1121</v>
      </c>
      <c r="I240" s="4" t="s">
        <v>1463</v>
      </c>
      <c r="J240" s="4" t="s">
        <v>130</v>
      </c>
    </row>
    <row r="241" customFormat="false" ht="15" hidden="false" customHeight="false" outlineLevel="0" collapsed="false">
      <c r="A241" s="5" t="n">
        <v>28574</v>
      </c>
      <c r="B241" s="5" t="s">
        <v>70</v>
      </c>
      <c r="C241" s="5" t="s">
        <v>426</v>
      </c>
      <c r="D241" s="4" t="s">
        <v>30</v>
      </c>
      <c r="E241" s="4" t="s">
        <v>1113</v>
      </c>
      <c r="F241" s="4" t="s">
        <v>1123</v>
      </c>
      <c r="G241" s="5" t="n">
        <v>67</v>
      </c>
      <c r="H241" s="5" t="s">
        <v>1121</v>
      </c>
      <c r="I241" s="4" t="s">
        <v>1464</v>
      </c>
      <c r="J241" s="4" t="s">
        <v>130</v>
      </c>
    </row>
    <row r="242" customFormat="false" ht="15" hidden="false" customHeight="false" outlineLevel="0" collapsed="false">
      <c r="A242" s="5" t="n">
        <v>41223</v>
      </c>
      <c r="B242" s="5" t="s">
        <v>71</v>
      </c>
      <c r="C242" s="5" t="s">
        <v>738</v>
      </c>
      <c r="D242" s="4" t="s">
        <v>24</v>
      </c>
      <c r="E242" s="4" t="s">
        <v>1113</v>
      </c>
      <c r="F242" s="4" t="s">
        <v>1114</v>
      </c>
      <c r="G242" s="5" t="n">
        <v>77</v>
      </c>
      <c r="H242" s="5" t="s">
        <v>1121</v>
      </c>
      <c r="I242" s="4" t="s">
        <v>1465</v>
      </c>
      <c r="J242" s="4" t="s">
        <v>130</v>
      </c>
    </row>
    <row r="243" customFormat="false" ht="15" hidden="false" customHeight="false" outlineLevel="0" collapsed="false">
      <c r="A243" s="5" t="n">
        <v>42738</v>
      </c>
      <c r="B243" s="5" t="s">
        <v>71</v>
      </c>
      <c r="C243" s="5" t="s">
        <v>1466</v>
      </c>
      <c r="D243" s="4" t="s">
        <v>28</v>
      </c>
      <c r="E243" s="4" t="s">
        <v>1113</v>
      </c>
      <c r="F243" s="4" t="s">
        <v>1123</v>
      </c>
      <c r="G243" s="5" t="n">
        <v>47</v>
      </c>
      <c r="H243" s="5" t="s">
        <v>1121</v>
      </c>
      <c r="I243" s="4" t="s">
        <v>1467</v>
      </c>
      <c r="J243" s="4" t="s">
        <v>130</v>
      </c>
    </row>
    <row r="244" customFormat="false" ht="15" hidden="false" customHeight="false" outlineLevel="0" collapsed="false">
      <c r="A244" s="5" t="n">
        <v>42739</v>
      </c>
      <c r="B244" s="5" t="s">
        <v>71</v>
      </c>
      <c r="C244" s="5" t="s">
        <v>488</v>
      </c>
      <c r="D244" s="4" t="s">
        <v>28</v>
      </c>
      <c r="E244" s="4" t="s">
        <v>1113</v>
      </c>
      <c r="F244" s="4" t="s">
        <v>1123</v>
      </c>
      <c r="G244" s="5" t="n">
        <v>68</v>
      </c>
      <c r="H244" s="5" t="s">
        <v>1121</v>
      </c>
      <c r="I244" s="4" t="s">
        <v>1468</v>
      </c>
      <c r="J244" s="4" t="s">
        <v>130</v>
      </c>
    </row>
    <row r="245" customFormat="false" ht="15" hidden="false" customHeight="false" outlineLevel="0" collapsed="false">
      <c r="A245" s="5" t="n">
        <v>42740</v>
      </c>
      <c r="B245" s="5" t="s">
        <v>71</v>
      </c>
      <c r="C245" s="5" t="s">
        <v>347</v>
      </c>
      <c r="D245" s="4" t="s">
        <v>28</v>
      </c>
      <c r="E245" s="4" t="s">
        <v>1113</v>
      </c>
      <c r="F245" s="4" t="s">
        <v>1123</v>
      </c>
      <c r="G245" s="5" t="n">
        <v>87</v>
      </c>
      <c r="H245" s="5" t="s">
        <v>1121</v>
      </c>
      <c r="I245" s="4" t="s">
        <v>1469</v>
      </c>
      <c r="J245" s="4" t="s">
        <v>130</v>
      </c>
    </row>
    <row r="246" customFormat="false" ht="15" hidden="false" customHeight="false" outlineLevel="0" collapsed="false">
      <c r="A246" s="5" t="n">
        <v>42741</v>
      </c>
      <c r="B246" s="5" t="s">
        <v>71</v>
      </c>
      <c r="C246" s="5" t="s">
        <v>468</v>
      </c>
      <c r="D246" s="4" t="s">
        <v>28</v>
      </c>
      <c r="E246" s="4" t="s">
        <v>1113</v>
      </c>
      <c r="F246" s="4" t="s">
        <v>1123</v>
      </c>
      <c r="G246" s="5" t="n">
        <v>77</v>
      </c>
      <c r="H246" s="5" t="s">
        <v>1121</v>
      </c>
      <c r="I246" s="4" t="s">
        <v>1470</v>
      </c>
      <c r="J246" s="4" t="s">
        <v>130</v>
      </c>
    </row>
    <row r="247" customFormat="false" ht="15" hidden="false" customHeight="false" outlineLevel="0" collapsed="false">
      <c r="A247" s="5" t="n">
        <v>42742</v>
      </c>
      <c r="B247" s="5" t="s">
        <v>71</v>
      </c>
      <c r="C247" s="5" t="s">
        <v>166</v>
      </c>
      <c r="D247" s="4" t="s">
        <v>28</v>
      </c>
      <c r="E247" s="4" t="s">
        <v>1113</v>
      </c>
      <c r="F247" s="4" t="s">
        <v>1123</v>
      </c>
      <c r="G247" s="5" t="n">
        <v>46</v>
      </c>
      <c r="H247" s="5" t="s">
        <v>1121</v>
      </c>
      <c r="I247" s="4" t="s">
        <v>1471</v>
      </c>
      <c r="J247" s="4" t="s">
        <v>130</v>
      </c>
    </row>
    <row r="248" customFormat="false" ht="15" hidden="false" customHeight="false" outlineLevel="0" collapsed="false">
      <c r="A248" s="5" t="n">
        <v>42743</v>
      </c>
      <c r="B248" s="5" t="s">
        <v>71</v>
      </c>
      <c r="C248" s="5" t="s">
        <v>557</v>
      </c>
      <c r="D248" s="4" t="s">
        <v>28</v>
      </c>
      <c r="E248" s="4" t="s">
        <v>1113</v>
      </c>
      <c r="F248" s="4" t="s">
        <v>1123</v>
      </c>
      <c r="G248" s="5" t="n">
        <v>59</v>
      </c>
      <c r="H248" s="5" t="s">
        <v>1121</v>
      </c>
      <c r="I248" s="4" t="s">
        <v>1472</v>
      </c>
      <c r="J248" s="4" t="s">
        <v>130</v>
      </c>
    </row>
    <row r="249" customFormat="false" ht="15" hidden="false" customHeight="false" outlineLevel="0" collapsed="false">
      <c r="A249" s="5" t="n">
        <v>42744</v>
      </c>
      <c r="B249" s="5" t="s">
        <v>71</v>
      </c>
      <c r="C249" s="5" t="s">
        <v>170</v>
      </c>
      <c r="D249" s="4" t="s">
        <v>28</v>
      </c>
      <c r="E249" s="4" t="s">
        <v>1113</v>
      </c>
      <c r="F249" s="4" t="s">
        <v>1114</v>
      </c>
      <c r="G249" s="5" t="n">
        <v>46</v>
      </c>
      <c r="H249" s="5" t="s">
        <v>1121</v>
      </c>
      <c r="I249" s="4" t="s">
        <v>1473</v>
      </c>
      <c r="J249" s="4" t="s">
        <v>130</v>
      </c>
    </row>
    <row r="250" customFormat="false" ht="15" hidden="false" customHeight="false" outlineLevel="0" collapsed="false">
      <c r="A250" s="5" t="n">
        <v>41226</v>
      </c>
      <c r="B250" s="5" t="s">
        <v>71</v>
      </c>
      <c r="C250" s="5" t="s">
        <v>1474</v>
      </c>
      <c r="D250" s="4" t="s">
        <v>32</v>
      </c>
      <c r="E250" s="4" t="s">
        <v>1113</v>
      </c>
      <c r="F250" s="4" t="s">
        <v>1140</v>
      </c>
      <c r="G250" s="5" t="n">
        <v>102</v>
      </c>
      <c r="H250" s="5" t="s">
        <v>1121</v>
      </c>
      <c r="I250" s="4" t="s">
        <v>1475</v>
      </c>
      <c r="J250" s="4" t="s">
        <v>130</v>
      </c>
    </row>
    <row r="251" customFormat="false" ht="15" hidden="false" customHeight="false" outlineLevel="0" collapsed="false">
      <c r="A251" s="5" t="n">
        <v>41486</v>
      </c>
      <c r="B251" s="5" t="s">
        <v>71</v>
      </c>
      <c r="C251" s="5" t="s">
        <v>380</v>
      </c>
      <c r="D251" s="4" t="s">
        <v>18</v>
      </c>
      <c r="E251" s="4" t="s">
        <v>1113</v>
      </c>
      <c r="F251" s="4" t="s">
        <v>1114</v>
      </c>
      <c r="G251" s="5" t="n">
        <v>130</v>
      </c>
      <c r="H251" s="5" t="s">
        <v>1121</v>
      </c>
      <c r="I251" s="4" t="s">
        <v>1476</v>
      </c>
      <c r="J251" s="4" t="s">
        <v>130</v>
      </c>
    </row>
    <row r="252" customFormat="false" ht="15" hidden="false" customHeight="false" outlineLevel="0" collapsed="false">
      <c r="A252" s="5" t="n">
        <v>39006</v>
      </c>
      <c r="B252" s="5" t="s">
        <v>71</v>
      </c>
      <c r="C252" s="5" t="s">
        <v>382</v>
      </c>
      <c r="D252" s="4" t="s">
        <v>18</v>
      </c>
      <c r="E252" s="4" t="s">
        <v>1113</v>
      </c>
      <c r="F252" s="4" t="s">
        <v>1114</v>
      </c>
      <c r="G252" s="5" t="n">
        <v>97</v>
      </c>
      <c r="H252" s="5" t="s">
        <v>1121</v>
      </c>
      <c r="I252" s="4" t="s">
        <v>1477</v>
      </c>
      <c r="J252" s="4" t="s">
        <v>130</v>
      </c>
    </row>
    <row r="253" customFormat="false" ht="15" hidden="false" customHeight="false" outlineLevel="0" collapsed="false">
      <c r="A253" s="5" t="n">
        <v>42746</v>
      </c>
      <c r="B253" s="5" t="s">
        <v>71</v>
      </c>
      <c r="C253" s="5" t="s">
        <v>1478</v>
      </c>
      <c r="D253" s="4" t="s">
        <v>18</v>
      </c>
      <c r="E253" s="4" t="s">
        <v>1113</v>
      </c>
      <c r="F253" s="4" t="s">
        <v>1114</v>
      </c>
      <c r="G253" s="5" t="n">
        <v>113</v>
      </c>
      <c r="H253" s="5" t="s">
        <v>1121</v>
      </c>
      <c r="I253" s="4" t="s">
        <v>1479</v>
      </c>
      <c r="J253" s="4" t="s">
        <v>130</v>
      </c>
    </row>
    <row r="254" customFormat="false" ht="15" hidden="false" customHeight="false" outlineLevel="0" collapsed="false">
      <c r="A254" s="5" t="n">
        <v>42747</v>
      </c>
      <c r="B254" s="5" t="s">
        <v>71</v>
      </c>
      <c r="C254" s="5" t="s">
        <v>1480</v>
      </c>
      <c r="D254" s="4" t="s">
        <v>22</v>
      </c>
      <c r="E254" s="4" t="s">
        <v>1113</v>
      </c>
      <c r="F254" s="4" t="s">
        <v>1128</v>
      </c>
      <c r="G254" s="5" t="n">
        <v>43</v>
      </c>
      <c r="H254" s="5" t="s">
        <v>1121</v>
      </c>
      <c r="I254" s="4" t="s">
        <v>1481</v>
      </c>
      <c r="J254" s="4" t="s">
        <v>130</v>
      </c>
    </row>
    <row r="255" customFormat="false" ht="15" hidden="false" customHeight="false" outlineLevel="0" collapsed="false">
      <c r="A255" s="5" t="n">
        <v>40529</v>
      </c>
      <c r="B255" s="5" t="s">
        <v>71</v>
      </c>
      <c r="C255" s="5" t="s">
        <v>890</v>
      </c>
      <c r="D255" s="4" t="s">
        <v>18</v>
      </c>
      <c r="E255" s="4" t="s">
        <v>1113</v>
      </c>
      <c r="F255" s="4" t="s">
        <v>1114</v>
      </c>
      <c r="G255" s="5" t="n">
        <v>85</v>
      </c>
      <c r="H255" s="5" t="s">
        <v>1121</v>
      </c>
      <c r="I255" s="4" t="s">
        <v>1482</v>
      </c>
      <c r="J255" s="4" t="s">
        <v>130</v>
      </c>
    </row>
    <row r="256" customFormat="false" ht="15" hidden="false" customHeight="false" outlineLevel="0" collapsed="false">
      <c r="A256" s="5" t="n">
        <v>39361</v>
      </c>
      <c r="B256" s="5" t="s">
        <v>71</v>
      </c>
      <c r="C256" s="5" t="s">
        <v>1483</v>
      </c>
      <c r="D256" s="4" t="s">
        <v>18</v>
      </c>
      <c r="E256" s="4" t="s">
        <v>1113</v>
      </c>
      <c r="F256" s="4" t="s">
        <v>1114</v>
      </c>
      <c r="G256" s="5" t="n">
        <v>80</v>
      </c>
      <c r="H256" s="5" t="s">
        <v>1121</v>
      </c>
      <c r="I256" s="4" t="s">
        <v>1484</v>
      </c>
      <c r="J256" s="4" t="s">
        <v>130</v>
      </c>
    </row>
    <row r="257" customFormat="false" ht="23.85" hidden="false" customHeight="false" outlineLevel="0" collapsed="false">
      <c r="A257" s="5" t="n">
        <v>41650</v>
      </c>
      <c r="B257" s="5" t="s">
        <v>71</v>
      </c>
      <c r="C257" s="5" t="s">
        <v>1485</v>
      </c>
      <c r="D257" s="4" t="s">
        <v>22</v>
      </c>
      <c r="E257" s="4" t="s">
        <v>1113</v>
      </c>
      <c r="F257" s="4" t="s">
        <v>1128</v>
      </c>
      <c r="G257" s="5" t="n">
        <v>18</v>
      </c>
      <c r="H257" s="5" t="s">
        <v>1115</v>
      </c>
      <c r="I257" s="4" t="s">
        <v>1486</v>
      </c>
      <c r="J257" s="4" t="s">
        <v>132</v>
      </c>
    </row>
    <row r="258" customFormat="false" ht="15" hidden="false" customHeight="false" outlineLevel="0" collapsed="false">
      <c r="A258" s="5" t="n">
        <v>20978</v>
      </c>
      <c r="B258" s="5" t="s">
        <v>71</v>
      </c>
      <c r="C258" s="5" t="s">
        <v>585</v>
      </c>
      <c r="D258" s="4" t="s">
        <v>30</v>
      </c>
      <c r="E258" s="4" t="s">
        <v>1113</v>
      </c>
      <c r="F258" s="4" t="s">
        <v>1114</v>
      </c>
      <c r="G258" s="5" t="n">
        <v>86</v>
      </c>
      <c r="H258" s="5" t="s">
        <v>1121</v>
      </c>
      <c r="I258" s="4" t="s">
        <v>1487</v>
      </c>
      <c r="J258" s="4" t="s">
        <v>130</v>
      </c>
    </row>
    <row r="259" customFormat="false" ht="15" hidden="false" customHeight="false" outlineLevel="0" collapsed="false">
      <c r="A259" s="5" t="n">
        <v>39487</v>
      </c>
      <c r="B259" s="5" t="s">
        <v>71</v>
      </c>
      <c r="C259" s="5" t="s">
        <v>929</v>
      </c>
      <c r="D259" s="4" t="s">
        <v>30</v>
      </c>
      <c r="E259" s="4" t="s">
        <v>1113</v>
      </c>
      <c r="F259" s="4" t="s">
        <v>1114</v>
      </c>
      <c r="G259" s="5" t="n">
        <v>65</v>
      </c>
      <c r="H259" s="5" t="s">
        <v>1121</v>
      </c>
      <c r="I259" s="4" t="s">
        <v>1488</v>
      </c>
      <c r="J259" s="4" t="s">
        <v>130</v>
      </c>
    </row>
    <row r="260" customFormat="false" ht="15" hidden="false" customHeight="false" outlineLevel="0" collapsed="false">
      <c r="A260" s="5" t="n">
        <v>36722</v>
      </c>
      <c r="B260" s="5" t="s">
        <v>71</v>
      </c>
      <c r="C260" s="5" t="s">
        <v>589</v>
      </c>
      <c r="D260" s="4" t="s">
        <v>30</v>
      </c>
      <c r="E260" s="4" t="s">
        <v>1113</v>
      </c>
      <c r="F260" s="4" t="s">
        <v>1114</v>
      </c>
      <c r="G260" s="5" t="n">
        <v>47</v>
      </c>
      <c r="H260" s="5" t="s">
        <v>1121</v>
      </c>
      <c r="I260" s="4" t="s">
        <v>1489</v>
      </c>
      <c r="J260" s="4" t="s">
        <v>130</v>
      </c>
    </row>
    <row r="261" customFormat="false" ht="15" hidden="false" customHeight="false" outlineLevel="0" collapsed="false">
      <c r="A261" s="5" t="n">
        <v>21298</v>
      </c>
      <c r="B261" s="5" t="s">
        <v>71</v>
      </c>
      <c r="C261" s="5" t="s">
        <v>592</v>
      </c>
      <c r="D261" s="4" t="s">
        <v>30</v>
      </c>
      <c r="E261" s="4" t="s">
        <v>1113</v>
      </c>
      <c r="F261" s="4" t="s">
        <v>1114</v>
      </c>
      <c r="G261" s="5" t="n">
        <v>47</v>
      </c>
      <c r="H261" s="5" t="s">
        <v>1121</v>
      </c>
      <c r="I261" s="4" t="s">
        <v>1490</v>
      </c>
      <c r="J261" s="4" t="s">
        <v>130</v>
      </c>
    </row>
    <row r="262" customFormat="false" ht="15" hidden="false" customHeight="false" outlineLevel="0" collapsed="false">
      <c r="A262" s="5" t="n">
        <v>18503</v>
      </c>
      <c r="B262" s="5" t="s">
        <v>71</v>
      </c>
      <c r="C262" s="5" t="s">
        <v>1491</v>
      </c>
      <c r="D262" s="4" t="s">
        <v>30</v>
      </c>
      <c r="E262" s="4" t="s">
        <v>1113</v>
      </c>
      <c r="F262" s="4" t="s">
        <v>1114</v>
      </c>
      <c r="G262" s="5" t="n">
        <v>53</v>
      </c>
      <c r="H262" s="5" t="s">
        <v>1121</v>
      </c>
      <c r="I262" s="4" t="s">
        <v>1492</v>
      </c>
      <c r="J262" s="4" t="s">
        <v>130</v>
      </c>
    </row>
    <row r="263" customFormat="false" ht="15" hidden="false" customHeight="false" outlineLevel="0" collapsed="false">
      <c r="A263" s="5" t="n">
        <v>35890</v>
      </c>
      <c r="B263" s="5" t="s">
        <v>71</v>
      </c>
      <c r="C263" s="5" t="s">
        <v>444</v>
      </c>
      <c r="D263" s="4" t="s">
        <v>26</v>
      </c>
      <c r="E263" s="4" t="s">
        <v>1113</v>
      </c>
      <c r="F263" s="4" t="s">
        <v>1128</v>
      </c>
      <c r="G263" s="5" t="n">
        <v>37</v>
      </c>
      <c r="H263" s="5" t="s">
        <v>1118</v>
      </c>
      <c r="I263" s="4" t="s">
        <v>1493</v>
      </c>
      <c r="J263" s="4" t="s">
        <v>131</v>
      </c>
    </row>
    <row r="264" customFormat="false" ht="15" hidden="false" customHeight="false" outlineLevel="0" collapsed="false">
      <c r="A264" s="5" t="n">
        <v>26245</v>
      </c>
      <c r="B264" s="5" t="s">
        <v>72</v>
      </c>
      <c r="C264" s="5" t="s">
        <v>1494</v>
      </c>
      <c r="D264" s="4" t="s">
        <v>32</v>
      </c>
      <c r="E264" s="4" t="s">
        <v>1113</v>
      </c>
      <c r="F264" s="4" t="s">
        <v>1123</v>
      </c>
      <c r="G264" s="5" t="n">
        <v>84</v>
      </c>
      <c r="H264" s="5" t="s">
        <v>1121</v>
      </c>
      <c r="I264" s="4" t="s">
        <v>1495</v>
      </c>
      <c r="J264" s="4" t="s">
        <v>130</v>
      </c>
    </row>
    <row r="265" customFormat="false" ht="15" hidden="false" customHeight="false" outlineLevel="0" collapsed="false">
      <c r="A265" s="5" t="n">
        <v>25763</v>
      </c>
      <c r="B265" s="5" t="s">
        <v>72</v>
      </c>
      <c r="C265" s="5" t="s">
        <v>1496</v>
      </c>
      <c r="D265" s="4" t="s">
        <v>32</v>
      </c>
      <c r="E265" s="4" t="s">
        <v>1113</v>
      </c>
      <c r="F265" s="4" t="s">
        <v>1123</v>
      </c>
      <c r="G265" s="5" t="n">
        <v>89</v>
      </c>
      <c r="H265" s="5" t="s">
        <v>1121</v>
      </c>
      <c r="I265" s="4" t="s">
        <v>1497</v>
      </c>
      <c r="J265" s="4" t="s">
        <v>130</v>
      </c>
    </row>
    <row r="266" customFormat="false" ht="15" hidden="false" customHeight="false" outlineLevel="0" collapsed="false">
      <c r="A266" s="5" t="n">
        <v>42634</v>
      </c>
      <c r="B266" s="5" t="s">
        <v>72</v>
      </c>
      <c r="C266" s="5" t="s">
        <v>1498</v>
      </c>
      <c r="D266" s="4" t="s">
        <v>26</v>
      </c>
      <c r="E266" s="4" t="s">
        <v>1113</v>
      </c>
      <c r="F266" s="4" t="s">
        <v>1140</v>
      </c>
      <c r="G266" s="5" t="n">
        <v>106</v>
      </c>
      <c r="H266" s="5" t="s">
        <v>1121</v>
      </c>
      <c r="I266" s="4" t="s">
        <v>1499</v>
      </c>
      <c r="J266" s="4" t="s">
        <v>130</v>
      </c>
    </row>
    <row r="267" customFormat="false" ht="15" hidden="false" customHeight="false" outlineLevel="0" collapsed="false">
      <c r="A267" s="5" t="n">
        <v>42636</v>
      </c>
      <c r="B267" s="5" t="s">
        <v>72</v>
      </c>
      <c r="C267" s="5" t="s">
        <v>1500</v>
      </c>
      <c r="D267" s="4" t="s">
        <v>26</v>
      </c>
      <c r="E267" s="4" t="s">
        <v>1113</v>
      </c>
      <c r="F267" s="4" t="s">
        <v>1140</v>
      </c>
      <c r="G267" s="5" t="n">
        <v>101</v>
      </c>
      <c r="H267" s="5" t="s">
        <v>1121</v>
      </c>
      <c r="I267" s="4" t="s">
        <v>1501</v>
      </c>
      <c r="J267" s="4" t="s">
        <v>130</v>
      </c>
    </row>
    <row r="268" customFormat="false" ht="15" hidden="false" customHeight="false" outlineLevel="0" collapsed="false">
      <c r="A268" s="5" t="n">
        <v>41936</v>
      </c>
      <c r="B268" s="5" t="s">
        <v>72</v>
      </c>
      <c r="C268" s="5" t="s">
        <v>1502</v>
      </c>
      <c r="D268" s="4" t="s">
        <v>26</v>
      </c>
      <c r="E268" s="4" t="s">
        <v>1113</v>
      </c>
      <c r="F268" s="4" t="s">
        <v>1140</v>
      </c>
      <c r="G268" s="5" t="n">
        <v>165</v>
      </c>
      <c r="H268" s="5" t="s">
        <v>1121</v>
      </c>
      <c r="I268" s="4" t="s">
        <v>1503</v>
      </c>
      <c r="J268" s="4" t="s">
        <v>130</v>
      </c>
    </row>
    <row r="269" customFormat="false" ht="15" hidden="false" customHeight="false" outlineLevel="0" collapsed="false">
      <c r="A269" s="5" t="n">
        <v>42228</v>
      </c>
      <c r="B269" s="5" t="s">
        <v>72</v>
      </c>
      <c r="C269" s="5" t="s">
        <v>1428</v>
      </c>
      <c r="D269" s="4" t="s">
        <v>26</v>
      </c>
      <c r="E269" s="4" t="s">
        <v>1113</v>
      </c>
      <c r="F269" s="4" t="s">
        <v>1128</v>
      </c>
      <c r="G269" s="5" t="n">
        <v>115</v>
      </c>
      <c r="H269" s="5" t="s">
        <v>1121</v>
      </c>
      <c r="I269" s="4" t="s">
        <v>1504</v>
      </c>
      <c r="J269" s="4" t="s">
        <v>130</v>
      </c>
    </row>
    <row r="270" customFormat="false" ht="15" hidden="false" customHeight="false" outlineLevel="0" collapsed="false">
      <c r="A270" s="5" t="n">
        <v>37059</v>
      </c>
      <c r="B270" s="5" t="s">
        <v>72</v>
      </c>
      <c r="C270" s="5" t="s">
        <v>1433</v>
      </c>
      <c r="D270" s="4" t="s">
        <v>32</v>
      </c>
      <c r="E270" s="4" t="s">
        <v>1113</v>
      </c>
      <c r="F270" s="4" t="s">
        <v>1123</v>
      </c>
      <c r="G270" s="5" t="n">
        <v>76</v>
      </c>
      <c r="H270" s="5" t="s">
        <v>1121</v>
      </c>
      <c r="I270" s="4" t="s">
        <v>1505</v>
      </c>
      <c r="J270" s="4" t="s">
        <v>130</v>
      </c>
    </row>
    <row r="271" customFormat="false" ht="15" hidden="false" customHeight="false" outlineLevel="0" collapsed="false">
      <c r="A271" s="5" t="n">
        <v>41905</v>
      </c>
      <c r="B271" s="5" t="s">
        <v>72</v>
      </c>
      <c r="C271" s="5" t="s">
        <v>1506</v>
      </c>
      <c r="D271" s="4" t="s">
        <v>26</v>
      </c>
      <c r="E271" s="4" t="s">
        <v>1113</v>
      </c>
      <c r="F271" s="4" t="s">
        <v>1140</v>
      </c>
      <c r="G271" s="5" t="n">
        <v>87</v>
      </c>
      <c r="H271" s="5" t="s">
        <v>1121</v>
      </c>
      <c r="I271" s="4" t="s">
        <v>1507</v>
      </c>
      <c r="J271" s="4" t="s">
        <v>130</v>
      </c>
    </row>
    <row r="272" customFormat="false" ht="15" hidden="false" customHeight="false" outlineLevel="0" collapsed="false">
      <c r="A272" s="5" t="n">
        <v>41161</v>
      </c>
      <c r="B272" s="5" t="s">
        <v>72</v>
      </c>
      <c r="C272" s="5" t="s">
        <v>1508</v>
      </c>
      <c r="D272" s="4" t="s">
        <v>32</v>
      </c>
      <c r="E272" s="4" t="s">
        <v>1113</v>
      </c>
      <c r="F272" s="4" t="s">
        <v>1123</v>
      </c>
      <c r="G272" s="5" t="n">
        <v>76</v>
      </c>
      <c r="H272" s="5" t="s">
        <v>1121</v>
      </c>
      <c r="I272" s="4" t="s">
        <v>1505</v>
      </c>
      <c r="J272" s="4" t="s">
        <v>130</v>
      </c>
    </row>
    <row r="273" customFormat="false" ht="15" hidden="false" customHeight="false" outlineLevel="0" collapsed="false">
      <c r="A273" s="5" t="n">
        <v>28512</v>
      </c>
      <c r="B273" s="5" t="s">
        <v>72</v>
      </c>
      <c r="C273" s="5" t="s">
        <v>1509</v>
      </c>
      <c r="D273" s="4" t="s">
        <v>32</v>
      </c>
      <c r="E273" s="4" t="s">
        <v>1113</v>
      </c>
      <c r="F273" s="4" t="s">
        <v>1123</v>
      </c>
      <c r="G273" s="5" t="n">
        <v>76</v>
      </c>
      <c r="H273" s="5" t="s">
        <v>1121</v>
      </c>
      <c r="I273" s="4" t="s">
        <v>1505</v>
      </c>
      <c r="J273" s="4" t="s">
        <v>130</v>
      </c>
    </row>
    <row r="274" customFormat="false" ht="15" hidden="false" customHeight="false" outlineLevel="0" collapsed="false">
      <c r="A274" s="5" t="n">
        <v>42635</v>
      </c>
      <c r="B274" s="5" t="s">
        <v>72</v>
      </c>
      <c r="C274" s="5" t="s">
        <v>1307</v>
      </c>
      <c r="D274" s="4" t="s">
        <v>26</v>
      </c>
      <c r="E274" s="4" t="s">
        <v>1113</v>
      </c>
      <c r="F274" s="4" t="s">
        <v>1128</v>
      </c>
      <c r="G274" s="5" t="n">
        <v>62</v>
      </c>
      <c r="H274" s="5" t="s">
        <v>1121</v>
      </c>
      <c r="I274" s="4" t="s">
        <v>1510</v>
      </c>
      <c r="J274" s="4" t="s">
        <v>130</v>
      </c>
    </row>
    <row r="275" customFormat="false" ht="15" hidden="false" customHeight="false" outlineLevel="0" collapsed="false">
      <c r="A275" s="5" t="n">
        <v>42637</v>
      </c>
      <c r="B275" s="5" t="s">
        <v>72</v>
      </c>
      <c r="C275" s="5" t="s">
        <v>1511</v>
      </c>
      <c r="D275" s="4" t="s">
        <v>26</v>
      </c>
      <c r="E275" s="4" t="s">
        <v>1113</v>
      </c>
      <c r="F275" s="4" t="s">
        <v>1128</v>
      </c>
      <c r="G275" s="5" t="n">
        <v>70</v>
      </c>
      <c r="H275" s="5" t="s">
        <v>1121</v>
      </c>
      <c r="I275" s="4" t="s">
        <v>1512</v>
      </c>
      <c r="J275" s="4" t="s">
        <v>130</v>
      </c>
    </row>
    <row r="276" customFormat="false" ht="15" hidden="false" customHeight="false" outlineLevel="0" collapsed="false">
      <c r="A276" s="5" t="n">
        <v>42685</v>
      </c>
      <c r="B276" s="5" t="s">
        <v>72</v>
      </c>
      <c r="C276" s="5" t="s">
        <v>1513</v>
      </c>
      <c r="D276" s="4" t="s">
        <v>26</v>
      </c>
      <c r="E276" s="4" t="s">
        <v>1113</v>
      </c>
      <c r="F276" s="4" t="s">
        <v>1128</v>
      </c>
      <c r="G276" s="5" t="n">
        <v>106</v>
      </c>
      <c r="H276" s="5" t="s">
        <v>1121</v>
      </c>
      <c r="I276" s="4" t="s">
        <v>1514</v>
      </c>
      <c r="J276" s="4" t="s">
        <v>130</v>
      </c>
    </row>
    <row r="277" customFormat="false" ht="15" hidden="false" customHeight="false" outlineLevel="0" collapsed="false">
      <c r="A277" s="5" t="n">
        <v>41528</v>
      </c>
      <c r="B277" s="5" t="s">
        <v>72</v>
      </c>
      <c r="C277" s="5" t="s">
        <v>1515</v>
      </c>
      <c r="D277" s="4" t="s">
        <v>26</v>
      </c>
      <c r="E277" s="4" t="s">
        <v>1113</v>
      </c>
      <c r="F277" s="4" t="s">
        <v>1140</v>
      </c>
      <c r="G277" s="5" t="n">
        <v>72</v>
      </c>
      <c r="H277" s="5" t="s">
        <v>1121</v>
      </c>
      <c r="I277" s="4" t="s">
        <v>1516</v>
      </c>
      <c r="J277" s="4" t="s">
        <v>130</v>
      </c>
    </row>
    <row r="278" customFormat="false" ht="15" hidden="false" customHeight="false" outlineLevel="0" collapsed="false">
      <c r="A278" s="5" t="n">
        <v>41304</v>
      </c>
      <c r="B278" s="5" t="s">
        <v>72</v>
      </c>
      <c r="C278" s="5" t="s">
        <v>1517</v>
      </c>
      <c r="D278" s="4" t="s">
        <v>26</v>
      </c>
      <c r="E278" s="4" t="s">
        <v>1113</v>
      </c>
      <c r="F278" s="4" t="s">
        <v>1140</v>
      </c>
      <c r="G278" s="5" t="n">
        <v>121</v>
      </c>
      <c r="H278" s="5" t="s">
        <v>1121</v>
      </c>
      <c r="I278" s="4" t="s">
        <v>1518</v>
      </c>
      <c r="J278" s="4" t="s">
        <v>130</v>
      </c>
    </row>
    <row r="279" customFormat="false" ht="15" hidden="false" customHeight="false" outlineLevel="0" collapsed="false">
      <c r="A279" s="5" t="n">
        <v>41303</v>
      </c>
      <c r="B279" s="5" t="s">
        <v>72</v>
      </c>
      <c r="C279" s="5" t="s">
        <v>1517</v>
      </c>
      <c r="D279" s="4" t="s">
        <v>26</v>
      </c>
      <c r="E279" s="4" t="s">
        <v>1113</v>
      </c>
      <c r="F279" s="4" t="s">
        <v>1140</v>
      </c>
      <c r="G279" s="5" t="n">
        <v>121</v>
      </c>
      <c r="H279" s="5" t="s">
        <v>1121</v>
      </c>
      <c r="I279" s="4" t="s">
        <v>1518</v>
      </c>
      <c r="J279" s="4" t="s">
        <v>130</v>
      </c>
    </row>
    <row r="280" customFormat="false" ht="15" hidden="false" customHeight="false" outlineLevel="0" collapsed="false">
      <c r="A280" s="5" t="n">
        <v>39485</v>
      </c>
      <c r="B280" s="5" t="s">
        <v>72</v>
      </c>
      <c r="C280" s="5" t="s">
        <v>1519</v>
      </c>
      <c r="D280" s="4" t="s">
        <v>32</v>
      </c>
      <c r="E280" s="4" t="s">
        <v>1113</v>
      </c>
      <c r="F280" s="4" t="s">
        <v>1123</v>
      </c>
      <c r="G280" s="5" t="n">
        <v>69</v>
      </c>
      <c r="H280" s="5" t="s">
        <v>1121</v>
      </c>
      <c r="I280" s="4" t="s">
        <v>1505</v>
      </c>
      <c r="J280" s="4" t="s">
        <v>130</v>
      </c>
    </row>
    <row r="281" customFormat="false" ht="15" hidden="false" customHeight="false" outlineLevel="0" collapsed="false">
      <c r="A281" s="5" t="n">
        <v>40733</v>
      </c>
      <c r="B281" s="5" t="s">
        <v>72</v>
      </c>
      <c r="C281" s="5" t="s">
        <v>1519</v>
      </c>
      <c r="D281" s="4" t="s">
        <v>26</v>
      </c>
      <c r="E281" s="4" t="s">
        <v>1113</v>
      </c>
      <c r="F281" s="4" t="s">
        <v>1140</v>
      </c>
      <c r="G281" s="5" t="n">
        <v>78</v>
      </c>
      <c r="H281" s="5" t="s">
        <v>1121</v>
      </c>
      <c r="I281" s="4" t="s">
        <v>1520</v>
      </c>
      <c r="J281" s="4" t="s">
        <v>130</v>
      </c>
    </row>
    <row r="282" customFormat="false" ht="15" hidden="false" customHeight="false" outlineLevel="0" collapsed="false">
      <c r="A282" s="5" t="n">
        <v>41088</v>
      </c>
      <c r="B282" s="5" t="s">
        <v>72</v>
      </c>
      <c r="C282" s="5" t="s">
        <v>1321</v>
      </c>
      <c r="D282" s="4" t="s">
        <v>22</v>
      </c>
      <c r="E282" s="4" t="s">
        <v>1113</v>
      </c>
      <c r="F282" s="4" t="s">
        <v>1128</v>
      </c>
      <c r="G282" s="5" t="n">
        <v>86</v>
      </c>
      <c r="H282" s="5" t="s">
        <v>1121</v>
      </c>
      <c r="I282" s="4" t="s">
        <v>1521</v>
      </c>
      <c r="J282" s="4" t="s">
        <v>130</v>
      </c>
    </row>
    <row r="283" customFormat="false" ht="15" hidden="false" customHeight="false" outlineLevel="0" collapsed="false">
      <c r="A283" s="5" t="n">
        <v>40871</v>
      </c>
      <c r="B283" s="5" t="s">
        <v>72</v>
      </c>
      <c r="C283" s="5" t="s">
        <v>1144</v>
      </c>
      <c r="D283" s="4" t="s">
        <v>26</v>
      </c>
      <c r="E283" s="4" t="s">
        <v>1113</v>
      </c>
      <c r="F283" s="4" t="s">
        <v>1140</v>
      </c>
      <c r="G283" s="5" t="n">
        <v>135</v>
      </c>
      <c r="H283" s="5" t="s">
        <v>1121</v>
      </c>
      <c r="I283" s="4" t="s">
        <v>1522</v>
      </c>
      <c r="J283" s="4" t="s">
        <v>130</v>
      </c>
    </row>
    <row r="284" customFormat="false" ht="15" hidden="false" customHeight="false" outlineLevel="0" collapsed="false">
      <c r="A284" s="5" t="n">
        <v>42758</v>
      </c>
      <c r="B284" s="5" t="s">
        <v>72</v>
      </c>
      <c r="C284" s="5" t="s">
        <v>1523</v>
      </c>
      <c r="D284" s="4" t="s">
        <v>32</v>
      </c>
      <c r="E284" s="4" t="s">
        <v>1113</v>
      </c>
      <c r="F284" s="4" t="s">
        <v>1123</v>
      </c>
      <c r="G284" s="5" t="n">
        <v>177</v>
      </c>
      <c r="H284" s="5" t="s">
        <v>1121</v>
      </c>
      <c r="I284" s="4" t="s">
        <v>1524</v>
      </c>
      <c r="J284" s="4" t="s">
        <v>130</v>
      </c>
    </row>
    <row r="285" customFormat="false" ht="15" hidden="false" customHeight="false" outlineLevel="0" collapsed="false">
      <c r="A285" s="5" t="n">
        <v>40865</v>
      </c>
      <c r="B285" s="5" t="s">
        <v>72</v>
      </c>
      <c r="C285" s="5" t="s">
        <v>1183</v>
      </c>
      <c r="D285" s="4" t="s">
        <v>26</v>
      </c>
      <c r="E285" s="4" t="s">
        <v>1113</v>
      </c>
      <c r="F285" s="4" t="s">
        <v>1140</v>
      </c>
      <c r="G285" s="5" t="n">
        <v>120</v>
      </c>
      <c r="H285" s="5" t="s">
        <v>1121</v>
      </c>
      <c r="I285" s="4" t="s">
        <v>1525</v>
      </c>
      <c r="J285" s="4" t="s">
        <v>130</v>
      </c>
    </row>
    <row r="286" customFormat="false" ht="15" hidden="false" customHeight="false" outlineLevel="0" collapsed="false">
      <c r="A286" s="5" t="n">
        <v>40865</v>
      </c>
      <c r="B286" s="5" t="s">
        <v>72</v>
      </c>
      <c r="C286" s="5" t="s">
        <v>1146</v>
      </c>
      <c r="D286" s="4" t="s">
        <v>26</v>
      </c>
      <c r="E286" s="4" t="s">
        <v>1232</v>
      </c>
      <c r="F286" s="4"/>
      <c r="G286" s="5" t="n">
        <v>0</v>
      </c>
      <c r="H286" s="5" t="s">
        <v>1115</v>
      </c>
      <c r="I286" s="4"/>
      <c r="J286" s="4" t="s">
        <v>133</v>
      </c>
    </row>
    <row r="287" customFormat="false" ht="15" hidden="false" customHeight="false" outlineLevel="0" collapsed="false">
      <c r="A287" s="5" t="n">
        <v>40743</v>
      </c>
      <c r="B287" s="5" t="s">
        <v>72</v>
      </c>
      <c r="C287" s="5" t="s">
        <v>1526</v>
      </c>
      <c r="D287" s="4" t="s">
        <v>26</v>
      </c>
      <c r="E287" s="4" t="s">
        <v>1113</v>
      </c>
      <c r="F287" s="4" t="s">
        <v>1114</v>
      </c>
      <c r="G287" s="5" t="n">
        <v>151</v>
      </c>
      <c r="H287" s="5" t="s">
        <v>1121</v>
      </c>
      <c r="I287" s="4" t="s">
        <v>1527</v>
      </c>
      <c r="J287" s="4" t="s">
        <v>130</v>
      </c>
    </row>
    <row r="288" customFormat="false" ht="15" hidden="false" customHeight="false" outlineLevel="0" collapsed="false">
      <c r="A288" s="5" t="n">
        <v>42760</v>
      </c>
      <c r="B288" s="5" t="s">
        <v>72</v>
      </c>
      <c r="C288" s="5" t="s">
        <v>667</v>
      </c>
      <c r="D288" s="4" t="s">
        <v>32</v>
      </c>
      <c r="E288" s="4" t="s">
        <v>1113</v>
      </c>
      <c r="F288" s="4" t="s">
        <v>1123</v>
      </c>
      <c r="G288" s="5" t="n">
        <v>125</v>
      </c>
      <c r="H288" s="5" t="s">
        <v>1121</v>
      </c>
      <c r="I288" s="4" t="s">
        <v>1528</v>
      </c>
      <c r="J288" s="4" t="s">
        <v>130</v>
      </c>
    </row>
    <row r="289" customFormat="false" ht="15" hidden="false" customHeight="false" outlineLevel="0" collapsed="false">
      <c r="A289" s="5" t="n">
        <v>40894</v>
      </c>
      <c r="B289" s="5" t="s">
        <v>72</v>
      </c>
      <c r="C289" s="5" t="s">
        <v>1529</v>
      </c>
      <c r="D289" s="4" t="s">
        <v>26</v>
      </c>
      <c r="E289" s="4" t="s">
        <v>1113</v>
      </c>
      <c r="F289" s="4" t="s">
        <v>1140</v>
      </c>
      <c r="G289" s="5" t="n">
        <v>85</v>
      </c>
      <c r="H289" s="5" t="s">
        <v>1121</v>
      </c>
      <c r="I289" s="4" t="s">
        <v>1530</v>
      </c>
      <c r="J289" s="4" t="s">
        <v>130</v>
      </c>
    </row>
    <row r="290" customFormat="false" ht="15" hidden="false" customHeight="false" outlineLevel="0" collapsed="false">
      <c r="A290" s="5" t="n">
        <v>42758</v>
      </c>
      <c r="B290" s="5" t="s">
        <v>72</v>
      </c>
      <c r="C290" s="5" t="s">
        <v>945</v>
      </c>
      <c r="D290" s="4" t="s">
        <v>32</v>
      </c>
      <c r="E290" s="4" t="s">
        <v>1113</v>
      </c>
      <c r="F290" s="4" t="s">
        <v>1140</v>
      </c>
      <c r="G290" s="5" t="n">
        <v>145</v>
      </c>
      <c r="H290" s="5" t="s">
        <v>1121</v>
      </c>
      <c r="I290" s="4" t="s">
        <v>1531</v>
      </c>
      <c r="J290" s="4" t="s">
        <v>130</v>
      </c>
    </row>
    <row r="291" customFormat="false" ht="15" hidden="false" customHeight="false" outlineLevel="0" collapsed="false">
      <c r="A291" s="5" t="n">
        <v>41650</v>
      </c>
      <c r="B291" s="5" t="s">
        <v>72</v>
      </c>
      <c r="C291" s="5" t="s">
        <v>1532</v>
      </c>
      <c r="D291" s="4" t="s">
        <v>22</v>
      </c>
      <c r="E291" s="4" t="s">
        <v>1113</v>
      </c>
      <c r="F291" s="4" t="s">
        <v>1128</v>
      </c>
      <c r="G291" s="5" t="n">
        <v>69</v>
      </c>
      <c r="H291" s="5" t="s">
        <v>1121</v>
      </c>
      <c r="I291" s="4" t="s">
        <v>1533</v>
      </c>
      <c r="J291" s="4" t="s">
        <v>130</v>
      </c>
    </row>
    <row r="292" customFormat="false" ht="15" hidden="false" customHeight="false" outlineLevel="0" collapsed="false">
      <c r="A292" s="5" t="n">
        <v>41067</v>
      </c>
      <c r="B292" s="5" t="s">
        <v>72</v>
      </c>
      <c r="C292" s="5" t="s">
        <v>1273</v>
      </c>
      <c r="D292" s="4" t="s">
        <v>26</v>
      </c>
      <c r="E292" s="4" t="s">
        <v>1232</v>
      </c>
      <c r="F292" s="4"/>
      <c r="G292" s="5" t="n">
        <v>0</v>
      </c>
      <c r="H292" s="5" t="s">
        <v>1115</v>
      </c>
      <c r="I292" s="4"/>
      <c r="J292" s="4" t="s">
        <v>133</v>
      </c>
    </row>
    <row r="293" customFormat="false" ht="15" hidden="false" customHeight="false" outlineLevel="0" collapsed="false">
      <c r="A293" s="5" t="n">
        <v>42761</v>
      </c>
      <c r="B293" s="5" t="s">
        <v>72</v>
      </c>
      <c r="C293" s="5" t="s">
        <v>1534</v>
      </c>
      <c r="D293" s="4" t="s">
        <v>32</v>
      </c>
      <c r="E293" s="4" t="s">
        <v>1113</v>
      </c>
      <c r="F293" s="4" t="s">
        <v>1123</v>
      </c>
      <c r="G293" s="5" t="n">
        <v>96</v>
      </c>
      <c r="H293" s="5" t="s">
        <v>1121</v>
      </c>
      <c r="I293" s="4" t="s">
        <v>1535</v>
      </c>
      <c r="J293" s="4" t="s">
        <v>130</v>
      </c>
    </row>
    <row r="294" customFormat="false" ht="15" hidden="false" customHeight="false" outlineLevel="0" collapsed="false">
      <c r="A294" s="5" t="n">
        <v>41067</v>
      </c>
      <c r="B294" s="5" t="s">
        <v>72</v>
      </c>
      <c r="C294" s="5" t="s">
        <v>162</v>
      </c>
      <c r="D294" s="4" t="s">
        <v>26</v>
      </c>
      <c r="E294" s="4" t="s">
        <v>1113</v>
      </c>
      <c r="F294" s="4" t="s">
        <v>1140</v>
      </c>
      <c r="G294" s="5" t="n">
        <v>99</v>
      </c>
      <c r="H294" s="5" t="s">
        <v>1121</v>
      </c>
      <c r="I294" s="4" t="s">
        <v>1536</v>
      </c>
      <c r="J294" s="4" t="s">
        <v>130</v>
      </c>
    </row>
    <row r="295" customFormat="false" ht="15" hidden="false" customHeight="false" outlineLevel="0" collapsed="false">
      <c r="A295" s="5" t="n">
        <v>41067</v>
      </c>
      <c r="B295" s="5" t="s">
        <v>72</v>
      </c>
      <c r="C295" s="5" t="s">
        <v>352</v>
      </c>
      <c r="D295" s="4" t="s">
        <v>26</v>
      </c>
      <c r="E295" s="4" t="s">
        <v>1232</v>
      </c>
      <c r="F295" s="4"/>
      <c r="G295" s="5" t="n">
        <v>0</v>
      </c>
      <c r="H295" s="5" t="s">
        <v>1115</v>
      </c>
      <c r="I295" s="4"/>
      <c r="J295" s="4" t="s">
        <v>133</v>
      </c>
    </row>
    <row r="296" customFormat="false" ht="15" hidden="false" customHeight="false" outlineLevel="0" collapsed="false">
      <c r="A296" s="5" t="n">
        <v>42763</v>
      </c>
      <c r="B296" s="5" t="s">
        <v>72</v>
      </c>
      <c r="C296" s="5" t="s">
        <v>366</v>
      </c>
      <c r="D296" s="4" t="s">
        <v>26</v>
      </c>
      <c r="E296" s="4" t="s">
        <v>1113</v>
      </c>
      <c r="F296" s="4" t="s">
        <v>1128</v>
      </c>
      <c r="G296" s="5" t="n">
        <v>141</v>
      </c>
      <c r="H296" s="5" t="s">
        <v>1121</v>
      </c>
      <c r="I296" s="4" t="s">
        <v>1537</v>
      </c>
      <c r="J296" s="4" t="s">
        <v>130</v>
      </c>
    </row>
    <row r="297" customFormat="false" ht="15" hidden="false" customHeight="false" outlineLevel="0" collapsed="false">
      <c r="A297" s="5" t="n">
        <v>42764</v>
      </c>
      <c r="B297" s="5" t="s">
        <v>72</v>
      </c>
      <c r="C297" s="5" t="s">
        <v>1538</v>
      </c>
      <c r="D297" s="4" t="s">
        <v>26</v>
      </c>
      <c r="E297" s="4" t="s">
        <v>1113</v>
      </c>
      <c r="F297" s="4" t="s">
        <v>1128</v>
      </c>
      <c r="G297" s="5" t="n">
        <v>84</v>
      </c>
      <c r="H297" s="5" t="s">
        <v>1121</v>
      </c>
      <c r="I297" s="4" t="s">
        <v>1539</v>
      </c>
      <c r="J297" s="4" t="s">
        <v>130</v>
      </c>
    </row>
    <row r="298" customFormat="false" ht="15" hidden="false" customHeight="false" outlineLevel="0" collapsed="false">
      <c r="A298" s="5" t="n">
        <v>41493</v>
      </c>
      <c r="B298" s="5" t="s">
        <v>72</v>
      </c>
      <c r="C298" s="5" t="s">
        <v>1540</v>
      </c>
      <c r="D298" s="4" t="s">
        <v>26</v>
      </c>
      <c r="E298" s="4" t="s">
        <v>1113</v>
      </c>
      <c r="F298" s="4" t="s">
        <v>1114</v>
      </c>
      <c r="G298" s="5" t="n">
        <v>126</v>
      </c>
      <c r="H298" s="5" t="s">
        <v>1121</v>
      </c>
      <c r="I298" s="4" t="s">
        <v>1541</v>
      </c>
      <c r="J298" s="4" t="s">
        <v>130</v>
      </c>
    </row>
    <row r="299" customFormat="false" ht="15" hidden="false" customHeight="false" outlineLevel="0" collapsed="false">
      <c r="A299" s="5" t="n">
        <v>41069</v>
      </c>
      <c r="B299" s="5" t="s">
        <v>72</v>
      </c>
      <c r="C299" s="5" t="s">
        <v>1252</v>
      </c>
      <c r="D299" s="4" t="s">
        <v>26</v>
      </c>
      <c r="E299" s="4" t="s">
        <v>1113</v>
      </c>
      <c r="F299" s="4" t="s">
        <v>1140</v>
      </c>
      <c r="G299" s="5" t="n">
        <v>83</v>
      </c>
      <c r="H299" s="5" t="s">
        <v>1121</v>
      </c>
      <c r="I299" s="4" t="s">
        <v>1542</v>
      </c>
      <c r="J299" s="4" t="s">
        <v>130</v>
      </c>
    </row>
    <row r="300" customFormat="false" ht="15" hidden="false" customHeight="false" outlineLevel="0" collapsed="false">
      <c r="A300" s="5" t="n">
        <v>41126</v>
      </c>
      <c r="B300" s="5" t="s">
        <v>72</v>
      </c>
      <c r="C300" s="5" t="s">
        <v>382</v>
      </c>
      <c r="D300" s="4" t="s">
        <v>26</v>
      </c>
      <c r="E300" s="4" t="s">
        <v>1113</v>
      </c>
      <c r="F300" s="4" t="s">
        <v>1128</v>
      </c>
      <c r="G300" s="5" t="n">
        <v>76</v>
      </c>
      <c r="H300" s="5" t="s">
        <v>1121</v>
      </c>
      <c r="I300" s="4" t="s">
        <v>1543</v>
      </c>
      <c r="J300" s="4" t="s">
        <v>130</v>
      </c>
    </row>
    <row r="301" customFormat="false" ht="15" hidden="false" customHeight="false" outlineLevel="0" collapsed="false">
      <c r="A301" s="5" t="n">
        <v>42765</v>
      </c>
      <c r="B301" s="5" t="s">
        <v>72</v>
      </c>
      <c r="C301" s="5" t="s">
        <v>749</v>
      </c>
      <c r="D301" s="4" t="s">
        <v>28</v>
      </c>
      <c r="E301" s="4" t="s">
        <v>1113</v>
      </c>
      <c r="F301" s="4" t="s">
        <v>1123</v>
      </c>
      <c r="G301" s="5" t="n">
        <v>30</v>
      </c>
      <c r="H301" s="5" t="s">
        <v>1118</v>
      </c>
      <c r="I301" s="4" t="s">
        <v>1544</v>
      </c>
      <c r="J301" s="4" t="s">
        <v>131</v>
      </c>
    </row>
    <row r="302" customFormat="false" ht="15" hidden="false" customHeight="false" outlineLevel="0" collapsed="false">
      <c r="A302" s="5" t="n">
        <v>42766</v>
      </c>
      <c r="B302" s="5" t="s">
        <v>72</v>
      </c>
      <c r="C302" s="5" t="s">
        <v>752</v>
      </c>
      <c r="D302" s="4" t="s">
        <v>28</v>
      </c>
      <c r="E302" s="4" t="s">
        <v>1113</v>
      </c>
      <c r="F302" s="4" t="s">
        <v>1123</v>
      </c>
      <c r="G302" s="5" t="n">
        <v>52</v>
      </c>
      <c r="H302" s="5" t="s">
        <v>1121</v>
      </c>
      <c r="I302" s="4" t="s">
        <v>1545</v>
      </c>
      <c r="J302" s="4" t="s">
        <v>130</v>
      </c>
    </row>
    <row r="303" customFormat="false" ht="15" hidden="false" customHeight="false" outlineLevel="0" collapsed="false">
      <c r="A303" s="5" t="n">
        <v>42767</v>
      </c>
      <c r="B303" s="5" t="s">
        <v>72</v>
      </c>
      <c r="C303" s="5" t="s">
        <v>915</v>
      </c>
      <c r="D303" s="4" t="s">
        <v>28</v>
      </c>
      <c r="E303" s="4" t="s">
        <v>1113</v>
      </c>
      <c r="F303" s="4" t="s">
        <v>1123</v>
      </c>
      <c r="G303" s="5" t="n">
        <v>98</v>
      </c>
      <c r="H303" s="5" t="s">
        <v>1121</v>
      </c>
      <c r="I303" s="4" t="s">
        <v>1546</v>
      </c>
      <c r="J303" s="4" t="s">
        <v>130</v>
      </c>
    </row>
    <row r="304" customFormat="false" ht="15" hidden="false" customHeight="false" outlineLevel="0" collapsed="false">
      <c r="A304" s="5" t="n">
        <v>42768</v>
      </c>
      <c r="B304" s="5" t="s">
        <v>72</v>
      </c>
      <c r="C304" s="5" t="s">
        <v>916</v>
      </c>
      <c r="D304" s="4" t="s">
        <v>28</v>
      </c>
      <c r="E304" s="4" t="s">
        <v>1113</v>
      </c>
      <c r="F304" s="4" t="s">
        <v>1123</v>
      </c>
      <c r="G304" s="5" t="n">
        <v>41</v>
      </c>
      <c r="H304" s="5" t="s">
        <v>1121</v>
      </c>
      <c r="I304" s="4" t="s">
        <v>1331</v>
      </c>
      <c r="J304" s="4" t="s">
        <v>130</v>
      </c>
    </row>
    <row r="305" customFormat="false" ht="15" hidden="false" customHeight="false" outlineLevel="0" collapsed="false">
      <c r="A305" s="5" t="n">
        <v>42769</v>
      </c>
      <c r="B305" s="5" t="s">
        <v>72</v>
      </c>
      <c r="C305" s="5" t="s">
        <v>635</v>
      </c>
      <c r="D305" s="4" t="s">
        <v>28</v>
      </c>
      <c r="E305" s="4" t="s">
        <v>1113</v>
      </c>
      <c r="F305" s="4" t="s">
        <v>1123</v>
      </c>
      <c r="G305" s="5" t="n">
        <v>46</v>
      </c>
      <c r="H305" s="5" t="s">
        <v>1121</v>
      </c>
      <c r="I305" s="4" t="s">
        <v>1547</v>
      </c>
      <c r="J305" s="4" t="s">
        <v>130</v>
      </c>
    </row>
    <row r="306" customFormat="false" ht="15" hidden="false" customHeight="false" outlineLevel="0" collapsed="false">
      <c r="A306" s="5" t="n">
        <v>42770</v>
      </c>
      <c r="B306" s="5" t="s">
        <v>72</v>
      </c>
      <c r="C306" s="5" t="s">
        <v>640</v>
      </c>
      <c r="D306" s="4" t="s">
        <v>28</v>
      </c>
      <c r="E306" s="4" t="s">
        <v>1113</v>
      </c>
      <c r="F306" s="4" t="s">
        <v>1123</v>
      </c>
      <c r="G306" s="5" t="n">
        <v>53</v>
      </c>
      <c r="H306" s="5" t="s">
        <v>1121</v>
      </c>
      <c r="I306" s="4" t="s">
        <v>1548</v>
      </c>
      <c r="J306" s="4" t="s">
        <v>130</v>
      </c>
    </row>
    <row r="307" customFormat="false" ht="15" hidden="false" customHeight="false" outlineLevel="0" collapsed="false">
      <c r="A307" s="5" t="n">
        <v>42771</v>
      </c>
      <c r="B307" s="5" t="s">
        <v>72</v>
      </c>
      <c r="C307" s="5" t="s">
        <v>1549</v>
      </c>
      <c r="D307" s="4" t="s">
        <v>30</v>
      </c>
      <c r="E307" s="4" t="s">
        <v>1113</v>
      </c>
      <c r="F307" s="4" t="s">
        <v>1123</v>
      </c>
      <c r="G307" s="5" t="n">
        <v>110</v>
      </c>
      <c r="H307" s="5" t="s">
        <v>1121</v>
      </c>
      <c r="I307" s="4" t="s">
        <v>1550</v>
      </c>
      <c r="J307" s="4" t="s">
        <v>130</v>
      </c>
    </row>
    <row r="308" customFormat="false" ht="15" hidden="false" customHeight="false" outlineLevel="0" collapsed="false">
      <c r="A308" s="5" t="n">
        <v>42772</v>
      </c>
      <c r="B308" s="5" t="s">
        <v>72</v>
      </c>
      <c r="C308" s="5" t="s">
        <v>1551</v>
      </c>
      <c r="D308" s="4" t="s">
        <v>30</v>
      </c>
      <c r="E308" s="4" t="s">
        <v>1113</v>
      </c>
      <c r="F308" s="4" t="s">
        <v>1123</v>
      </c>
      <c r="G308" s="5" t="n">
        <v>67</v>
      </c>
      <c r="H308" s="5" t="s">
        <v>1121</v>
      </c>
      <c r="I308" s="4" t="s">
        <v>1552</v>
      </c>
      <c r="J308" s="4" t="s">
        <v>130</v>
      </c>
    </row>
    <row r="309" customFormat="false" ht="15" hidden="false" customHeight="false" outlineLevel="0" collapsed="false">
      <c r="A309" s="5" t="n">
        <v>37808</v>
      </c>
      <c r="B309" s="5" t="s">
        <v>72</v>
      </c>
      <c r="C309" s="5" t="s">
        <v>1553</v>
      </c>
      <c r="D309" s="4" t="s">
        <v>30</v>
      </c>
      <c r="E309" s="4" t="s">
        <v>1113</v>
      </c>
      <c r="F309" s="4" t="s">
        <v>1114</v>
      </c>
      <c r="G309" s="5" t="n">
        <v>81</v>
      </c>
      <c r="H309" s="5" t="s">
        <v>1121</v>
      </c>
      <c r="I309" s="4" t="s">
        <v>1554</v>
      </c>
      <c r="J309" s="4" t="s">
        <v>130</v>
      </c>
    </row>
    <row r="310" customFormat="false" ht="15" hidden="false" customHeight="false" outlineLevel="0" collapsed="false">
      <c r="A310" s="5" t="n">
        <v>42773</v>
      </c>
      <c r="B310" s="5" t="s">
        <v>72</v>
      </c>
      <c r="C310" s="5" t="s">
        <v>1555</v>
      </c>
      <c r="D310" s="4" t="s">
        <v>30</v>
      </c>
      <c r="E310" s="4" t="s">
        <v>1113</v>
      </c>
      <c r="F310" s="4" t="s">
        <v>1123</v>
      </c>
      <c r="G310" s="5" t="n">
        <v>97</v>
      </c>
      <c r="H310" s="5" t="s">
        <v>1121</v>
      </c>
      <c r="I310" s="4" t="s">
        <v>1556</v>
      </c>
      <c r="J310" s="4" t="s">
        <v>130</v>
      </c>
    </row>
    <row r="311" customFormat="false" ht="15" hidden="false" customHeight="false" outlineLevel="0" collapsed="false">
      <c r="A311" s="5" t="n">
        <v>42774</v>
      </c>
      <c r="B311" s="5" t="s">
        <v>72</v>
      </c>
      <c r="C311" s="5" t="s">
        <v>1557</v>
      </c>
      <c r="D311" s="4" t="s">
        <v>30</v>
      </c>
      <c r="E311" s="4" t="s">
        <v>1113</v>
      </c>
      <c r="F311" s="4" t="s">
        <v>1123</v>
      </c>
      <c r="G311" s="5" t="n">
        <v>71</v>
      </c>
      <c r="H311" s="5" t="s">
        <v>1121</v>
      </c>
      <c r="I311" s="4" t="s">
        <v>1558</v>
      </c>
      <c r="J311" s="4" t="s">
        <v>130</v>
      </c>
    </row>
    <row r="312" customFormat="false" ht="15" hidden="false" customHeight="false" outlineLevel="0" collapsed="false">
      <c r="A312" s="5" t="n">
        <v>42775</v>
      </c>
      <c r="B312" s="5" t="s">
        <v>72</v>
      </c>
      <c r="C312" s="5" t="s">
        <v>1559</v>
      </c>
      <c r="D312" s="4" t="s">
        <v>24</v>
      </c>
      <c r="E312" s="4" t="s">
        <v>1113</v>
      </c>
      <c r="F312" s="4" t="s">
        <v>1140</v>
      </c>
      <c r="G312" s="5" t="n">
        <v>83</v>
      </c>
      <c r="H312" s="5" t="s">
        <v>1121</v>
      </c>
      <c r="I312" s="4" t="s">
        <v>1560</v>
      </c>
      <c r="J312" s="4" t="s">
        <v>130</v>
      </c>
    </row>
    <row r="313" customFormat="false" ht="15" hidden="false" customHeight="false" outlineLevel="0" collapsed="false">
      <c r="A313" s="5" t="n">
        <v>42775</v>
      </c>
      <c r="B313" s="5" t="s">
        <v>72</v>
      </c>
      <c r="C313" s="5" t="s">
        <v>1559</v>
      </c>
      <c r="D313" s="4" t="s">
        <v>24</v>
      </c>
      <c r="E313" s="4" t="s">
        <v>1232</v>
      </c>
      <c r="F313" s="4"/>
      <c r="G313" s="5" t="n">
        <v>0</v>
      </c>
      <c r="H313" s="5" t="s">
        <v>1115</v>
      </c>
      <c r="I313" s="4"/>
      <c r="J313" s="4" t="s">
        <v>133</v>
      </c>
    </row>
    <row r="314" customFormat="false" ht="15" hidden="false" customHeight="false" outlineLevel="0" collapsed="false">
      <c r="A314" s="5" t="n">
        <v>42776</v>
      </c>
      <c r="B314" s="5" t="s">
        <v>73</v>
      </c>
      <c r="C314" s="5" t="s">
        <v>1561</v>
      </c>
      <c r="D314" s="4" t="s">
        <v>24</v>
      </c>
      <c r="E314" s="4" t="s">
        <v>1113</v>
      </c>
      <c r="F314" s="4" t="s">
        <v>1140</v>
      </c>
      <c r="G314" s="5" t="n">
        <v>76</v>
      </c>
      <c r="H314" s="5" t="s">
        <v>1121</v>
      </c>
      <c r="I314" s="4" t="s">
        <v>1562</v>
      </c>
      <c r="J314" s="4" t="s">
        <v>130</v>
      </c>
    </row>
    <row r="315" customFormat="false" ht="15" hidden="false" customHeight="false" outlineLevel="0" collapsed="false">
      <c r="A315" s="5" t="n">
        <v>40608</v>
      </c>
      <c r="B315" s="5" t="s">
        <v>73</v>
      </c>
      <c r="C315" s="5" t="s">
        <v>1563</v>
      </c>
      <c r="D315" s="4" t="s">
        <v>24</v>
      </c>
      <c r="E315" s="4" t="s">
        <v>1113</v>
      </c>
      <c r="F315" s="4" t="s">
        <v>1140</v>
      </c>
      <c r="G315" s="5" t="n">
        <v>71</v>
      </c>
      <c r="H315" s="5" t="s">
        <v>1121</v>
      </c>
      <c r="I315" s="4" t="s">
        <v>1564</v>
      </c>
      <c r="J315" s="4" t="s">
        <v>130</v>
      </c>
    </row>
    <row r="316" customFormat="false" ht="15" hidden="false" customHeight="false" outlineLevel="0" collapsed="false">
      <c r="A316" s="5" t="n">
        <v>41700</v>
      </c>
      <c r="B316" s="5" t="s">
        <v>73</v>
      </c>
      <c r="C316" s="5" t="s">
        <v>1563</v>
      </c>
      <c r="D316" s="4" t="s">
        <v>24</v>
      </c>
      <c r="E316" s="4" t="s">
        <v>1113</v>
      </c>
      <c r="F316" s="4" t="s">
        <v>1128</v>
      </c>
      <c r="G316" s="5" t="n">
        <v>47</v>
      </c>
      <c r="H316" s="5" t="s">
        <v>1121</v>
      </c>
      <c r="I316" s="4" t="s">
        <v>1455</v>
      </c>
      <c r="J316" s="4" t="s">
        <v>130</v>
      </c>
    </row>
    <row r="317" customFormat="false" ht="15" hidden="false" customHeight="false" outlineLevel="0" collapsed="false">
      <c r="A317" s="5" t="n">
        <v>37554</v>
      </c>
      <c r="B317" s="5" t="s">
        <v>73</v>
      </c>
      <c r="C317" s="5" t="s">
        <v>1565</v>
      </c>
      <c r="D317" s="4" t="s">
        <v>32</v>
      </c>
      <c r="E317" s="4" t="s">
        <v>1113</v>
      </c>
      <c r="F317" s="4" t="s">
        <v>1123</v>
      </c>
      <c r="G317" s="5" t="n">
        <v>112</v>
      </c>
      <c r="H317" s="5" t="s">
        <v>1121</v>
      </c>
      <c r="I317" s="4" t="s">
        <v>1566</v>
      </c>
      <c r="J317" s="4" t="s">
        <v>130</v>
      </c>
    </row>
    <row r="318" customFormat="false" ht="15" hidden="false" customHeight="false" outlineLevel="0" collapsed="false">
      <c r="A318" s="5" t="n">
        <v>42780</v>
      </c>
      <c r="B318" s="5" t="s">
        <v>73</v>
      </c>
      <c r="C318" s="5" t="s">
        <v>1567</v>
      </c>
      <c r="D318" s="4" t="s">
        <v>30</v>
      </c>
      <c r="E318" s="4" t="s">
        <v>1113</v>
      </c>
      <c r="F318" s="4" t="s">
        <v>1283</v>
      </c>
      <c r="G318" s="5" t="n">
        <v>85</v>
      </c>
      <c r="H318" s="5" t="s">
        <v>1121</v>
      </c>
      <c r="I318" s="4" t="s">
        <v>1568</v>
      </c>
      <c r="J318" s="4" t="s">
        <v>130</v>
      </c>
    </row>
    <row r="319" customFormat="false" ht="23.85" hidden="false" customHeight="false" outlineLevel="0" collapsed="false">
      <c r="A319" s="5" t="n">
        <v>42780</v>
      </c>
      <c r="B319" s="5" t="s">
        <v>73</v>
      </c>
      <c r="C319" s="5" t="s">
        <v>1567</v>
      </c>
      <c r="D319" s="4" t="s">
        <v>30</v>
      </c>
      <c r="E319" s="4" t="s">
        <v>1113</v>
      </c>
      <c r="F319" s="4" t="s">
        <v>1128</v>
      </c>
      <c r="G319" s="5" t="n">
        <v>10</v>
      </c>
      <c r="H319" s="5" t="s">
        <v>1115</v>
      </c>
      <c r="I319" s="4" t="s">
        <v>1142</v>
      </c>
      <c r="J319" s="4" t="s">
        <v>132</v>
      </c>
    </row>
    <row r="320" customFormat="false" ht="15" hidden="false" customHeight="false" outlineLevel="0" collapsed="false">
      <c r="A320" s="5" t="n">
        <v>42781</v>
      </c>
      <c r="B320" s="5" t="s">
        <v>73</v>
      </c>
      <c r="C320" s="5" t="s">
        <v>1569</v>
      </c>
      <c r="D320" s="4" t="s">
        <v>30</v>
      </c>
      <c r="E320" s="4" t="s">
        <v>1113</v>
      </c>
      <c r="F320" s="4" t="s">
        <v>1123</v>
      </c>
      <c r="G320" s="5" t="n">
        <v>85</v>
      </c>
      <c r="H320" s="5" t="s">
        <v>1121</v>
      </c>
      <c r="I320" s="4" t="s">
        <v>1570</v>
      </c>
      <c r="J320" s="4" t="s">
        <v>130</v>
      </c>
    </row>
    <row r="321" customFormat="false" ht="15" hidden="false" customHeight="false" outlineLevel="0" collapsed="false">
      <c r="A321" s="5" t="n">
        <v>37808</v>
      </c>
      <c r="B321" s="5" t="s">
        <v>73</v>
      </c>
      <c r="C321" s="5" t="s">
        <v>1571</v>
      </c>
      <c r="D321" s="4" t="s">
        <v>30</v>
      </c>
      <c r="E321" s="4" t="s">
        <v>1113</v>
      </c>
      <c r="F321" s="4" t="s">
        <v>1123</v>
      </c>
      <c r="G321" s="5" t="n">
        <v>101</v>
      </c>
      <c r="H321" s="5" t="s">
        <v>1121</v>
      </c>
      <c r="I321" s="4" t="s">
        <v>1572</v>
      </c>
      <c r="J321" s="4" t="s">
        <v>130</v>
      </c>
    </row>
    <row r="322" customFormat="false" ht="15" hidden="false" customHeight="false" outlineLevel="0" collapsed="false">
      <c r="A322" s="5" t="n">
        <v>42784</v>
      </c>
      <c r="B322" s="5" t="s">
        <v>73</v>
      </c>
      <c r="C322" s="5" t="s">
        <v>266</v>
      </c>
      <c r="D322" s="4" t="s">
        <v>24</v>
      </c>
      <c r="E322" s="4" t="s">
        <v>1113</v>
      </c>
      <c r="F322" s="4" t="s">
        <v>1123</v>
      </c>
      <c r="G322" s="5" t="n">
        <v>99</v>
      </c>
      <c r="H322" s="5" t="s">
        <v>1121</v>
      </c>
      <c r="I322" s="4" t="s">
        <v>1573</v>
      </c>
      <c r="J322" s="4" t="s">
        <v>130</v>
      </c>
    </row>
    <row r="323" customFormat="false" ht="15" hidden="false" customHeight="false" outlineLevel="0" collapsed="false">
      <c r="A323" s="5" t="n">
        <v>42785</v>
      </c>
      <c r="B323" s="5" t="s">
        <v>73</v>
      </c>
      <c r="C323" s="5" t="s">
        <v>1359</v>
      </c>
      <c r="D323" s="4" t="s">
        <v>32</v>
      </c>
      <c r="E323" s="4" t="s">
        <v>1113</v>
      </c>
      <c r="F323" s="4" t="s">
        <v>1114</v>
      </c>
      <c r="G323" s="5" t="n">
        <v>146</v>
      </c>
      <c r="H323" s="5" t="s">
        <v>1121</v>
      </c>
      <c r="I323" s="4" t="s">
        <v>1574</v>
      </c>
      <c r="J323" s="4" t="s">
        <v>130</v>
      </c>
    </row>
    <row r="324" customFormat="false" ht="15" hidden="false" customHeight="false" outlineLevel="0" collapsed="false">
      <c r="A324" s="5" t="n">
        <v>40498</v>
      </c>
      <c r="B324" s="5" t="s">
        <v>73</v>
      </c>
      <c r="C324" s="5" t="s">
        <v>1575</v>
      </c>
      <c r="D324" s="4" t="s">
        <v>32</v>
      </c>
      <c r="E324" s="4" t="s">
        <v>1113</v>
      </c>
      <c r="F324" s="4" t="s">
        <v>1140</v>
      </c>
      <c r="G324" s="5" t="n">
        <v>107</v>
      </c>
      <c r="H324" s="5" t="s">
        <v>1121</v>
      </c>
      <c r="I324" s="4" t="s">
        <v>1576</v>
      </c>
      <c r="J324" s="4" t="s">
        <v>130</v>
      </c>
    </row>
    <row r="325" customFormat="false" ht="15" hidden="false" customHeight="false" outlineLevel="0" collapsed="false">
      <c r="A325" s="5" t="n">
        <v>41650</v>
      </c>
      <c r="B325" s="5" t="s">
        <v>73</v>
      </c>
      <c r="C325" s="5" t="s">
        <v>1577</v>
      </c>
      <c r="D325" s="4" t="s">
        <v>22</v>
      </c>
      <c r="E325" s="4" t="s">
        <v>1113</v>
      </c>
      <c r="F325" s="4" t="s">
        <v>1128</v>
      </c>
      <c r="G325" s="5" t="n">
        <v>24</v>
      </c>
      <c r="H325" s="5" t="s">
        <v>1118</v>
      </c>
      <c r="I325" s="4" t="s">
        <v>1578</v>
      </c>
      <c r="J325" s="4" t="s">
        <v>131</v>
      </c>
    </row>
    <row r="326" customFormat="false" ht="15" hidden="false" customHeight="false" outlineLevel="0" collapsed="false">
      <c r="A326" s="5" t="n">
        <v>42789</v>
      </c>
      <c r="B326" s="5" t="s">
        <v>73</v>
      </c>
      <c r="C326" s="5" t="s">
        <v>748</v>
      </c>
      <c r="D326" s="4" t="s">
        <v>28</v>
      </c>
      <c r="E326" s="4" t="s">
        <v>1113</v>
      </c>
      <c r="F326" s="4" t="s">
        <v>1123</v>
      </c>
      <c r="G326" s="5" t="n">
        <v>66</v>
      </c>
      <c r="H326" s="5" t="s">
        <v>1121</v>
      </c>
      <c r="I326" s="4" t="s">
        <v>1579</v>
      </c>
      <c r="J326" s="4" t="s">
        <v>130</v>
      </c>
    </row>
    <row r="327" customFormat="false" ht="15" hidden="false" customHeight="false" outlineLevel="0" collapsed="false">
      <c r="A327" s="5" t="n">
        <v>42790</v>
      </c>
      <c r="B327" s="5" t="s">
        <v>73</v>
      </c>
      <c r="C327" s="5" t="s">
        <v>632</v>
      </c>
      <c r="D327" s="4" t="s">
        <v>28</v>
      </c>
      <c r="E327" s="4" t="s">
        <v>1113</v>
      </c>
      <c r="F327" s="4" t="s">
        <v>1123</v>
      </c>
      <c r="G327" s="5" t="n">
        <v>75</v>
      </c>
      <c r="H327" s="5" t="s">
        <v>1121</v>
      </c>
      <c r="I327" s="4" t="s">
        <v>1580</v>
      </c>
      <c r="J327" s="4" t="s">
        <v>130</v>
      </c>
    </row>
    <row r="328" customFormat="false" ht="15" hidden="false" customHeight="false" outlineLevel="0" collapsed="false">
      <c r="A328" s="5" t="n">
        <v>42791</v>
      </c>
      <c r="B328" s="5" t="s">
        <v>73</v>
      </c>
      <c r="C328" s="5" t="s">
        <v>695</v>
      </c>
      <c r="D328" s="4" t="s">
        <v>28</v>
      </c>
      <c r="E328" s="4" t="s">
        <v>1113</v>
      </c>
      <c r="F328" s="4" t="s">
        <v>1123</v>
      </c>
      <c r="G328" s="5" t="n">
        <v>67</v>
      </c>
      <c r="H328" s="5" t="s">
        <v>1121</v>
      </c>
      <c r="I328" s="4" t="s">
        <v>1581</v>
      </c>
      <c r="J328" s="4" t="s">
        <v>130</v>
      </c>
    </row>
    <row r="329" customFormat="false" ht="15" hidden="false" customHeight="false" outlineLevel="0" collapsed="false">
      <c r="A329" s="5" t="n">
        <v>42792</v>
      </c>
      <c r="B329" s="5" t="s">
        <v>73</v>
      </c>
      <c r="C329" s="5" t="s">
        <v>1582</v>
      </c>
      <c r="D329" s="4" t="s">
        <v>28</v>
      </c>
      <c r="E329" s="4" t="s">
        <v>1113</v>
      </c>
      <c r="F329" s="4" t="s">
        <v>1123</v>
      </c>
      <c r="G329" s="5" t="n">
        <v>72</v>
      </c>
      <c r="H329" s="5" t="s">
        <v>1121</v>
      </c>
      <c r="I329" s="4" t="s">
        <v>1583</v>
      </c>
      <c r="J329" s="4" t="s">
        <v>130</v>
      </c>
    </row>
    <row r="330" customFormat="false" ht="15" hidden="false" customHeight="false" outlineLevel="0" collapsed="false">
      <c r="A330" s="5" t="n">
        <v>42793</v>
      </c>
      <c r="B330" s="5" t="s">
        <v>73</v>
      </c>
      <c r="C330" s="5" t="s">
        <v>915</v>
      </c>
      <c r="D330" s="4" t="s">
        <v>28</v>
      </c>
      <c r="E330" s="4" t="s">
        <v>1113</v>
      </c>
      <c r="F330" s="4" t="s">
        <v>1123</v>
      </c>
      <c r="G330" s="5" t="n">
        <v>40</v>
      </c>
      <c r="H330" s="5" t="s">
        <v>1121</v>
      </c>
      <c r="I330" s="4" t="s">
        <v>1584</v>
      </c>
      <c r="J330" s="4" t="s">
        <v>130</v>
      </c>
    </row>
    <row r="331" customFormat="false" ht="15" hidden="false" customHeight="false" outlineLevel="0" collapsed="false">
      <c r="A331" s="5" t="n">
        <v>42794</v>
      </c>
      <c r="B331" s="5" t="s">
        <v>73</v>
      </c>
      <c r="C331" s="5" t="s">
        <v>757</v>
      </c>
      <c r="D331" s="4" t="s">
        <v>28</v>
      </c>
      <c r="E331" s="4" t="s">
        <v>1113</v>
      </c>
      <c r="F331" s="4" t="s">
        <v>1123</v>
      </c>
      <c r="G331" s="5" t="n">
        <v>46</v>
      </c>
      <c r="H331" s="5" t="s">
        <v>1121</v>
      </c>
      <c r="I331" s="4" t="s">
        <v>1585</v>
      </c>
      <c r="J331" s="4" t="s">
        <v>130</v>
      </c>
    </row>
    <row r="332" customFormat="false" ht="15" hidden="false" customHeight="false" outlineLevel="0" collapsed="false">
      <c r="A332" s="5" t="n">
        <v>42795</v>
      </c>
      <c r="B332" s="5" t="s">
        <v>73</v>
      </c>
      <c r="C332" s="5" t="s">
        <v>917</v>
      </c>
      <c r="D332" s="4" t="s">
        <v>28</v>
      </c>
      <c r="E332" s="4" t="s">
        <v>1113</v>
      </c>
      <c r="F332" s="4" t="s">
        <v>1114</v>
      </c>
      <c r="G332" s="5" t="n">
        <v>64</v>
      </c>
      <c r="H332" s="5" t="s">
        <v>1121</v>
      </c>
      <c r="I332" s="4" t="s">
        <v>1586</v>
      </c>
      <c r="J332" s="4" t="s">
        <v>130</v>
      </c>
    </row>
    <row r="333" customFormat="false" ht="15" hidden="false" customHeight="false" outlineLevel="0" collapsed="false">
      <c r="A333" s="5" t="n">
        <v>41401</v>
      </c>
      <c r="B333" s="5" t="s">
        <v>73</v>
      </c>
      <c r="C333" s="5" t="s">
        <v>1587</v>
      </c>
      <c r="D333" s="4" t="s">
        <v>18</v>
      </c>
      <c r="E333" s="4" t="s">
        <v>1113</v>
      </c>
      <c r="F333" s="4" t="s">
        <v>1114</v>
      </c>
      <c r="G333" s="5" t="n">
        <v>166</v>
      </c>
      <c r="H333" s="5" t="s">
        <v>1121</v>
      </c>
      <c r="I333" s="4" t="s">
        <v>1588</v>
      </c>
      <c r="J333" s="4" t="s">
        <v>130</v>
      </c>
    </row>
    <row r="334" customFormat="false" ht="15" hidden="false" customHeight="false" outlineLevel="0" collapsed="false">
      <c r="A334" s="5" t="n">
        <v>42796</v>
      </c>
      <c r="B334" s="5" t="s">
        <v>73</v>
      </c>
      <c r="C334" s="5" t="s">
        <v>710</v>
      </c>
      <c r="D334" s="4" t="s">
        <v>18</v>
      </c>
      <c r="E334" s="4" t="s">
        <v>1113</v>
      </c>
      <c r="F334" s="4" t="s">
        <v>1114</v>
      </c>
      <c r="G334" s="5" t="n">
        <v>87</v>
      </c>
      <c r="H334" s="5" t="s">
        <v>1121</v>
      </c>
      <c r="I334" s="4" t="s">
        <v>1589</v>
      </c>
      <c r="J334" s="4" t="s">
        <v>130</v>
      </c>
    </row>
    <row r="335" customFormat="false" ht="15" hidden="false" customHeight="false" outlineLevel="0" collapsed="false">
      <c r="A335" s="5" t="n">
        <v>41486</v>
      </c>
      <c r="B335" s="5" t="s">
        <v>73</v>
      </c>
      <c r="C335" s="5" t="s">
        <v>1590</v>
      </c>
      <c r="D335" s="4" t="s">
        <v>18</v>
      </c>
      <c r="E335" s="4" t="s">
        <v>1113</v>
      </c>
      <c r="F335" s="4" t="s">
        <v>1114</v>
      </c>
      <c r="G335" s="5" t="n">
        <v>68</v>
      </c>
      <c r="H335" s="5" t="s">
        <v>1121</v>
      </c>
      <c r="I335" s="4" t="s">
        <v>1591</v>
      </c>
      <c r="J335" s="4" t="s">
        <v>130</v>
      </c>
    </row>
    <row r="336" customFormat="false" ht="15" hidden="false" customHeight="false" outlineLevel="0" collapsed="false">
      <c r="A336" s="5" t="n">
        <v>41325</v>
      </c>
      <c r="B336" s="5" t="s">
        <v>73</v>
      </c>
      <c r="C336" s="5" t="s">
        <v>713</v>
      </c>
      <c r="D336" s="4" t="s">
        <v>18</v>
      </c>
      <c r="E336" s="4" t="s">
        <v>1113</v>
      </c>
      <c r="F336" s="4" t="s">
        <v>1114</v>
      </c>
      <c r="G336" s="5" t="n">
        <v>107</v>
      </c>
      <c r="H336" s="5" t="s">
        <v>1121</v>
      </c>
      <c r="I336" s="4" t="s">
        <v>1592</v>
      </c>
      <c r="J336" s="4" t="s">
        <v>130</v>
      </c>
    </row>
    <row r="337" customFormat="false" ht="15" hidden="false" customHeight="false" outlineLevel="0" collapsed="false">
      <c r="A337" s="5" t="n">
        <v>35890</v>
      </c>
      <c r="B337" s="5" t="s">
        <v>73</v>
      </c>
      <c r="C337" s="5" t="s">
        <v>1593</v>
      </c>
      <c r="D337" s="4" t="s">
        <v>26</v>
      </c>
      <c r="E337" s="4" t="s">
        <v>1113</v>
      </c>
      <c r="F337" s="4" t="s">
        <v>1128</v>
      </c>
      <c r="G337" s="5" t="n">
        <v>91</v>
      </c>
      <c r="H337" s="5" t="s">
        <v>1121</v>
      </c>
      <c r="I337" s="4" t="s">
        <v>1594</v>
      </c>
      <c r="J337" s="4" t="s">
        <v>130</v>
      </c>
    </row>
    <row r="338" customFormat="false" ht="15" hidden="false" customHeight="false" outlineLevel="0" collapsed="false">
      <c r="A338" s="5" t="n">
        <v>42797</v>
      </c>
      <c r="B338" s="5" t="s">
        <v>73</v>
      </c>
      <c r="C338" s="5" t="s">
        <v>1595</v>
      </c>
      <c r="D338" s="4" t="s">
        <v>22</v>
      </c>
      <c r="E338" s="4" t="s">
        <v>1113</v>
      </c>
      <c r="F338" s="4" t="s">
        <v>1128</v>
      </c>
      <c r="G338" s="5" t="n">
        <v>50</v>
      </c>
      <c r="H338" s="5" t="s">
        <v>1121</v>
      </c>
      <c r="I338" s="4" t="s">
        <v>1596</v>
      </c>
      <c r="J338" s="4" t="s">
        <v>130</v>
      </c>
    </row>
    <row r="339" customFormat="false" ht="15" hidden="false" customHeight="false" outlineLevel="0" collapsed="false">
      <c r="A339" s="5" t="n">
        <v>42798</v>
      </c>
      <c r="B339" s="5" t="s">
        <v>73</v>
      </c>
      <c r="C339" s="5" t="s">
        <v>1597</v>
      </c>
      <c r="D339" s="4" t="s">
        <v>22</v>
      </c>
      <c r="E339" s="4" t="s">
        <v>1113</v>
      </c>
      <c r="F339" s="4" t="s">
        <v>1128</v>
      </c>
      <c r="G339" s="5" t="n">
        <v>65</v>
      </c>
      <c r="H339" s="5" t="s">
        <v>1121</v>
      </c>
      <c r="I339" s="4" t="s">
        <v>1598</v>
      </c>
      <c r="J339" s="4" t="s">
        <v>130</v>
      </c>
    </row>
    <row r="340" customFormat="false" ht="15" hidden="false" customHeight="false" outlineLevel="0" collapsed="false">
      <c r="A340" s="5" t="n">
        <v>42457</v>
      </c>
      <c r="B340" s="5" t="s">
        <v>73</v>
      </c>
      <c r="C340" s="5" t="s">
        <v>1599</v>
      </c>
      <c r="D340" s="4" t="s">
        <v>22</v>
      </c>
      <c r="E340" s="4" t="s">
        <v>1113</v>
      </c>
      <c r="F340" s="4" t="s">
        <v>1128</v>
      </c>
      <c r="G340" s="5" t="n">
        <v>64</v>
      </c>
      <c r="H340" s="5" t="s">
        <v>1121</v>
      </c>
      <c r="I340" s="4" t="s">
        <v>1600</v>
      </c>
      <c r="J340" s="4" t="s">
        <v>130</v>
      </c>
    </row>
    <row r="341" customFormat="false" ht="15" hidden="false" customHeight="false" outlineLevel="0" collapsed="false">
      <c r="A341" s="5" t="n">
        <v>42453</v>
      </c>
      <c r="B341" s="5" t="s">
        <v>73</v>
      </c>
      <c r="C341" s="5" t="s">
        <v>1601</v>
      </c>
      <c r="D341" s="4" t="s">
        <v>22</v>
      </c>
      <c r="E341" s="4" t="s">
        <v>1113</v>
      </c>
      <c r="F341" s="4" t="s">
        <v>1128</v>
      </c>
      <c r="G341" s="5" t="n">
        <v>92</v>
      </c>
      <c r="H341" s="5" t="s">
        <v>1121</v>
      </c>
      <c r="I341" s="4" t="s">
        <v>1602</v>
      </c>
      <c r="J341" s="4" t="s">
        <v>130</v>
      </c>
    </row>
    <row r="342" customFormat="false" ht="15" hidden="false" customHeight="false" outlineLevel="0" collapsed="false">
      <c r="A342" s="5" t="n">
        <v>41952</v>
      </c>
      <c r="B342" s="5" t="s">
        <v>73</v>
      </c>
      <c r="C342" s="5" t="s">
        <v>1072</v>
      </c>
      <c r="D342" s="4" t="s">
        <v>30</v>
      </c>
      <c r="E342" s="4" t="s">
        <v>1113</v>
      </c>
      <c r="F342" s="4" t="s">
        <v>1114</v>
      </c>
      <c r="G342" s="5" t="n">
        <v>64</v>
      </c>
      <c r="H342" s="5" t="s">
        <v>1121</v>
      </c>
      <c r="I342" s="4" t="s">
        <v>1603</v>
      </c>
      <c r="J342" s="4" t="s">
        <v>130</v>
      </c>
    </row>
    <row r="343" customFormat="false" ht="15" hidden="false" customHeight="false" outlineLevel="0" collapsed="false">
      <c r="A343" s="5" t="n">
        <v>39275</v>
      </c>
      <c r="B343" s="5" t="s">
        <v>73</v>
      </c>
      <c r="C343" s="5" t="s">
        <v>1604</v>
      </c>
      <c r="D343" s="4" t="s">
        <v>24</v>
      </c>
      <c r="E343" s="4" t="s">
        <v>1113</v>
      </c>
      <c r="F343" s="4" t="s">
        <v>1128</v>
      </c>
      <c r="G343" s="5" t="n">
        <v>47</v>
      </c>
      <c r="H343" s="5" t="s">
        <v>1121</v>
      </c>
      <c r="I343" s="4" t="s">
        <v>1455</v>
      </c>
      <c r="J343" s="4" t="s">
        <v>130</v>
      </c>
    </row>
    <row r="344" customFormat="false" ht="15" hidden="false" customHeight="false" outlineLevel="0" collapsed="false">
      <c r="A344" s="5" t="n">
        <v>42799</v>
      </c>
      <c r="B344" s="5" t="s">
        <v>73</v>
      </c>
      <c r="C344" s="5" t="s">
        <v>1605</v>
      </c>
      <c r="D344" s="4" t="s">
        <v>24</v>
      </c>
      <c r="E344" s="4" t="s">
        <v>1113</v>
      </c>
      <c r="F344" s="4" t="s">
        <v>1114</v>
      </c>
      <c r="G344" s="5" t="n">
        <v>103</v>
      </c>
      <c r="H344" s="5" t="s">
        <v>1121</v>
      </c>
      <c r="I344" s="4" t="s">
        <v>1606</v>
      </c>
      <c r="J344" s="4" t="s">
        <v>130</v>
      </c>
    </row>
    <row r="345" customFormat="false" ht="15" hidden="false" customHeight="false" outlineLevel="0" collapsed="false">
      <c r="A345" s="5" t="n">
        <v>42180</v>
      </c>
      <c r="B345" s="5" t="s">
        <v>74</v>
      </c>
      <c r="C345" s="5" t="s">
        <v>1607</v>
      </c>
      <c r="D345" s="4" t="s">
        <v>32</v>
      </c>
      <c r="E345" s="4" t="s">
        <v>1113</v>
      </c>
      <c r="F345" s="4" t="s">
        <v>1114</v>
      </c>
      <c r="G345" s="5" t="n">
        <v>150</v>
      </c>
      <c r="H345" s="5" t="s">
        <v>1121</v>
      </c>
      <c r="I345" s="4" t="s">
        <v>1608</v>
      </c>
      <c r="J345" s="4" t="s">
        <v>130</v>
      </c>
    </row>
    <row r="346" customFormat="false" ht="15" hidden="false" customHeight="false" outlineLevel="0" collapsed="false">
      <c r="A346" s="5" t="n">
        <v>40219</v>
      </c>
      <c r="B346" s="5" t="s">
        <v>74</v>
      </c>
      <c r="C346" s="5" t="s">
        <v>1454</v>
      </c>
      <c r="D346" s="4" t="s">
        <v>32</v>
      </c>
      <c r="E346" s="4" t="s">
        <v>1113</v>
      </c>
      <c r="F346" s="4" t="s">
        <v>1123</v>
      </c>
      <c r="G346" s="5" t="n">
        <v>95</v>
      </c>
      <c r="H346" s="5" t="s">
        <v>1121</v>
      </c>
      <c r="I346" s="4" t="s">
        <v>1497</v>
      </c>
      <c r="J346" s="4" t="s">
        <v>130</v>
      </c>
    </row>
    <row r="347" customFormat="false" ht="15" hidden="false" customHeight="false" outlineLevel="0" collapsed="false">
      <c r="A347" s="5" t="n">
        <v>42819</v>
      </c>
      <c r="B347" s="5" t="s">
        <v>74</v>
      </c>
      <c r="C347" s="5" t="s">
        <v>1249</v>
      </c>
      <c r="D347" s="4" t="s">
        <v>28</v>
      </c>
      <c r="E347" s="4" t="s">
        <v>1113</v>
      </c>
      <c r="F347" s="4" t="s">
        <v>1123</v>
      </c>
      <c r="G347" s="5" t="n">
        <v>33</v>
      </c>
      <c r="H347" s="5" t="s">
        <v>1118</v>
      </c>
      <c r="I347" s="4" t="s">
        <v>1609</v>
      </c>
      <c r="J347" s="4" t="s">
        <v>131</v>
      </c>
    </row>
    <row r="348" customFormat="false" ht="15" hidden="false" customHeight="false" outlineLevel="0" collapsed="false">
      <c r="A348" s="5" t="n">
        <v>42820</v>
      </c>
      <c r="B348" s="5" t="s">
        <v>74</v>
      </c>
      <c r="C348" s="5" t="s">
        <v>152</v>
      </c>
      <c r="D348" s="4" t="s">
        <v>28</v>
      </c>
      <c r="E348" s="4" t="s">
        <v>1113</v>
      </c>
      <c r="F348" s="4" t="s">
        <v>1123</v>
      </c>
      <c r="G348" s="5" t="n">
        <v>127</v>
      </c>
      <c r="H348" s="5" t="s">
        <v>1121</v>
      </c>
      <c r="I348" s="4" t="s">
        <v>1610</v>
      </c>
      <c r="J348" s="4" t="s">
        <v>130</v>
      </c>
    </row>
    <row r="349" customFormat="false" ht="15" hidden="false" customHeight="false" outlineLevel="0" collapsed="false">
      <c r="A349" s="5" t="n">
        <v>42821</v>
      </c>
      <c r="B349" s="5" t="s">
        <v>74</v>
      </c>
      <c r="C349" s="5" t="s">
        <v>500</v>
      </c>
      <c r="D349" s="4" t="s">
        <v>28</v>
      </c>
      <c r="E349" s="4" t="s">
        <v>1113</v>
      </c>
      <c r="F349" s="4" t="s">
        <v>1123</v>
      </c>
      <c r="G349" s="5" t="n">
        <v>70</v>
      </c>
      <c r="H349" s="5" t="s">
        <v>1121</v>
      </c>
      <c r="I349" s="4" t="s">
        <v>1611</v>
      </c>
      <c r="J349" s="4" t="s">
        <v>130</v>
      </c>
    </row>
    <row r="350" customFormat="false" ht="15" hidden="false" customHeight="false" outlineLevel="0" collapsed="false">
      <c r="A350" s="5" t="n">
        <v>42822</v>
      </c>
      <c r="B350" s="5" t="s">
        <v>74</v>
      </c>
      <c r="C350" s="5" t="s">
        <v>468</v>
      </c>
      <c r="D350" s="4" t="s">
        <v>28</v>
      </c>
      <c r="E350" s="4" t="s">
        <v>1113</v>
      </c>
      <c r="F350" s="4" t="s">
        <v>1123</v>
      </c>
      <c r="G350" s="5" t="n">
        <v>53</v>
      </c>
      <c r="H350" s="5" t="s">
        <v>1121</v>
      </c>
      <c r="I350" s="4" t="s">
        <v>1612</v>
      </c>
      <c r="J350" s="4" t="s">
        <v>130</v>
      </c>
    </row>
    <row r="351" customFormat="false" ht="15" hidden="false" customHeight="false" outlineLevel="0" collapsed="false">
      <c r="A351" s="5" t="n">
        <v>35402</v>
      </c>
      <c r="B351" s="5" t="s">
        <v>74</v>
      </c>
      <c r="C351" s="5" t="s">
        <v>1613</v>
      </c>
      <c r="D351" s="4" t="s">
        <v>32</v>
      </c>
      <c r="E351" s="4" t="s">
        <v>1113</v>
      </c>
      <c r="F351" s="4" t="s">
        <v>1114</v>
      </c>
      <c r="G351" s="5" t="n">
        <v>126</v>
      </c>
      <c r="H351" s="5" t="s">
        <v>1121</v>
      </c>
      <c r="I351" s="4" t="s">
        <v>1614</v>
      </c>
      <c r="J351" s="4" t="s">
        <v>130</v>
      </c>
    </row>
    <row r="352" customFormat="false" ht="23.85" hidden="false" customHeight="false" outlineLevel="0" collapsed="false">
      <c r="A352" s="5" t="n">
        <v>35173</v>
      </c>
      <c r="B352" s="5" t="s">
        <v>74</v>
      </c>
      <c r="C352" s="5" t="s">
        <v>1480</v>
      </c>
      <c r="D352" s="4" t="s">
        <v>30</v>
      </c>
      <c r="E352" s="4" t="s">
        <v>1113</v>
      </c>
      <c r="F352" s="4" t="s">
        <v>1114</v>
      </c>
      <c r="G352" s="5" t="n">
        <v>14</v>
      </c>
      <c r="H352" s="5" t="s">
        <v>1115</v>
      </c>
      <c r="I352" s="4" t="s">
        <v>1191</v>
      </c>
      <c r="J352" s="4" t="s">
        <v>132</v>
      </c>
    </row>
    <row r="353" customFormat="false" ht="15" hidden="false" customHeight="false" outlineLevel="0" collapsed="false">
      <c r="A353" s="5" t="n">
        <v>42825</v>
      </c>
      <c r="B353" s="5" t="s">
        <v>74</v>
      </c>
      <c r="C353" s="5" t="s">
        <v>1615</v>
      </c>
      <c r="D353" s="4" t="s">
        <v>28</v>
      </c>
      <c r="E353" s="4" t="s">
        <v>1113</v>
      </c>
      <c r="F353" s="4" t="s">
        <v>1114</v>
      </c>
      <c r="G353" s="5" t="n">
        <v>58</v>
      </c>
      <c r="H353" s="5" t="s">
        <v>1121</v>
      </c>
      <c r="I353" s="4" t="s">
        <v>1616</v>
      </c>
      <c r="J353" s="4" t="s">
        <v>130</v>
      </c>
    </row>
    <row r="354" customFormat="false" ht="15" hidden="false" customHeight="false" outlineLevel="0" collapsed="false">
      <c r="A354" s="5" t="n">
        <v>42826</v>
      </c>
      <c r="B354" s="5" t="s">
        <v>74</v>
      </c>
      <c r="C354" s="5" t="s">
        <v>1056</v>
      </c>
      <c r="D354" s="4" t="s">
        <v>22</v>
      </c>
      <c r="E354" s="4" t="s">
        <v>1113</v>
      </c>
      <c r="F354" s="4" t="s">
        <v>1128</v>
      </c>
      <c r="G354" s="5" t="n">
        <v>54</v>
      </c>
      <c r="H354" s="5" t="s">
        <v>1121</v>
      </c>
      <c r="I354" s="4" t="s">
        <v>1617</v>
      </c>
      <c r="J354" s="4" t="s">
        <v>130</v>
      </c>
    </row>
    <row r="355" customFormat="false" ht="15" hidden="false" customHeight="false" outlineLevel="0" collapsed="false">
      <c r="A355" s="5" t="n">
        <v>42827</v>
      </c>
      <c r="B355" s="5" t="s">
        <v>74</v>
      </c>
      <c r="C355" s="5" t="s">
        <v>1618</v>
      </c>
      <c r="D355" s="4" t="s">
        <v>18</v>
      </c>
      <c r="E355" s="4" t="s">
        <v>1113</v>
      </c>
      <c r="F355" s="4" t="s">
        <v>1114</v>
      </c>
      <c r="G355" s="5" t="n">
        <v>166</v>
      </c>
      <c r="H355" s="5" t="s">
        <v>1121</v>
      </c>
      <c r="I355" s="4" t="s">
        <v>1619</v>
      </c>
      <c r="J355" s="4" t="s">
        <v>130</v>
      </c>
    </row>
    <row r="356" customFormat="false" ht="15" hidden="false" customHeight="false" outlineLevel="0" collapsed="false">
      <c r="A356" s="5" t="n">
        <v>41538</v>
      </c>
      <c r="B356" s="5" t="s">
        <v>74</v>
      </c>
      <c r="C356" s="5" t="s">
        <v>243</v>
      </c>
      <c r="D356" s="4" t="s">
        <v>18</v>
      </c>
      <c r="E356" s="4" t="s">
        <v>1113</v>
      </c>
      <c r="F356" s="4" t="s">
        <v>1114</v>
      </c>
      <c r="G356" s="5" t="n">
        <v>72</v>
      </c>
      <c r="H356" s="5" t="s">
        <v>1121</v>
      </c>
      <c r="I356" s="4" t="s">
        <v>1620</v>
      </c>
      <c r="J356" s="4" t="s">
        <v>130</v>
      </c>
    </row>
    <row r="357" customFormat="false" ht="15" hidden="false" customHeight="false" outlineLevel="0" collapsed="false">
      <c r="A357" s="5" t="n">
        <v>39518</v>
      </c>
      <c r="B357" s="5" t="s">
        <v>74</v>
      </c>
      <c r="C357" s="5" t="s">
        <v>1621</v>
      </c>
      <c r="D357" s="4" t="s">
        <v>24</v>
      </c>
      <c r="E357" s="4" t="s">
        <v>1113</v>
      </c>
      <c r="F357" s="4" t="s">
        <v>1114</v>
      </c>
      <c r="G357" s="5" t="n">
        <v>89</v>
      </c>
      <c r="H357" s="5" t="s">
        <v>1121</v>
      </c>
      <c r="I357" s="4" t="s">
        <v>1622</v>
      </c>
      <c r="J357" s="4" t="s">
        <v>130</v>
      </c>
    </row>
    <row r="358" customFormat="false" ht="15" hidden="false" customHeight="false" outlineLevel="0" collapsed="false">
      <c r="A358" s="5" t="n">
        <v>40688</v>
      </c>
      <c r="B358" s="5" t="s">
        <v>74</v>
      </c>
      <c r="C358" s="5" t="s">
        <v>823</v>
      </c>
      <c r="D358" s="4" t="s">
        <v>24</v>
      </c>
      <c r="E358" s="4" t="s">
        <v>1113</v>
      </c>
      <c r="F358" s="4" t="s">
        <v>1114</v>
      </c>
      <c r="G358" s="5" t="n">
        <v>69</v>
      </c>
      <c r="H358" s="5" t="s">
        <v>1121</v>
      </c>
      <c r="I358" s="4" t="s">
        <v>1623</v>
      </c>
      <c r="J358" s="4" t="s">
        <v>130</v>
      </c>
    </row>
    <row r="359" customFormat="false" ht="15" hidden="false" customHeight="false" outlineLevel="0" collapsed="false">
      <c r="A359" s="5" t="n">
        <v>35890</v>
      </c>
      <c r="B359" s="5" t="s">
        <v>74</v>
      </c>
      <c r="C359" s="5" t="s">
        <v>1624</v>
      </c>
      <c r="D359" s="4" t="s">
        <v>26</v>
      </c>
      <c r="E359" s="4" t="s">
        <v>1113</v>
      </c>
      <c r="F359" s="4" t="s">
        <v>1128</v>
      </c>
      <c r="G359" s="5" t="n">
        <v>27</v>
      </c>
      <c r="H359" s="5" t="s">
        <v>1118</v>
      </c>
      <c r="I359" s="4" t="s">
        <v>1625</v>
      </c>
      <c r="J359" s="4" t="s">
        <v>131</v>
      </c>
    </row>
    <row r="360" customFormat="false" ht="15" hidden="false" customHeight="false" outlineLevel="0" collapsed="false">
      <c r="A360" s="5" t="n">
        <v>29458</v>
      </c>
      <c r="B360" s="5" t="s">
        <v>75</v>
      </c>
      <c r="C360" s="5" t="s">
        <v>1352</v>
      </c>
      <c r="D360" s="4" t="s">
        <v>32</v>
      </c>
      <c r="E360" s="4" t="s">
        <v>1113</v>
      </c>
      <c r="F360" s="4" t="s">
        <v>1114</v>
      </c>
      <c r="G360" s="5" t="n">
        <v>112</v>
      </c>
      <c r="H360" s="5" t="s">
        <v>1121</v>
      </c>
      <c r="I360" s="4" t="s">
        <v>1626</v>
      </c>
      <c r="J360" s="4" t="s">
        <v>130</v>
      </c>
    </row>
    <row r="361" customFormat="false" ht="15" hidden="false" customHeight="false" outlineLevel="0" collapsed="false">
      <c r="A361" s="5" t="n">
        <v>29458</v>
      </c>
      <c r="B361" s="5" t="s">
        <v>75</v>
      </c>
      <c r="C361" s="5" t="s">
        <v>522</v>
      </c>
      <c r="D361" s="4" t="s">
        <v>32</v>
      </c>
      <c r="E361" s="4" t="s">
        <v>1232</v>
      </c>
      <c r="F361" s="4"/>
      <c r="G361" s="5" t="n">
        <v>0</v>
      </c>
      <c r="H361" s="5" t="s">
        <v>1115</v>
      </c>
      <c r="I361" s="4"/>
      <c r="J361" s="4" t="s">
        <v>133</v>
      </c>
    </row>
    <row r="362" customFormat="false" ht="15" hidden="false" customHeight="false" outlineLevel="0" collapsed="false">
      <c r="A362" s="5" t="n">
        <v>32761</v>
      </c>
      <c r="B362" s="5" t="s">
        <v>75</v>
      </c>
      <c r="C362" s="5" t="s">
        <v>1627</v>
      </c>
      <c r="D362" s="4" t="s">
        <v>32</v>
      </c>
      <c r="E362" s="4" t="s">
        <v>1113</v>
      </c>
      <c r="F362" s="4" t="s">
        <v>1114</v>
      </c>
      <c r="G362" s="5" t="n">
        <v>59</v>
      </c>
      <c r="H362" s="5" t="s">
        <v>1121</v>
      </c>
      <c r="I362" s="4" t="s">
        <v>1628</v>
      </c>
      <c r="J362" s="4" t="s">
        <v>130</v>
      </c>
    </row>
    <row r="363" customFormat="false" ht="15" hidden="false" customHeight="false" outlineLevel="0" collapsed="false">
      <c r="A363" s="5" t="n">
        <v>32761</v>
      </c>
      <c r="B363" s="5" t="s">
        <v>75</v>
      </c>
      <c r="C363" s="5" t="s">
        <v>1627</v>
      </c>
      <c r="D363" s="4" t="s">
        <v>32</v>
      </c>
      <c r="E363" s="4" t="s">
        <v>1232</v>
      </c>
      <c r="F363" s="4"/>
      <c r="G363" s="5" t="n">
        <v>0</v>
      </c>
      <c r="H363" s="5" t="s">
        <v>1115</v>
      </c>
      <c r="I363" s="4"/>
      <c r="J363" s="4" t="s">
        <v>133</v>
      </c>
    </row>
    <row r="364" customFormat="false" ht="15" hidden="false" customHeight="false" outlineLevel="0" collapsed="false">
      <c r="A364" s="5" t="n">
        <v>41700</v>
      </c>
      <c r="B364" s="5" t="s">
        <v>75</v>
      </c>
      <c r="C364" s="5" t="s">
        <v>904</v>
      </c>
      <c r="D364" s="4" t="s">
        <v>24</v>
      </c>
      <c r="E364" s="4" t="s">
        <v>1113</v>
      </c>
      <c r="F364" s="4" t="s">
        <v>1128</v>
      </c>
      <c r="G364" s="5" t="n">
        <v>47</v>
      </c>
      <c r="H364" s="5" t="s">
        <v>1121</v>
      </c>
      <c r="I364" s="4" t="s">
        <v>1455</v>
      </c>
      <c r="J364" s="4" t="s">
        <v>130</v>
      </c>
    </row>
    <row r="365" customFormat="false" ht="15" hidden="false" customHeight="false" outlineLevel="0" collapsed="false">
      <c r="A365" s="5" t="n">
        <v>42785</v>
      </c>
      <c r="B365" s="5" t="s">
        <v>75</v>
      </c>
      <c r="C365" s="5" t="s">
        <v>1629</v>
      </c>
      <c r="D365" s="4" t="s">
        <v>32</v>
      </c>
      <c r="E365" s="4" t="s">
        <v>1113</v>
      </c>
      <c r="F365" s="4" t="s">
        <v>1114</v>
      </c>
      <c r="G365" s="5" t="n">
        <v>60</v>
      </c>
      <c r="H365" s="5" t="s">
        <v>1121</v>
      </c>
      <c r="I365" s="4" t="s">
        <v>1630</v>
      </c>
      <c r="J365" s="4" t="s">
        <v>130</v>
      </c>
    </row>
    <row r="366" customFormat="false" ht="15" hidden="false" customHeight="false" outlineLevel="0" collapsed="false">
      <c r="A366" s="5" t="n">
        <v>42835</v>
      </c>
      <c r="B366" s="5" t="s">
        <v>75</v>
      </c>
      <c r="C366" s="5" t="s">
        <v>1631</v>
      </c>
      <c r="D366" s="4" t="s">
        <v>32</v>
      </c>
      <c r="E366" s="4" t="s">
        <v>1113</v>
      </c>
      <c r="F366" s="4" t="s">
        <v>1140</v>
      </c>
      <c r="G366" s="5" t="n">
        <v>68</v>
      </c>
      <c r="H366" s="5" t="s">
        <v>1121</v>
      </c>
      <c r="I366" s="4" t="s">
        <v>1632</v>
      </c>
      <c r="J366" s="4" t="s">
        <v>130</v>
      </c>
    </row>
    <row r="367" customFormat="false" ht="15" hidden="false" customHeight="false" outlineLevel="0" collapsed="false">
      <c r="A367" s="5" t="n">
        <v>39349</v>
      </c>
      <c r="B367" s="5" t="s">
        <v>75</v>
      </c>
      <c r="C367" s="5" t="s">
        <v>640</v>
      </c>
      <c r="D367" s="4" t="s">
        <v>32</v>
      </c>
      <c r="E367" s="4" t="s">
        <v>1113</v>
      </c>
      <c r="F367" s="4" t="s">
        <v>1114</v>
      </c>
      <c r="G367" s="5" t="n">
        <v>99</v>
      </c>
      <c r="H367" s="5" t="s">
        <v>1121</v>
      </c>
      <c r="I367" s="4" t="s">
        <v>1633</v>
      </c>
      <c r="J367" s="4" t="s">
        <v>130</v>
      </c>
    </row>
    <row r="368" customFormat="false" ht="15" hidden="false" customHeight="false" outlineLevel="0" collapsed="false">
      <c r="A368" s="5" t="n">
        <v>42836</v>
      </c>
      <c r="B368" s="5" t="s">
        <v>75</v>
      </c>
      <c r="C368" s="5" t="s">
        <v>802</v>
      </c>
      <c r="D368" s="4" t="s">
        <v>28</v>
      </c>
      <c r="E368" s="4" t="s">
        <v>1113</v>
      </c>
      <c r="F368" s="4" t="s">
        <v>1123</v>
      </c>
      <c r="G368" s="5" t="n">
        <v>52</v>
      </c>
      <c r="H368" s="5" t="s">
        <v>1121</v>
      </c>
      <c r="I368" s="4" t="s">
        <v>1634</v>
      </c>
      <c r="J368" s="4" t="s">
        <v>130</v>
      </c>
    </row>
    <row r="369" customFormat="false" ht="15" hidden="false" customHeight="false" outlineLevel="0" collapsed="false">
      <c r="A369" s="5" t="n">
        <v>42837</v>
      </c>
      <c r="B369" s="5" t="s">
        <v>75</v>
      </c>
      <c r="C369" s="5" t="s">
        <v>804</v>
      </c>
      <c r="D369" s="4" t="s">
        <v>28</v>
      </c>
      <c r="E369" s="4" t="s">
        <v>1113</v>
      </c>
      <c r="F369" s="4" t="s">
        <v>1123</v>
      </c>
      <c r="G369" s="5" t="n">
        <v>47</v>
      </c>
      <c r="H369" s="5" t="s">
        <v>1121</v>
      </c>
      <c r="I369" s="4" t="s">
        <v>1635</v>
      </c>
      <c r="J369" s="4" t="s">
        <v>130</v>
      </c>
    </row>
    <row r="370" customFormat="false" ht="15" hidden="false" customHeight="false" outlineLevel="0" collapsed="false">
      <c r="A370" s="5" t="n">
        <v>42838</v>
      </c>
      <c r="B370" s="5" t="s">
        <v>75</v>
      </c>
      <c r="C370" s="5" t="s">
        <v>807</v>
      </c>
      <c r="D370" s="4" t="s">
        <v>28</v>
      </c>
      <c r="E370" s="4" t="s">
        <v>1113</v>
      </c>
      <c r="F370" s="4" t="s">
        <v>1123</v>
      </c>
      <c r="G370" s="5" t="n">
        <v>48</v>
      </c>
      <c r="H370" s="5" t="s">
        <v>1121</v>
      </c>
      <c r="I370" s="4" t="s">
        <v>1636</v>
      </c>
      <c r="J370" s="4" t="s">
        <v>130</v>
      </c>
    </row>
    <row r="371" customFormat="false" ht="23.85" hidden="false" customHeight="false" outlineLevel="0" collapsed="false">
      <c r="A371" s="5" t="n">
        <v>42839</v>
      </c>
      <c r="B371" s="5" t="s">
        <v>75</v>
      </c>
      <c r="C371" s="5" t="s">
        <v>955</v>
      </c>
      <c r="D371" s="4" t="s">
        <v>28</v>
      </c>
      <c r="E371" s="4" t="s">
        <v>1113</v>
      </c>
      <c r="F371" s="4" t="s">
        <v>1114</v>
      </c>
      <c r="G371" s="5" t="n">
        <v>16</v>
      </c>
      <c r="H371" s="5" t="s">
        <v>1115</v>
      </c>
      <c r="I371" s="4" t="s">
        <v>657</v>
      </c>
      <c r="J371" s="4" t="s">
        <v>132</v>
      </c>
    </row>
    <row r="372" customFormat="false" ht="15" hidden="false" customHeight="false" outlineLevel="0" collapsed="false">
      <c r="A372" s="5" t="n">
        <v>40738</v>
      </c>
      <c r="B372" s="5" t="s">
        <v>75</v>
      </c>
      <c r="C372" s="5" t="s">
        <v>1637</v>
      </c>
      <c r="D372" s="4" t="s">
        <v>30</v>
      </c>
      <c r="E372" s="4" t="s">
        <v>1113</v>
      </c>
      <c r="F372" s="4" t="s">
        <v>1123</v>
      </c>
      <c r="G372" s="5" t="n">
        <v>69</v>
      </c>
      <c r="H372" s="5" t="s">
        <v>1121</v>
      </c>
      <c r="I372" s="4" t="s">
        <v>1638</v>
      </c>
      <c r="J372" s="4" t="s">
        <v>130</v>
      </c>
    </row>
    <row r="373" customFormat="false" ht="15" hidden="false" customHeight="false" outlineLevel="0" collapsed="false">
      <c r="A373" s="5" t="n">
        <v>39170</v>
      </c>
      <c r="B373" s="5" t="s">
        <v>75</v>
      </c>
      <c r="C373" s="5" t="s">
        <v>1604</v>
      </c>
      <c r="D373" s="4" t="s">
        <v>30</v>
      </c>
      <c r="E373" s="4" t="s">
        <v>1113</v>
      </c>
      <c r="F373" s="4" t="s">
        <v>1123</v>
      </c>
      <c r="G373" s="5" t="n">
        <v>49</v>
      </c>
      <c r="H373" s="5" t="s">
        <v>1121</v>
      </c>
      <c r="I373" s="4" t="s">
        <v>1639</v>
      </c>
      <c r="J373" s="4" t="s">
        <v>130</v>
      </c>
    </row>
    <row r="374" customFormat="false" ht="15" hidden="false" customHeight="false" outlineLevel="0" collapsed="false">
      <c r="A374" s="5" t="n">
        <v>39061</v>
      </c>
      <c r="B374" s="5" t="s">
        <v>75</v>
      </c>
      <c r="C374" s="5" t="s">
        <v>1624</v>
      </c>
      <c r="D374" s="4" t="s">
        <v>30</v>
      </c>
      <c r="E374" s="4" t="s">
        <v>1113</v>
      </c>
      <c r="F374" s="4" t="s">
        <v>1123</v>
      </c>
      <c r="G374" s="5" t="n">
        <v>31</v>
      </c>
      <c r="H374" s="5" t="s">
        <v>1118</v>
      </c>
      <c r="I374" s="4" t="s">
        <v>1640</v>
      </c>
      <c r="J374" s="4" t="s">
        <v>131</v>
      </c>
    </row>
    <row r="375" customFormat="false" ht="15" hidden="false" customHeight="false" outlineLevel="0" collapsed="false">
      <c r="A375" s="5" t="n">
        <v>42840</v>
      </c>
      <c r="B375" s="5" t="s">
        <v>75</v>
      </c>
      <c r="C375" s="5" t="s">
        <v>1641</v>
      </c>
      <c r="D375" s="4" t="s">
        <v>30</v>
      </c>
      <c r="E375" s="4" t="s">
        <v>1113</v>
      </c>
      <c r="F375" s="4" t="s">
        <v>1123</v>
      </c>
      <c r="G375" s="5" t="n">
        <v>75</v>
      </c>
      <c r="H375" s="5" t="s">
        <v>1121</v>
      </c>
      <c r="I375" s="4" t="s">
        <v>1642</v>
      </c>
      <c r="J375" s="4" t="s">
        <v>130</v>
      </c>
    </row>
    <row r="376" customFormat="false" ht="15" hidden="false" customHeight="false" outlineLevel="0" collapsed="false">
      <c r="A376" s="5" t="n">
        <v>36722</v>
      </c>
      <c r="B376" s="5" t="s">
        <v>75</v>
      </c>
      <c r="C376" s="5" t="s">
        <v>1643</v>
      </c>
      <c r="D376" s="4" t="s">
        <v>30</v>
      </c>
      <c r="E376" s="4" t="s">
        <v>1113</v>
      </c>
      <c r="F376" s="4" t="s">
        <v>1123</v>
      </c>
      <c r="G376" s="5" t="n">
        <v>63</v>
      </c>
      <c r="H376" s="5" t="s">
        <v>1121</v>
      </c>
      <c r="I376" s="4" t="s">
        <v>1644</v>
      </c>
      <c r="J376" s="4" t="s">
        <v>130</v>
      </c>
    </row>
    <row r="377" customFormat="false" ht="15" hidden="false" customHeight="false" outlineLevel="0" collapsed="false">
      <c r="A377" s="5" t="n">
        <v>42841</v>
      </c>
      <c r="B377" s="5" t="s">
        <v>75</v>
      </c>
      <c r="C377" s="5" t="s">
        <v>812</v>
      </c>
      <c r="D377" s="4" t="s">
        <v>30</v>
      </c>
      <c r="E377" s="4" t="s">
        <v>1113</v>
      </c>
      <c r="F377" s="4" t="s">
        <v>1123</v>
      </c>
      <c r="G377" s="5" t="n">
        <v>56</v>
      </c>
      <c r="H377" s="5" t="s">
        <v>1121</v>
      </c>
      <c r="I377" s="4" t="s">
        <v>1645</v>
      </c>
      <c r="J377" s="4" t="s">
        <v>130</v>
      </c>
    </row>
    <row r="378" customFormat="false" ht="15" hidden="false" customHeight="false" outlineLevel="0" collapsed="false">
      <c r="A378" s="5" t="n">
        <v>41724</v>
      </c>
      <c r="B378" s="5" t="s">
        <v>76</v>
      </c>
      <c r="C378" s="5" t="s">
        <v>321</v>
      </c>
      <c r="D378" s="4" t="s">
        <v>22</v>
      </c>
      <c r="E378" s="4" t="s">
        <v>1113</v>
      </c>
      <c r="F378" s="4" t="s">
        <v>1128</v>
      </c>
      <c r="G378" s="5" t="n">
        <v>41</v>
      </c>
      <c r="H378" s="5" t="s">
        <v>1121</v>
      </c>
      <c r="I378" s="4" t="s">
        <v>1646</v>
      </c>
      <c r="J378" s="4" t="s">
        <v>130</v>
      </c>
    </row>
    <row r="379" customFormat="false" ht="15" hidden="false" customHeight="false" outlineLevel="0" collapsed="false">
      <c r="A379" s="5" t="n">
        <v>39951</v>
      </c>
      <c r="B379" s="5" t="s">
        <v>76</v>
      </c>
      <c r="C379" s="5" t="s">
        <v>241</v>
      </c>
      <c r="D379" s="4" t="s">
        <v>22</v>
      </c>
      <c r="E379" s="4" t="s">
        <v>1113</v>
      </c>
      <c r="F379" s="4" t="s">
        <v>1128</v>
      </c>
      <c r="G379" s="5" t="n">
        <v>76</v>
      </c>
      <c r="H379" s="5" t="s">
        <v>1121</v>
      </c>
      <c r="I379" s="4" t="s">
        <v>1647</v>
      </c>
      <c r="J379" s="4" t="s">
        <v>130</v>
      </c>
    </row>
    <row r="380" customFormat="false" ht="15" hidden="false" customHeight="false" outlineLevel="0" collapsed="false">
      <c r="A380" s="5" t="n">
        <v>42842</v>
      </c>
      <c r="B380" s="5" t="s">
        <v>76</v>
      </c>
      <c r="C380" s="5" t="s">
        <v>1474</v>
      </c>
      <c r="D380" s="4" t="s">
        <v>22</v>
      </c>
      <c r="E380" s="4" t="s">
        <v>1113</v>
      </c>
      <c r="F380" s="4" t="s">
        <v>1128</v>
      </c>
      <c r="G380" s="5" t="n">
        <v>53</v>
      </c>
      <c r="H380" s="5" t="s">
        <v>1121</v>
      </c>
      <c r="I380" s="4" t="s">
        <v>1648</v>
      </c>
      <c r="J380" s="4" t="s">
        <v>130</v>
      </c>
    </row>
    <row r="381" customFormat="false" ht="15" hidden="false" customHeight="false" outlineLevel="0" collapsed="false">
      <c r="A381" s="5" t="n">
        <v>42843</v>
      </c>
      <c r="B381" s="5" t="s">
        <v>76</v>
      </c>
      <c r="C381" s="5" t="s">
        <v>1540</v>
      </c>
      <c r="D381" s="4" t="s">
        <v>22</v>
      </c>
      <c r="E381" s="4" t="s">
        <v>1113</v>
      </c>
      <c r="F381" s="4" t="s">
        <v>1128</v>
      </c>
      <c r="G381" s="5" t="n">
        <v>115</v>
      </c>
      <c r="H381" s="5" t="s">
        <v>1121</v>
      </c>
      <c r="I381" s="4" t="s">
        <v>1649</v>
      </c>
      <c r="J381" s="4" t="s">
        <v>130</v>
      </c>
    </row>
    <row r="382" customFormat="false" ht="15" hidden="false" customHeight="false" outlineLevel="0" collapsed="false">
      <c r="A382" s="5" t="n">
        <v>35890</v>
      </c>
      <c r="B382" s="5" t="s">
        <v>76</v>
      </c>
      <c r="C382" s="5" t="s">
        <v>1650</v>
      </c>
      <c r="D382" s="4" t="s">
        <v>26</v>
      </c>
      <c r="E382" s="4" t="s">
        <v>1113</v>
      </c>
      <c r="F382" s="4" t="s">
        <v>1128</v>
      </c>
      <c r="G382" s="5" t="n">
        <v>55</v>
      </c>
      <c r="H382" s="5" t="s">
        <v>1121</v>
      </c>
      <c r="I382" s="4" t="s">
        <v>1651</v>
      </c>
      <c r="J382" s="4" t="s">
        <v>130</v>
      </c>
    </row>
    <row r="383" customFormat="false" ht="15" hidden="false" customHeight="false" outlineLevel="0" collapsed="false">
      <c r="A383" s="5" t="n">
        <v>35913</v>
      </c>
      <c r="B383" s="5" t="s">
        <v>76</v>
      </c>
      <c r="C383" s="5" t="s">
        <v>1652</v>
      </c>
      <c r="D383" s="4" t="s">
        <v>26</v>
      </c>
      <c r="E383" s="4" t="s">
        <v>1113</v>
      </c>
      <c r="F383" s="4" t="s">
        <v>1128</v>
      </c>
      <c r="G383" s="5" t="n">
        <v>45</v>
      </c>
      <c r="H383" s="5" t="s">
        <v>1121</v>
      </c>
      <c r="I383" s="4" t="s">
        <v>1653</v>
      </c>
      <c r="J383" s="4" t="s">
        <v>130</v>
      </c>
    </row>
    <row r="384" customFormat="false" ht="15" hidden="false" customHeight="false" outlineLevel="0" collapsed="false">
      <c r="A384" s="5" t="n">
        <v>42634</v>
      </c>
      <c r="B384" s="5" t="s">
        <v>76</v>
      </c>
      <c r="C384" s="5" t="s">
        <v>1130</v>
      </c>
      <c r="D384" s="4" t="s">
        <v>26</v>
      </c>
      <c r="E384" s="4" t="s">
        <v>1113</v>
      </c>
      <c r="F384" s="4" t="s">
        <v>1277</v>
      </c>
      <c r="G384" s="5" t="n">
        <v>57</v>
      </c>
      <c r="H384" s="5" t="s">
        <v>1121</v>
      </c>
      <c r="I384" s="4" t="s">
        <v>1654</v>
      </c>
      <c r="J384" s="4" t="s">
        <v>130</v>
      </c>
    </row>
    <row r="385" customFormat="false" ht="15" hidden="false" customHeight="false" outlineLevel="0" collapsed="false">
      <c r="A385" s="5" t="n">
        <v>42764</v>
      </c>
      <c r="B385" s="5" t="s">
        <v>76</v>
      </c>
      <c r="C385" s="5" t="s">
        <v>717</v>
      </c>
      <c r="D385" s="4" t="s">
        <v>26</v>
      </c>
      <c r="E385" s="4" t="s">
        <v>1113</v>
      </c>
      <c r="F385" s="4" t="s">
        <v>1128</v>
      </c>
      <c r="G385" s="5" t="n">
        <v>64</v>
      </c>
      <c r="H385" s="5" t="s">
        <v>1121</v>
      </c>
      <c r="I385" s="4" t="s">
        <v>1655</v>
      </c>
      <c r="J385" s="4" t="s">
        <v>130</v>
      </c>
    </row>
    <row r="386" customFormat="false" ht="15" hidden="false" customHeight="false" outlineLevel="0" collapsed="false">
      <c r="A386" s="5" t="n">
        <v>42635</v>
      </c>
      <c r="B386" s="5" t="s">
        <v>76</v>
      </c>
      <c r="C386" s="5" t="s">
        <v>717</v>
      </c>
      <c r="D386" s="4" t="s">
        <v>26</v>
      </c>
      <c r="E386" s="4" t="s">
        <v>1113</v>
      </c>
      <c r="F386" s="4" t="s">
        <v>1114</v>
      </c>
      <c r="G386" s="5" t="n">
        <v>116</v>
      </c>
      <c r="H386" s="5" t="s">
        <v>1121</v>
      </c>
      <c r="I386" s="4" t="s">
        <v>1656</v>
      </c>
      <c r="J386" s="4" t="s">
        <v>130</v>
      </c>
    </row>
    <row r="387" customFormat="false" ht="15" hidden="false" customHeight="false" outlineLevel="0" collapsed="false">
      <c r="A387" s="5" t="n">
        <v>42844</v>
      </c>
      <c r="B387" s="5" t="s">
        <v>76</v>
      </c>
      <c r="C387" s="5" t="s">
        <v>1657</v>
      </c>
      <c r="D387" s="4" t="s">
        <v>22</v>
      </c>
      <c r="E387" s="4" t="s">
        <v>1113</v>
      </c>
      <c r="F387" s="4" t="s">
        <v>1128</v>
      </c>
      <c r="G387" s="5" t="n">
        <v>61</v>
      </c>
      <c r="H387" s="5" t="s">
        <v>1121</v>
      </c>
      <c r="I387" s="4" t="s">
        <v>1658</v>
      </c>
      <c r="J387" s="4" t="s">
        <v>130</v>
      </c>
    </row>
    <row r="388" customFormat="false" ht="15" hidden="false" customHeight="false" outlineLevel="0" collapsed="false">
      <c r="A388" s="5" t="n">
        <v>42845</v>
      </c>
      <c r="B388" s="5" t="s">
        <v>76</v>
      </c>
      <c r="C388" s="5" t="s">
        <v>1659</v>
      </c>
      <c r="D388" s="4" t="s">
        <v>22</v>
      </c>
      <c r="E388" s="4" t="s">
        <v>1113</v>
      </c>
      <c r="F388" s="4" t="s">
        <v>1128</v>
      </c>
      <c r="G388" s="5" t="n">
        <v>62</v>
      </c>
      <c r="H388" s="5" t="s">
        <v>1121</v>
      </c>
      <c r="I388" s="4" t="s">
        <v>1660</v>
      </c>
      <c r="J388" s="4" t="s">
        <v>130</v>
      </c>
    </row>
    <row r="389" customFormat="false" ht="15" hidden="false" customHeight="false" outlineLevel="0" collapsed="false">
      <c r="A389" s="5" t="n">
        <v>41103</v>
      </c>
      <c r="B389" s="5" t="s">
        <v>77</v>
      </c>
      <c r="C389" s="5" t="s">
        <v>1661</v>
      </c>
      <c r="D389" s="4" t="s">
        <v>32</v>
      </c>
      <c r="E389" s="4" t="s">
        <v>1113</v>
      </c>
      <c r="F389" s="4" t="s">
        <v>1123</v>
      </c>
      <c r="G389" s="5" t="n">
        <v>78</v>
      </c>
      <c r="H389" s="5" t="s">
        <v>1121</v>
      </c>
      <c r="I389" s="4" t="s">
        <v>1505</v>
      </c>
      <c r="J389" s="4" t="s">
        <v>130</v>
      </c>
    </row>
    <row r="390" customFormat="false" ht="15" hidden="false" customHeight="false" outlineLevel="0" collapsed="false">
      <c r="A390" s="5" t="n">
        <v>42848</v>
      </c>
      <c r="B390" s="5" t="s">
        <v>77</v>
      </c>
      <c r="C390" s="5" t="s">
        <v>319</v>
      </c>
      <c r="D390" s="4" t="s">
        <v>32</v>
      </c>
      <c r="E390" s="4" t="s">
        <v>1113</v>
      </c>
      <c r="F390" s="4" t="s">
        <v>1123</v>
      </c>
      <c r="G390" s="5" t="n">
        <v>119</v>
      </c>
      <c r="H390" s="5" t="s">
        <v>1121</v>
      </c>
      <c r="I390" s="4" t="s">
        <v>1662</v>
      </c>
      <c r="J390" s="4" t="s">
        <v>130</v>
      </c>
    </row>
    <row r="391" customFormat="false" ht="15" hidden="false" customHeight="false" outlineLevel="0" collapsed="false">
      <c r="A391" s="5" t="n">
        <v>42853</v>
      </c>
      <c r="B391" s="5" t="s">
        <v>77</v>
      </c>
      <c r="C391" s="5" t="s">
        <v>1264</v>
      </c>
      <c r="D391" s="4" t="s">
        <v>26</v>
      </c>
      <c r="E391" s="4" t="s">
        <v>1113</v>
      </c>
      <c r="F391" s="4" t="s">
        <v>1128</v>
      </c>
      <c r="G391" s="5" t="n">
        <v>138</v>
      </c>
      <c r="H391" s="5" t="s">
        <v>1121</v>
      </c>
      <c r="I391" s="4" t="s">
        <v>1663</v>
      </c>
      <c r="J391" s="4" t="s">
        <v>130</v>
      </c>
    </row>
    <row r="392" customFormat="false" ht="15" hidden="false" customHeight="false" outlineLevel="0" collapsed="false">
      <c r="A392" s="5" t="n">
        <v>42855</v>
      </c>
      <c r="B392" s="5" t="s">
        <v>77</v>
      </c>
      <c r="C392" s="5" t="s">
        <v>1176</v>
      </c>
      <c r="D392" s="4" t="s">
        <v>32</v>
      </c>
      <c r="E392" s="4" t="s">
        <v>1113</v>
      </c>
      <c r="F392" s="4" t="s">
        <v>1123</v>
      </c>
      <c r="G392" s="5" t="n">
        <v>77</v>
      </c>
      <c r="H392" s="5" t="s">
        <v>1121</v>
      </c>
      <c r="I392" s="4" t="s">
        <v>1664</v>
      </c>
      <c r="J392" s="4" t="s">
        <v>130</v>
      </c>
    </row>
    <row r="393" customFormat="false" ht="15" hidden="false" customHeight="false" outlineLevel="0" collapsed="false">
      <c r="A393" s="5" t="n">
        <v>42835</v>
      </c>
      <c r="B393" s="5" t="s">
        <v>77</v>
      </c>
      <c r="C393" s="5" t="s">
        <v>1178</v>
      </c>
      <c r="D393" s="4" t="s">
        <v>32</v>
      </c>
      <c r="E393" s="4" t="s">
        <v>1113</v>
      </c>
      <c r="F393" s="4" t="s">
        <v>1123</v>
      </c>
      <c r="G393" s="5" t="n">
        <v>122</v>
      </c>
      <c r="H393" s="5" t="s">
        <v>1121</v>
      </c>
      <c r="I393" s="4" t="s">
        <v>1665</v>
      </c>
      <c r="J393" s="4" t="s">
        <v>130</v>
      </c>
    </row>
    <row r="394" customFormat="false" ht="15" hidden="false" customHeight="false" outlineLevel="0" collapsed="false">
      <c r="A394" s="5" t="n">
        <v>42857</v>
      </c>
      <c r="B394" s="5" t="s">
        <v>77</v>
      </c>
      <c r="C394" s="5" t="s">
        <v>1117</v>
      </c>
      <c r="D394" s="4" t="s">
        <v>24</v>
      </c>
      <c r="E394" s="4" t="s">
        <v>1113</v>
      </c>
      <c r="F394" s="4" t="s">
        <v>1123</v>
      </c>
      <c r="G394" s="5" t="n">
        <v>78</v>
      </c>
      <c r="H394" s="5" t="s">
        <v>1121</v>
      </c>
      <c r="I394" s="4" t="s">
        <v>1666</v>
      </c>
      <c r="J394" s="4" t="s">
        <v>130</v>
      </c>
    </row>
    <row r="395" customFormat="false" ht="15" hidden="false" customHeight="false" outlineLevel="0" collapsed="false">
      <c r="A395" s="5" t="n">
        <v>42856</v>
      </c>
      <c r="B395" s="5" t="s">
        <v>77</v>
      </c>
      <c r="C395" s="5" t="s">
        <v>528</v>
      </c>
      <c r="D395" s="4" t="s">
        <v>24</v>
      </c>
      <c r="E395" s="4" t="s">
        <v>1113</v>
      </c>
      <c r="F395" s="4" t="s">
        <v>1123</v>
      </c>
      <c r="G395" s="5" t="n">
        <v>71</v>
      </c>
      <c r="H395" s="5" t="s">
        <v>1121</v>
      </c>
      <c r="I395" s="4" t="s">
        <v>1667</v>
      </c>
      <c r="J395" s="4" t="s">
        <v>130</v>
      </c>
    </row>
    <row r="396" customFormat="false" ht="15" hidden="false" customHeight="false" outlineLevel="0" collapsed="false">
      <c r="A396" s="5" t="n">
        <v>42858</v>
      </c>
      <c r="B396" s="5" t="s">
        <v>77</v>
      </c>
      <c r="C396" s="5" t="s">
        <v>1668</v>
      </c>
      <c r="D396" s="4" t="s">
        <v>32</v>
      </c>
      <c r="E396" s="4" t="s">
        <v>1113</v>
      </c>
      <c r="F396" s="4" t="s">
        <v>1123</v>
      </c>
      <c r="G396" s="5" t="n">
        <v>194</v>
      </c>
      <c r="H396" s="5" t="s">
        <v>1121</v>
      </c>
      <c r="I396" s="4" t="s">
        <v>1669</v>
      </c>
      <c r="J396" s="4" t="s">
        <v>130</v>
      </c>
    </row>
    <row r="397" customFormat="false" ht="15" hidden="false" customHeight="false" outlineLevel="0" collapsed="false">
      <c r="A397" s="5" t="n">
        <v>42859</v>
      </c>
      <c r="B397" s="5" t="s">
        <v>77</v>
      </c>
      <c r="C397" s="5" t="s">
        <v>533</v>
      </c>
      <c r="D397" s="4" t="s">
        <v>32</v>
      </c>
      <c r="E397" s="4" t="s">
        <v>1113</v>
      </c>
      <c r="F397" s="4" t="s">
        <v>1123</v>
      </c>
      <c r="G397" s="5" t="n">
        <v>74</v>
      </c>
      <c r="H397" s="5" t="s">
        <v>1121</v>
      </c>
      <c r="I397" s="4" t="s">
        <v>1670</v>
      </c>
      <c r="J397" s="4" t="s">
        <v>130</v>
      </c>
    </row>
    <row r="398" customFormat="false" ht="15" hidden="false" customHeight="false" outlineLevel="0" collapsed="false">
      <c r="A398" s="5" t="n">
        <v>42860</v>
      </c>
      <c r="B398" s="5" t="s">
        <v>77</v>
      </c>
      <c r="C398" s="5" t="s">
        <v>1185</v>
      </c>
      <c r="D398" s="4" t="s">
        <v>32</v>
      </c>
      <c r="E398" s="4" t="s">
        <v>1113</v>
      </c>
      <c r="F398" s="4" t="s">
        <v>1123</v>
      </c>
      <c r="G398" s="5" t="n">
        <v>98</v>
      </c>
      <c r="H398" s="5" t="s">
        <v>1121</v>
      </c>
      <c r="I398" s="4" t="s">
        <v>1671</v>
      </c>
      <c r="J398" s="4" t="s">
        <v>130</v>
      </c>
    </row>
    <row r="399" customFormat="false" ht="15" hidden="false" customHeight="false" outlineLevel="0" collapsed="false">
      <c r="A399" s="5" t="n">
        <v>38351</v>
      </c>
      <c r="B399" s="5" t="s">
        <v>77</v>
      </c>
      <c r="C399" s="5" t="s">
        <v>1187</v>
      </c>
      <c r="D399" s="4" t="s">
        <v>32</v>
      </c>
      <c r="E399" s="4" t="s">
        <v>1113</v>
      </c>
      <c r="F399" s="4" t="s">
        <v>1123</v>
      </c>
      <c r="G399" s="5" t="n">
        <v>105</v>
      </c>
      <c r="H399" s="5" t="s">
        <v>1121</v>
      </c>
      <c r="I399" s="4" t="s">
        <v>1672</v>
      </c>
      <c r="J399" s="4" t="s">
        <v>130</v>
      </c>
    </row>
    <row r="400" customFormat="false" ht="15" hidden="false" customHeight="false" outlineLevel="0" collapsed="false">
      <c r="A400" s="5" t="n">
        <v>38351</v>
      </c>
      <c r="B400" s="5" t="s">
        <v>77</v>
      </c>
      <c r="C400" s="5" t="s">
        <v>1187</v>
      </c>
      <c r="D400" s="4" t="s">
        <v>32</v>
      </c>
      <c r="E400" s="4" t="s">
        <v>1232</v>
      </c>
      <c r="F400" s="4"/>
      <c r="G400" s="5" t="n">
        <v>0</v>
      </c>
      <c r="H400" s="5" t="s">
        <v>1115</v>
      </c>
      <c r="I400" s="4"/>
      <c r="J400" s="4" t="s">
        <v>133</v>
      </c>
    </row>
    <row r="401" customFormat="false" ht="15" hidden="false" customHeight="false" outlineLevel="0" collapsed="false">
      <c r="A401" s="5" t="n">
        <v>42861</v>
      </c>
      <c r="B401" s="5" t="s">
        <v>77</v>
      </c>
      <c r="C401" s="5" t="s">
        <v>1673</v>
      </c>
      <c r="D401" s="4" t="s">
        <v>32</v>
      </c>
      <c r="E401" s="4" t="s">
        <v>1113</v>
      </c>
      <c r="F401" s="4" t="s">
        <v>1123</v>
      </c>
      <c r="G401" s="5" t="n">
        <v>116</v>
      </c>
      <c r="H401" s="5" t="s">
        <v>1121</v>
      </c>
      <c r="I401" s="4" t="s">
        <v>1674</v>
      </c>
      <c r="J401" s="4" t="s">
        <v>130</v>
      </c>
    </row>
    <row r="402" customFormat="false" ht="15" hidden="false" customHeight="false" outlineLevel="0" collapsed="false">
      <c r="A402" s="5" t="n">
        <v>42862</v>
      </c>
      <c r="B402" s="5" t="s">
        <v>77</v>
      </c>
      <c r="C402" s="5" t="s">
        <v>1675</v>
      </c>
      <c r="D402" s="4" t="s">
        <v>32</v>
      </c>
      <c r="E402" s="4" t="s">
        <v>1113</v>
      </c>
      <c r="F402" s="4" t="s">
        <v>1123</v>
      </c>
      <c r="G402" s="5" t="n">
        <v>82</v>
      </c>
      <c r="H402" s="5" t="s">
        <v>1121</v>
      </c>
      <c r="I402" s="4" t="s">
        <v>1676</v>
      </c>
      <c r="J402" s="4" t="s">
        <v>130</v>
      </c>
    </row>
    <row r="403" customFormat="false" ht="15" hidden="false" customHeight="false" outlineLevel="0" collapsed="false">
      <c r="A403" s="5" t="n">
        <v>41650</v>
      </c>
      <c r="B403" s="5" t="s">
        <v>77</v>
      </c>
      <c r="C403" s="5" t="s">
        <v>1677</v>
      </c>
      <c r="D403" s="4" t="s">
        <v>22</v>
      </c>
      <c r="E403" s="4" t="s">
        <v>1113</v>
      </c>
      <c r="F403" s="4" t="s">
        <v>1128</v>
      </c>
      <c r="G403" s="5" t="n">
        <v>92</v>
      </c>
      <c r="H403" s="5" t="s">
        <v>1121</v>
      </c>
      <c r="I403" s="4" t="s">
        <v>1678</v>
      </c>
      <c r="J403" s="4" t="s">
        <v>130</v>
      </c>
    </row>
    <row r="404" customFormat="false" ht="15" hidden="false" customHeight="false" outlineLevel="0" collapsed="false">
      <c r="A404" s="5" t="n">
        <v>42457</v>
      </c>
      <c r="B404" s="5" t="s">
        <v>77</v>
      </c>
      <c r="C404" s="5" t="s">
        <v>1679</v>
      </c>
      <c r="D404" s="4" t="s">
        <v>22</v>
      </c>
      <c r="E404" s="4" t="s">
        <v>1113</v>
      </c>
      <c r="F404" s="4" t="s">
        <v>1128</v>
      </c>
      <c r="G404" s="5" t="n">
        <v>41</v>
      </c>
      <c r="H404" s="5" t="s">
        <v>1121</v>
      </c>
      <c r="I404" s="4" t="s">
        <v>1680</v>
      </c>
      <c r="J404" s="4" t="s">
        <v>130</v>
      </c>
    </row>
    <row r="405" customFormat="false" ht="15" hidden="false" customHeight="false" outlineLevel="0" collapsed="false">
      <c r="A405" s="5" t="n">
        <v>42865</v>
      </c>
      <c r="B405" s="5" t="s">
        <v>77</v>
      </c>
      <c r="C405" s="5" t="s">
        <v>1681</v>
      </c>
      <c r="D405" s="4" t="s">
        <v>22</v>
      </c>
      <c r="E405" s="4" t="s">
        <v>1113</v>
      </c>
      <c r="F405" s="4" t="s">
        <v>1128</v>
      </c>
      <c r="G405" s="5" t="n">
        <v>51</v>
      </c>
      <c r="H405" s="5" t="s">
        <v>1121</v>
      </c>
      <c r="I405" s="4" t="s">
        <v>1682</v>
      </c>
      <c r="J405" s="4" t="s">
        <v>130</v>
      </c>
    </row>
    <row r="406" customFormat="false" ht="15" hidden="false" customHeight="false" outlineLevel="0" collapsed="false">
      <c r="A406" s="5" t="n">
        <v>42180</v>
      </c>
      <c r="B406" s="5" t="s">
        <v>77</v>
      </c>
      <c r="C406" s="5" t="s">
        <v>1683</v>
      </c>
      <c r="D406" s="4" t="s">
        <v>32</v>
      </c>
      <c r="E406" s="4" t="s">
        <v>1113</v>
      </c>
      <c r="F406" s="4" t="s">
        <v>1140</v>
      </c>
      <c r="G406" s="5" t="n">
        <v>75</v>
      </c>
      <c r="H406" s="5" t="s">
        <v>1121</v>
      </c>
      <c r="I406" s="4" t="s">
        <v>1684</v>
      </c>
      <c r="J406" s="4" t="s">
        <v>130</v>
      </c>
    </row>
    <row r="407" customFormat="false" ht="15" hidden="false" customHeight="false" outlineLevel="0" collapsed="false">
      <c r="A407" s="5" t="n">
        <v>42870</v>
      </c>
      <c r="B407" s="5" t="s">
        <v>77</v>
      </c>
      <c r="C407" s="5" t="s">
        <v>1685</v>
      </c>
      <c r="D407" s="4" t="s">
        <v>28</v>
      </c>
      <c r="E407" s="4" t="s">
        <v>1113</v>
      </c>
      <c r="F407" s="4" t="s">
        <v>1123</v>
      </c>
      <c r="G407" s="5" t="n">
        <v>67</v>
      </c>
      <c r="H407" s="5" t="s">
        <v>1121</v>
      </c>
      <c r="I407" s="4" t="s">
        <v>1686</v>
      </c>
      <c r="J407" s="4" t="s">
        <v>130</v>
      </c>
    </row>
    <row r="408" customFormat="false" ht="15" hidden="false" customHeight="false" outlineLevel="0" collapsed="false">
      <c r="A408" s="5" t="n">
        <v>42871</v>
      </c>
      <c r="B408" s="5" t="s">
        <v>77</v>
      </c>
      <c r="C408" s="5" t="s">
        <v>1687</v>
      </c>
      <c r="D408" s="4" t="s">
        <v>28</v>
      </c>
      <c r="E408" s="4" t="s">
        <v>1113</v>
      </c>
      <c r="F408" s="4" t="s">
        <v>1123</v>
      </c>
      <c r="G408" s="5" t="n">
        <v>39</v>
      </c>
      <c r="H408" s="5" t="s">
        <v>1118</v>
      </c>
      <c r="I408" s="4" t="s">
        <v>1688</v>
      </c>
      <c r="J408" s="4" t="s">
        <v>131</v>
      </c>
    </row>
    <row r="409" customFormat="false" ht="15" hidden="false" customHeight="false" outlineLevel="0" collapsed="false">
      <c r="A409" s="5" t="n">
        <v>42872</v>
      </c>
      <c r="B409" s="5" t="s">
        <v>77</v>
      </c>
      <c r="C409" s="5" t="s">
        <v>1689</v>
      </c>
      <c r="D409" s="4" t="s">
        <v>28</v>
      </c>
      <c r="E409" s="4" t="s">
        <v>1113</v>
      </c>
      <c r="F409" s="4" t="s">
        <v>1123</v>
      </c>
      <c r="G409" s="5" t="n">
        <v>58</v>
      </c>
      <c r="H409" s="5" t="s">
        <v>1121</v>
      </c>
      <c r="I409" s="4" t="s">
        <v>1690</v>
      </c>
      <c r="J409" s="4" t="s">
        <v>130</v>
      </c>
    </row>
    <row r="410" customFormat="false" ht="15" hidden="false" customHeight="false" outlineLevel="0" collapsed="false">
      <c r="A410" s="5" t="n">
        <v>42822</v>
      </c>
      <c r="B410" s="5" t="s">
        <v>77</v>
      </c>
      <c r="C410" s="5" t="s">
        <v>1691</v>
      </c>
      <c r="D410" s="4" t="s">
        <v>28</v>
      </c>
      <c r="E410" s="4" t="s">
        <v>1113</v>
      </c>
      <c r="F410" s="4" t="s">
        <v>1123</v>
      </c>
      <c r="G410" s="5" t="n">
        <v>89</v>
      </c>
      <c r="H410" s="5" t="s">
        <v>1121</v>
      </c>
      <c r="I410" s="4" t="s">
        <v>1692</v>
      </c>
      <c r="J410" s="4" t="s">
        <v>130</v>
      </c>
    </row>
    <row r="411" customFormat="false" ht="15" hidden="false" customHeight="false" outlineLevel="0" collapsed="false">
      <c r="A411" s="5" t="n">
        <v>42873</v>
      </c>
      <c r="B411" s="5" t="s">
        <v>77</v>
      </c>
      <c r="C411" s="5" t="s">
        <v>1693</v>
      </c>
      <c r="D411" s="4" t="s">
        <v>28</v>
      </c>
      <c r="E411" s="4" t="s">
        <v>1113</v>
      </c>
      <c r="F411" s="4" t="s">
        <v>1123</v>
      </c>
      <c r="G411" s="5" t="n">
        <v>46</v>
      </c>
      <c r="H411" s="5" t="s">
        <v>1121</v>
      </c>
      <c r="I411" s="4" t="s">
        <v>1694</v>
      </c>
      <c r="J411" s="4" t="s">
        <v>130</v>
      </c>
    </row>
    <row r="412" customFormat="false" ht="15" hidden="false" customHeight="false" outlineLevel="0" collapsed="false">
      <c r="A412" s="5" t="n">
        <v>42874</v>
      </c>
      <c r="B412" s="5" t="s">
        <v>77</v>
      </c>
      <c r="C412" s="5" t="s">
        <v>1483</v>
      </c>
      <c r="D412" s="4" t="s">
        <v>28</v>
      </c>
      <c r="E412" s="4" t="s">
        <v>1113</v>
      </c>
      <c r="F412" s="4" t="s">
        <v>1123</v>
      </c>
      <c r="G412" s="5" t="n">
        <v>87</v>
      </c>
      <c r="H412" s="5" t="s">
        <v>1121</v>
      </c>
      <c r="I412" s="4" t="s">
        <v>1695</v>
      </c>
      <c r="J412" s="4" t="s">
        <v>130</v>
      </c>
    </row>
    <row r="413" customFormat="false" ht="15" hidden="false" customHeight="false" outlineLevel="0" collapsed="false">
      <c r="A413" s="5" t="n">
        <v>41080</v>
      </c>
      <c r="B413" s="5" t="s">
        <v>77</v>
      </c>
      <c r="C413" s="5" t="s">
        <v>1290</v>
      </c>
      <c r="D413" s="4" t="s">
        <v>30</v>
      </c>
      <c r="E413" s="4" t="s">
        <v>1113</v>
      </c>
      <c r="F413" s="4" t="s">
        <v>1114</v>
      </c>
      <c r="G413" s="5" t="n">
        <v>26</v>
      </c>
      <c r="H413" s="5" t="s">
        <v>1118</v>
      </c>
      <c r="I413" s="4" t="s">
        <v>1696</v>
      </c>
      <c r="J413" s="4" t="s">
        <v>131</v>
      </c>
    </row>
    <row r="414" customFormat="false" ht="15" hidden="false" customHeight="false" outlineLevel="0" collapsed="false">
      <c r="A414" s="5" t="n">
        <v>35278</v>
      </c>
      <c r="B414" s="5" t="s">
        <v>78</v>
      </c>
      <c r="C414" s="5" t="s">
        <v>1697</v>
      </c>
      <c r="D414" s="4" t="s">
        <v>32</v>
      </c>
      <c r="E414" s="4" t="s">
        <v>1113</v>
      </c>
      <c r="F414" s="4" t="s">
        <v>1123</v>
      </c>
      <c r="G414" s="5" t="n">
        <v>76</v>
      </c>
      <c r="H414" s="5" t="s">
        <v>1121</v>
      </c>
      <c r="I414" s="4" t="s">
        <v>1505</v>
      </c>
      <c r="J414" s="4" t="s">
        <v>130</v>
      </c>
    </row>
    <row r="415" customFormat="false" ht="15" hidden="false" customHeight="false" outlineLevel="0" collapsed="false">
      <c r="A415" s="5" t="n">
        <v>42882</v>
      </c>
      <c r="B415" s="5" t="s">
        <v>78</v>
      </c>
      <c r="C415" s="5" t="s">
        <v>1698</v>
      </c>
      <c r="D415" s="4" t="s">
        <v>24</v>
      </c>
      <c r="E415" s="4" t="s">
        <v>1113</v>
      </c>
      <c r="F415" s="4" t="s">
        <v>1123</v>
      </c>
      <c r="G415" s="5" t="n">
        <v>85</v>
      </c>
      <c r="H415" s="5" t="s">
        <v>1121</v>
      </c>
      <c r="I415" s="4" t="s">
        <v>1699</v>
      </c>
      <c r="J415" s="4" t="s">
        <v>130</v>
      </c>
    </row>
    <row r="416" customFormat="false" ht="15" hidden="false" customHeight="false" outlineLevel="0" collapsed="false">
      <c r="A416" s="5" t="n">
        <v>42883</v>
      </c>
      <c r="B416" s="5" t="s">
        <v>78</v>
      </c>
      <c r="C416" s="5" t="s">
        <v>899</v>
      </c>
      <c r="D416" s="4" t="s">
        <v>24</v>
      </c>
      <c r="E416" s="4" t="s">
        <v>1113</v>
      </c>
      <c r="F416" s="4" t="s">
        <v>1123</v>
      </c>
      <c r="G416" s="5" t="n">
        <v>74</v>
      </c>
      <c r="H416" s="5" t="s">
        <v>1121</v>
      </c>
      <c r="I416" s="4" t="s">
        <v>1700</v>
      </c>
      <c r="J416" s="4" t="s">
        <v>130</v>
      </c>
    </row>
    <row r="417" customFormat="false" ht="15" hidden="false" customHeight="false" outlineLevel="0" collapsed="false">
      <c r="A417" s="5" t="n">
        <v>42884</v>
      </c>
      <c r="B417" s="5" t="s">
        <v>78</v>
      </c>
      <c r="C417" s="5" t="s">
        <v>904</v>
      </c>
      <c r="D417" s="4" t="s">
        <v>24</v>
      </c>
      <c r="E417" s="4" t="s">
        <v>1113</v>
      </c>
      <c r="F417" s="4" t="s">
        <v>1123</v>
      </c>
      <c r="G417" s="5" t="n">
        <v>76</v>
      </c>
      <c r="H417" s="5" t="s">
        <v>1121</v>
      </c>
      <c r="I417" s="4" t="s">
        <v>1701</v>
      </c>
      <c r="J417" s="4" t="s">
        <v>130</v>
      </c>
    </row>
    <row r="418" customFormat="false" ht="15" hidden="false" customHeight="false" outlineLevel="0" collapsed="false">
      <c r="A418" s="5" t="n">
        <v>42635</v>
      </c>
      <c r="B418" s="5" t="s">
        <v>78</v>
      </c>
      <c r="C418" s="5" t="s">
        <v>1178</v>
      </c>
      <c r="D418" s="4" t="s">
        <v>26</v>
      </c>
      <c r="E418" s="4" t="s">
        <v>1113</v>
      </c>
      <c r="F418" s="4" t="s">
        <v>1140</v>
      </c>
      <c r="G418" s="5" t="n">
        <v>64</v>
      </c>
      <c r="H418" s="5" t="s">
        <v>1121</v>
      </c>
      <c r="I418" s="4" t="s">
        <v>1702</v>
      </c>
      <c r="J418" s="4" t="s">
        <v>130</v>
      </c>
    </row>
    <row r="419" customFormat="false" ht="15" hidden="false" customHeight="false" outlineLevel="0" collapsed="false">
      <c r="A419" s="5" t="n">
        <v>38662</v>
      </c>
      <c r="B419" s="5" t="s">
        <v>78</v>
      </c>
      <c r="C419" s="5" t="s">
        <v>1144</v>
      </c>
      <c r="D419" s="4" t="s">
        <v>32</v>
      </c>
      <c r="E419" s="4" t="s">
        <v>1113</v>
      </c>
      <c r="F419" s="4" t="s">
        <v>1140</v>
      </c>
      <c r="G419" s="5" t="n">
        <v>91</v>
      </c>
      <c r="H419" s="5" t="s">
        <v>1121</v>
      </c>
      <c r="I419" s="4" t="s">
        <v>1703</v>
      </c>
      <c r="J419" s="4" t="s">
        <v>130</v>
      </c>
    </row>
    <row r="420" customFormat="false" ht="15" hidden="false" customHeight="false" outlineLevel="0" collapsed="false">
      <c r="A420" s="5" t="n">
        <v>42889</v>
      </c>
      <c r="B420" s="5" t="s">
        <v>78</v>
      </c>
      <c r="C420" s="5" t="s">
        <v>210</v>
      </c>
      <c r="D420" s="4" t="s">
        <v>32</v>
      </c>
      <c r="E420" s="4" t="s">
        <v>1113</v>
      </c>
      <c r="F420" s="4" t="s">
        <v>1140</v>
      </c>
      <c r="G420" s="5" t="n">
        <v>42</v>
      </c>
      <c r="H420" s="5" t="s">
        <v>1121</v>
      </c>
      <c r="I420" s="4" t="s">
        <v>1704</v>
      </c>
      <c r="J420" s="4" t="s">
        <v>130</v>
      </c>
    </row>
    <row r="421" customFormat="false" ht="15" hidden="false" customHeight="false" outlineLevel="0" collapsed="false">
      <c r="A421" s="5" t="n">
        <v>42894</v>
      </c>
      <c r="B421" s="5" t="s">
        <v>78</v>
      </c>
      <c r="C421" s="5" t="s">
        <v>557</v>
      </c>
      <c r="D421" s="4" t="s">
        <v>32</v>
      </c>
      <c r="E421" s="4" t="s">
        <v>1113</v>
      </c>
      <c r="F421" s="4" t="s">
        <v>1123</v>
      </c>
      <c r="G421" s="5" t="n">
        <v>102</v>
      </c>
      <c r="H421" s="5" t="s">
        <v>1121</v>
      </c>
      <c r="I421" s="4" t="s">
        <v>1705</v>
      </c>
      <c r="J421" s="4" t="s">
        <v>130</v>
      </c>
    </row>
    <row r="422" customFormat="false" ht="15" hidden="false" customHeight="false" outlineLevel="0" collapsed="false">
      <c r="A422" s="5" t="n">
        <v>42895</v>
      </c>
      <c r="B422" s="5" t="s">
        <v>78</v>
      </c>
      <c r="C422" s="5" t="s">
        <v>701</v>
      </c>
      <c r="D422" s="4" t="s">
        <v>28</v>
      </c>
      <c r="E422" s="4" t="s">
        <v>1113</v>
      </c>
      <c r="F422" s="4" t="s">
        <v>1123</v>
      </c>
      <c r="G422" s="5" t="n">
        <v>72</v>
      </c>
      <c r="H422" s="5" t="s">
        <v>1121</v>
      </c>
      <c r="I422" s="4" t="s">
        <v>1583</v>
      </c>
      <c r="J422" s="4" t="s">
        <v>130</v>
      </c>
    </row>
    <row r="423" customFormat="false" ht="15" hidden="false" customHeight="false" outlineLevel="0" collapsed="false">
      <c r="A423" s="5" t="n">
        <v>42896</v>
      </c>
      <c r="B423" s="5" t="s">
        <v>78</v>
      </c>
      <c r="C423" s="5" t="s">
        <v>757</v>
      </c>
      <c r="D423" s="4" t="s">
        <v>28</v>
      </c>
      <c r="E423" s="4" t="s">
        <v>1113</v>
      </c>
      <c r="F423" s="4" t="s">
        <v>1123</v>
      </c>
      <c r="G423" s="5" t="n">
        <v>51</v>
      </c>
      <c r="H423" s="5" t="s">
        <v>1121</v>
      </c>
      <c r="I423" s="4" t="s">
        <v>1706</v>
      </c>
      <c r="J423" s="4" t="s">
        <v>130</v>
      </c>
    </row>
    <row r="424" customFormat="false" ht="15" hidden="false" customHeight="false" outlineLevel="0" collapsed="false">
      <c r="A424" s="5" t="n">
        <v>42897</v>
      </c>
      <c r="B424" s="5" t="s">
        <v>78</v>
      </c>
      <c r="C424" s="5" t="s">
        <v>1707</v>
      </c>
      <c r="D424" s="4" t="s">
        <v>28</v>
      </c>
      <c r="E424" s="4" t="s">
        <v>1113</v>
      </c>
      <c r="F424" s="4" t="s">
        <v>1123</v>
      </c>
      <c r="G424" s="5" t="n">
        <v>92</v>
      </c>
      <c r="H424" s="5" t="s">
        <v>1121</v>
      </c>
      <c r="I424" s="4" t="s">
        <v>1255</v>
      </c>
      <c r="J424" s="4" t="s">
        <v>130</v>
      </c>
    </row>
    <row r="425" customFormat="false" ht="15" hidden="false" customHeight="false" outlineLevel="0" collapsed="false">
      <c r="A425" s="5" t="n">
        <v>42898</v>
      </c>
      <c r="B425" s="5" t="s">
        <v>78</v>
      </c>
      <c r="C425" s="5" t="s">
        <v>704</v>
      </c>
      <c r="D425" s="4" t="s">
        <v>28</v>
      </c>
      <c r="E425" s="4" t="s">
        <v>1113</v>
      </c>
      <c r="F425" s="4" t="s">
        <v>1114</v>
      </c>
      <c r="G425" s="5" t="n">
        <v>53</v>
      </c>
      <c r="H425" s="5" t="s">
        <v>1121</v>
      </c>
      <c r="I425" s="4" t="s">
        <v>1708</v>
      </c>
      <c r="J425" s="4" t="s">
        <v>130</v>
      </c>
    </row>
    <row r="426" customFormat="false" ht="15" hidden="false" customHeight="false" outlineLevel="0" collapsed="false">
      <c r="A426" s="5" t="n">
        <v>42899</v>
      </c>
      <c r="B426" s="5" t="s">
        <v>78</v>
      </c>
      <c r="C426" s="5" t="s">
        <v>640</v>
      </c>
      <c r="D426" s="4" t="s">
        <v>28</v>
      </c>
      <c r="E426" s="4" t="s">
        <v>1113</v>
      </c>
      <c r="F426" s="4" t="s">
        <v>1114</v>
      </c>
      <c r="G426" s="5" t="n">
        <v>89</v>
      </c>
      <c r="H426" s="5" t="s">
        <v>1121</v>
      </c>
      <c r="I426" s="4" t="s">
        <v>1709</v>
      </c>
      <c r="J426" s="4" t="s">
        <v>130</v>
      </c>
    </row>
    <row r="427" customFormat="false" ht="15" hidden="false" customHeight="false" outlineLevel="0" collapsed="false">
      <c r="A427" s="5" t="n">
        <v>42900</v>
      </c>
      <c r="B427" s="5" t="s">
        <v>78</v>
      </c>
      <c r="C427" s="5" t="s">
        <v>1458</v>
      </c>
      <c r="D427" s="4" t="s">
        <v>28</v>
      </c>
      <c r="E427" s="4" t="s">
        <v>1113</v>
      </c>
      <c r="F427" s="4" t="s">
        <v>1114</v>
      </c>
      <c r="G427" s="5" t="n">
        <v>34</v>
      </c>
      <c r="H427" s="5" t="s">
        <v>1118</v>
      </c>
      <c r="I427" s="4" t="s">
        <v>1710</v>
      </c>
      <c r="J427" s="4" t="s">
        <v>131</v>
      </c>
    </row>
    <row r="428" customFormat="false" ht="15" hidden="false" customHeight="false" outlineLevel="0" collapsed="false">
      <c r="A428" s="5" t="n">
        <v>42901</v>
      </c>
      <c r="B428" s="5" t="s">
        <v>78</v>
      </c>
      <c r="C428" s="5" t="s">
        <v>1460</v>
      </c>
      <c r="D428" s="4" t="s">
        <v>28</v>
      </c>
      <c r="E428" s="4" t="s">
        <v>1113</v>
      </c>
      <c r="F428" s="4" t="s">
        <v>1114</v>
      </c>
      <c r="G428" s="5" t="n">
        <v>38</v>
      </c>
      <c r="H428" s="5" t="s">
        <v>1118</v>
      </c>
      <c r="I428" s="4" t="s">
        <v>1711</v>
      </c>
      <c r="J428" s="4" t="s">
        <v>131</v>
      </c>
    </row>
    <row r="429" customFormat="false" ht="15" hidden="false" customHeight="false" outlineLevel="0" collapsed="false">
      <c r="A429" s="5" t="n">
        <v>42902</v>
      </c>
      <c r="B429" s="5" t="s">
        <v>78</v>
      </c>
      <c r="C429" s="5" t="s">
        <v>1712</v>
      </c>
      <c r="D429" s="4" t="s">
        <v>28</v>
      </c>
      <c r="E429" s="4" t="s">
        <v>1113</v>
      </c>
      <c r="F429" s="4" t="s">
        <v>1114</v>
      </c>
      <c r="G429" s="5" t="n">
        <v>52</v>
      </c>
      <c r="H429" s="5" t="s">
        <v>1121</v>
      </c>
      <c r="I429" s="4" t="s">
        <v>1713</v>
      </c>
      <c r="J429" s="4" t="s">
        <v>130</v>
      </c>
    </row>
    <row r="430" customFormat="false" ht="15" hidden="false" customHeight="false" outlineLevel="0" collapsed="false">
      <c r="A430" s="5" t="n">
        <v>42903</v>
      </c>
      <c r="B430" s="5" t="s">
        <v>78</v>
      </c>
      <c r="C430" s="5" t="s">
        <v>975</v>
      </c>
      <c r="D430" s="4" t="s">
        <v>22</v>
      </c>
      <c r="E430" s="4" t="s">
        <v>1113</v>
      </c>
      <c r="F430" s="4" t="s">
        <v>1128</v>
      </c>
      <c r="G430" s="5" t="n">
        <v>33</v>
      </c>
      <c r="H430" s="5" t="s">
        <v>1118</v>
      </c>
      <c r="I430" s="4" t="s">
        <v>1714</v>
      </c>
      <c r="J430" s="4" t="s">
        <v>131</v>
      </c>
    </row>
    <row r="431" customFormat="false" ht="15" hidden="false" customHeight="false" outlineLevel="0" collapsed="false">
      <c r="A431" s="5" t="n">
        <v>42904</v>
      </c>
      <c r="B431" s="5" t="s">
        <v>78</v>
      </c>
      <c r="C431" s="5" t="s">
        <v>1056</v>
      </c>
      <c r="D431" s="4" t="s">
        <v>22</v>
      </c>
      <c r="E431" s="4" t="s">
        <v>1113</v>
      </c>
      <c r="F431" s="4" t="s">
        <v>1128</v>
      </c>
      <c r="G431" s="5" t="n">
        <v>97</v>
      </c>
      <c r="H431" s="5" t="s">
        <v>1121</v>
      </c>
      <c r="I431" s="4" t="s">
        <v>1715</v>
      </c>
      <c r="J431" s="4" t="s">
        <v>130</v>
      </c>
    </row>
    <row r="432" customFormat="false" ht="15" hidden="false" customHeight="false" outlineLevel="0" collapsed="false">
      <c r="A432" s="5" t="n">
        <v>42905</v>
      </c>
      <c r="B432" s="5" t="s">
        <v>78</v>
      </c>
      <c r="C432" s="5" t="s">
        <v>1397</v>
      </c>
      <c r="D432" s="4" t="s">
        <v>22</v>
      </c>
      <c r="E432" s="4" t="s">
        <v>1113</v>
      </c>
      <c r="F432" s="4" t="s">
        <v>1128</v>
      </c>
      <c r="G432" s="5" t="n">
        <v>55</v>
      </c>
      <c r="H432" s="5" t="s">
        <v>1121</v>
      </c>
      <c r="I432" s="4" t="s">
        <v>1716</v>
      </c>
      <c r="J432" s="4" t="s">
        <v>130</v>
      </c>
    </row>
    <row r="433" customFormat="false" ht="15" hidden="false" customHeight="false" outlineLevel="0" collapsed="false">
      <c r="A433" s="5" t="n">
        <v>42604</v>
      </c>
      <c r="B433" s="5" t="s">
        <v>78</v>
      </c>
      <c r="C433" s="5" t="s">
        <v>1717</v>
      </c>
      <c r="D433" s="4" t="s">
        <v>30</v>
      </c>
      <c r="E433" s="4" t="s">
        <v>1113</v>
      </c>
      <c r="F433" s="4" t="s">
        <v>1123</v>
      </c>
      <c r="G433" s="5" t="n">
        <v>41</v>
      </c>
      <c r="H433" s="5" t="s">
        <v>1121</v>
      </c>
      <c r="I433" s="4" t="s">
        <v>1718</v>
      </c>
      <c r="J433" s="4" t="s">
        <v>130</v>
      </c>
    </row>
    <row r="434" customFormat="false" ht="15" hidden="false" customHeight="false" outlineLevel="0" collapsed="false">
      <c r="A434" s="5" t="n">
        <v>37684</v>
      </c>
      <c r="B434" s="5" t="s">
        <v>78</v>
      </c>
      <c r="C434" s="5" t="s">
        <v>1618</v>
      </c>
      <c r="D434" s="4" t="s">
        <v>30</v>
      </c>
      <c r="E434" s="4" t="s">
        <v>1113</v>
      </c>
      <c r="F434" s="4" t="s">
        <v>1123</v>
      </c>
      <c r="G434" s="5" t="n">
        <v>81</v>
      </c>
      <c r="H434" s="5" t="s">
        <v>1121</v>
      </c>
      <c r="I434" s="4" t="s">
        <v>1719</v>
      </c>
      <c r="J434" s="4" t="s">
        <v>130</v>
      </c>
    </row>
    <row r="435" customFormat="false" ht="15" hidden="false" customHeight="false" outlineLevel="0" collapsed="false">
      <c r="A435" s="5" t="n">
        <v>41952</v>
      </c>
      <c r="B435" s="5" t="s">
        <v>78</v>
      </c>
      <c r="C435" s="5" t="s">
        <v>249</v>
      </c>
      <c r="D435" s="4" t="s">
        <v>30</v>
      </c>
      <c r="E435" s="4" t="s">
        <v>1113</v>
      </c>
      <c r="F435" s="4" t="s">
        <v>1123</v>
      </c>
      <c r="G435" s="5" t="n">
        <v>52</v>
      </c>
      <c r="H435" s="5" t="s">
        <v>1121</v>
      </c>
      <c r="I435" s="4" t="s">
        <v>1720</v>
      </c>
      <c r="J435" s="4" t="s">
        <v>130</v>
      </c>
    </row>
    <row r="436" customFormat="false" ht="15" hidden="false" customHeight="false" outlineLevel="0" collapsed="false">
      <c r="A436" s="5" t="n">
        <v>41608</v>
      </c>
      <c r="B436" s="5" t="s">
        <v>78</v>
      </c>
      <c r="C436" s="5" t="s">
        <v>1165</v>
      </c>
      <c r="D436" s="4" t="s">
        <v>30</v>
      </c>
      <c r="E436" s="4" t="s">
        <v>1113</v>
      </c>
      <c r="F436" s="4" t="s">
        <v>1123</v>
      </c>
      <c r="G436" s="5" t="n">
        <v>27</v>
      </c>
      <c r="H436" s="5" t="s">
        <v>1118</v>
      </c>
      <c r="I436" s="4" t="s">
        <v>1721</v>
      </c>
      <c r="J436" s="4" t="s">
        <v>131</v>
      </c>
    </row>
    <row r="437" customFormat="false" ht="15" hidden="false" customHeight="false" outlineLevel="0" collapsed="false">
      <c r="A437" s="5" t="n">
        <v>42906</v>
      </c>
      <c r="B437" s="5" t="s">
        <v>78</v>
      </c>
      <c r="C437" s="5" t="s">
        <v>1722</v>
      </c>
      <c r="D437" s="4" t="s">
        <v>22</v>
      </c>
      <c r="E437" s="4" t="s">
        <v>1113</v>
      </c>
      <c r="F437" s="4" t="s">
        <v>1128</v>
      </c>
      <c r="G437" s="5" t="n">
        <v>33</v>
      </c>
      <c r="H437" s="5" t="s">
        <v>1118</v>
      </c>
      <c r="I437" s="4" t="s">
        <v>1723</v>
      </c>
      <c r="J437" s="4" t="s">
        <v>131</v>
      </c>
    </row>
    <row r="438" customFormat="false" ht="15" hidden="false" customHeight="false" outlineLevel="0" collapsed="false">
      <c r="A438" s="5" t="n">
        <v>42858</v>
      </c>
      <c r="B438" s="5" t="s">
        <v>79</v>
      </c>
      <c r="C438" s="5" t="s">
        <v>1724</v>
      </c>
      <c r="D438" s="4" t="s">
        <v>32</v>
      </c>
      <c r="E438" s="4" t="s">
        <v>1113</v>
      </c>
      <c r="F438" s="4" t="s">
        <v>1140</v>
      </c>
      <c r="G438" s="5" t="n">
        <v>73</v>
      </c>
      <c r="H438" s="5" t="s">
        <v>1121</v>
      </c>
      <c r="I438" s="4" t="s">
        <v>1725</v>
      </c>
      <c r="J438" s="4" t="s">
        <v>130</v>
      </c>
    </row>
    <row r="439" customFormat="false" ht="15" hidden="false" customHeight="false" outlineLevel="0" collapsed="false">
      <c r="A439" s="5" t="n">
        <v>42907</v>
      </c>
      <c r="B439" s="5" t="s">
        <v>79</v>
      </c>
      <c r="C439" s="5" t="s">
        <v>1726</v>
      </c>
      <c r="D439" s="4" t="s">
        <v>32</v>
      </c>
      <c r="E439" s="4" t="s">
        <v>1113</v>
      </c>
      <c r="F439" s="4" t="s">
        <v>1123</v>
      </c>
      <c r="G439" s="5" t="n">
        <v>106</v>
      </c>
      <c r="H439" s="5" t="s">
        <v>1121</v>
      </c>
      <c r="I439" s="4" t="s">
        <v>1727</v>
      </c>
      <c r="J439" s="4" t="s">
        <v>130</v>
      </c>
    </row>
    <row r="440" customFormat="false" ht="15" hidden="false" customHeight="false" outlineLevel="0" collapsed="false">
      <c r="A440" s="5" t="n">
        <v>40416</v>
      </c>
      <c r="B440" s="5" t="s">
        <v>79</v>
      </c>
      <c r="C440" s="5" t="s">
        <v>627</v>
      </c>
      <c r="D440" s="4" t="s">
        <v>32</v>
      </c>
      <c r="E440" s="4" t="s">
        <v>1113</v>
      </c>
      <c r="F440" s="4" t="s">
        <v>1123</v>
      </c>
      <c r="G440" s="5" t="n">
        <v>90</v>
      </c>
      <c r="H440" s="5" t="s">
        <v>1121</v>
      </c>
      <c r="I440" s="4" t="s">
        <v>1728</v>
      </c>
      <c r="J440" s="4" t="s">
        <v>130</v>
      </c>
    </row>
    <row r="441" customFormat="false" ht="15" hidden="false" customHeight="false" outlineLevel="0" collapsed="false">
      <c r="A441" s="5" t="n">
        <v>31290</v>
      </c>
      <c r="B441" s="5" t="s">
        <v>79</v>
      </c>
      <c r="C441" s="5" t="s">
        <v>1729</v>
      </c>
      <c r="D441" s="4" t="s">
        <v>32</v>
      </c>
      <c r="E441" s="4" t="s">
        <v>1113</v>
      </c>
      <c r="F441" s="4" t="s">
        <v>1123</v>
      </c>
      <c r="G441" s="5" t="n">
        <v>78</v>
      </c>
      <c r="H441" s="5" t="s">
        <v>1121</v>
      </c>
      <c r="I441" s="4" t="s">
        <v>1730</v>
      </c>
      <c r="J441" s="4" t="s">
        <v>130</v>
      </c>
    </row>
    <row r="442" customFormat="false" ht="15" hidden="false" customHeight="false" outlineLevel="0" collapsed="false">
      <c r="A442" s="5" t="n">
        <v>42910</v>
      </c>
      <c r="B442" s="5" t="s">
        <v>79</v>
      </c>
      <c r="C442" s="5" t="s">
        <v>1452</v>
      </c>
      <c r="D442" s="4" t="s">
        <v>32</v>
      </c>
      <c r="E442" s="4" t="s">
        <v>1113</v>
      </c>
      <c r="F442" s="4" t="s">
        <v>1123</v>
      </c>
      <c r="G442" s="5" t="n">
        <v>110</v>
      </c>
      <c r="H442" s="5" t="s">
        <v>1121</v>
      </c>
      <c r="I442" s="4" t="s">
        <v>1731</v>
      </c>
      <c r="J442" s="4" t="s">
        <v>130</v>
      </c>
    </row>
    <row r="443" customFormat="false" ht="15" hidden="false" customHeight="false" outlineLevel="0" collapsed="false">
      <c r="A443" s="5" t="n">
        <v>42913</v>
      </c>
      <c r="B443" s="5" t="s">
        <v>79</v>
      </c>
      <c r="C443" s="5" t="s">
        <v>1732</v>
      </c>
      <c r="D443" s="4" t="s">
        <v>24</v>
      </c>
      <c r="E443" s="4" t="s">
        <v>1113</v>
      </c>
      <c r="F443" s="4" t="s">
        <v>1123</v>
      </c>
      <c r="G443" s="5" t="n">
        <v>93</v>
      </c>
      <c r="H443" s="5" t="s">
        <v>1121</v>
      </c>
      <c r="I443" s="4" t="s">
        <v>1733</v>
      </c>
      <c r="J443" s="4" t="s">
        <v>130</v>
      </c>
    </row>
    <row r="444" customFormat="false" ht="15" hidden="false" customHeight="false" outlineLevel="0" collapsed="false">
      <c r="A444" s="5" t="n">
        <v>42914</v>
      </c>
      <c r="B444" s="5" t="s">
        <v>79</v>
      </c>
      <c r="C444" s="5" t="s">
        <v>1364</v>
      </c>
      <c r="D444" s="4" t="s">
        <v>24</v>
      </c>
      <c r="E444" s="4" t="s">
        <v>1113</v>
      </c>
      <c r="F444" s="4" t="s">
        <v>1123</v>
      </c>
      <c r="G444" s="5" t="n">
        <v>65</v>
      </c>
      <c r="H444" s="5" t="s">
        <v>1121</v>
      </c>
      <c r="I444" s="4" t="s">
        <v>1733</v>
      </c>
      <c r="J444" s="4" t="s">
        <v>130</v>
      </c>
    </row>
    <row r="445" customFormat="false" ht="15" hidden="false" customHeight="false" outlineLevel="0" collapsed="false">
      <c r="A445" s="5" t="n">
        <v>42914</v>
      </c>
      <c r="B445" s="5" t="s">
        <v>79</v>
      </c>
      <c r="C445" s="5" t="s">
        <v>1734</v>
      </c>
      <c r="D445" s="4" t="s">
        <v>24</v>
      </c>
      <c r="E445" s="4" t="s">
        <v>1232</v>
      </c>
      <c r="F445" s="4"/>
      <c r="G445" s="5" t="n">
        <v>0</v>
      </c>
      <c r="H445" s="5" t="s">
        <v>1115</v>
      </c>
      <c r="I445" s="4"/>
      <c r="J445" s="4" t="s">
        <v>133</v>
      </c>
    </row>
    <row r="446" customFormat="false" ht="15" hidden="false" customHeight="false" outlineLevel="0" collapsed="false">
      <c r="A446" s="5" t="n">
        <v>42919</v>
      </c>
      <c r="B446" s="5" t="s">
        <v>79</v>
      </c>
      <c r="C446" s="5" t="s">
        <v>804</v>
      </c>
      <c r="D446" s="4" t="s">
        <v>28</v>
      </c>
      <c r="E446" s="4" t="s">
        <v>1113</v>
      </c>
      <c r="F446" s="4" t="s">
        <v>1114</v>
      </c>
      <c r="G446" s="5" t="n">
        <v>99</v>
      </c>
      <c r="H446" s="5" t="s">
        <v>1121</v>
      </c>
      <c r="I446" s="4" t="s">
        <v>1735</v>
      </c>
      <c r="J446" s="4" t="s">
        <v>130</v>
      </c>
    </row>
    <row r="447" customFormat="false" ht="15" hidden="false" customHeight="false" outlineLevel="0" collapsed="false">
      <c r="A447" s="5" t="n">
        <v>42920</v>
      </c>
      <c r="B447" s="5" t="s">
        <v>79</v>
      </c>
      <c r="C447" s="5" t="s">
        <v>955</v>
      </c>
      <c r="D447" s="4" t="s">
        <v>28</v>
      </c>
      <c r="E447" s="4" t="s">
        <v>1113</v>
      </c>
      <c r="F447" s="4" t="s">
        <v>1114</v>
      </c>
      <c r="G447" s="5" t="n">
        <v>74</v>
      </c>
      <c r="H447" s="5" t="s">
        <v>1121</v>
      </c>
      <c r="I447" s="4" t="s">
        <v>1736</v>
      </c>
      <c r="J447" s="4" t="s">
        <v>130</v>
      </c>
    </row>
    <row r="448" customFormat="false" ht="15" hidden="false" customHeight="false" outlineLevel="0" collapsed="false">
      <c r="A448" s="5" t="n">
        <v>42921</v>
      </c>
      <c r="B448" s="5" t="s">
        <v>79</v>
      </c>
      <c r="C448" s="5" t="s">
        <v>1737</v>
      </c>
      <c r="D448" s="4" t="s">
        <v>28</v>
      </c>
      <c r="E448" s="4" t="s">
        <v>1113</v>
      </c>
      <c r="F448" s="4" t="s">
        <v>1114</v>
      </c>
      <c r="G448" s="5" t="n">
        <v>146</v>
      </c>
      <c r="H448" s="5" t="s">
        <v>1121</v>
      </c>
      <c r="I448" s="4" t="s">
        <v>1738</v>
      </c>
      <c r="J448" s="4" t="s">
        <v>130</v>
      </c>
    </row>
    <row r="449" customFormat="false" ht="15" hidden="false" customHeight="false" outlineLevel="0" collapsed="false">
      <c r="A449" s="5" t="n">
        <v>41952</v>
      </c>
      <c r="B449" s="5" t="s">
        <v>79</v>
      </c>
      <c r="C449" s="5" t="s">
        <v>1739</v>
      </c>
      <c r="D449" s="4" t="s">
        <v>30</v>
      </c>
      <c r="E449" s="4" t="s">
        <v>1113</v>
      </c>
      <c r="F449" s="4" t="s">
        <v>1114</v>
      </c>
      <c r="G449" s="5" t="n">
        <v>47</v>
      </c>
      <c r="H449" s="5" t="s">
        <v>1121</v>
      </c>
      <c r="I449" s="4" t="s">
        <v>1740</v>
      </c>
      <c r="J449" s="4" t="s">
        <v>130</v>
      </c>
    </row>
    <row r="450" customFormat="false" ht="15" hidden="false" customHeight="false" outlineLevel="0" collapsed="false">
      <c r="A450" s="5" t="n">
        <v>20557</v>
      </c>
      <c r="B450" s="5" t="s">
        <v>79</v>
      </c>
      <c r="C450" s="5" t="s">
        <v>1590</v>
      </c>
      <c r="D450" s="4" t="s">
        <v>30</v>
      </c>
      <c r="E450" s="4" t="s">
        <v>1113</v>
      </c>
      <c r="F450" s="4" t="s">
        <v>1123</v>
      </c>
      <c r="G450" s="5" t="n">
        <v>24</v>
      </c>
      <c r="H450" s="5" t="s">
        <v>1118</v>
      </c>
      <c r="I450" s="4" t="s">
        <v>1741</v>
      </c>
      <c r="J450" s="4" t="s">
        <v>131</v>
      </c>
    </row>
    <row r="451" customFormat="false" ht="15" hidden="false" customHeight="false" outlineLevel="0" collapsed="false">
      <c r="A451" s="5" t="n">
        <v>42922</v>
      </c>
      <c r="B451" s="5" t="s">
        <v>79</v>
      </c>
      <c r="C451" s="5" t="s">
        <v>1742</v>
      </c>
      <c r="D451" s="4" t="s">
        <v>30</v>
      </c>
      <c r="E451" s="4" t="s">
        <v>1113</v>
      </c>
      <c r="F451" s="4" t="s">
        <v>1123</v>
      </c>
      <c r="G451" s="5" t="n">
        <v>92</v>
      </c>
      <c r="H451" s="5" t="s">
        <v>1121</v>
      </c>
      <c r="I451" s="4" t="s">
        <v>1743</v>
      </c>
      <c r="J451" s="4" t="s">
        <v>130</v>
      </c>
    </row>
    <row r="452" customFormat="false" ht="15" hidden="false" customHeight="false" outlineLevel="0" collapsed="false">
      <c r="A452" s="5" t="n">
        <v>42923</v>
      </c>
      <c r="B452" s="5" t="s">
        <v>79</v>
      </c>
      <c r="C452" s="5" t="s">
        <v>1744</v>
      </c>
      <c r="D452" s="4" t="s">
        <v>30</v>
      </c>
      <c r="E452" s="4" t="s">
        <v>1113</v>
      </c>
      <c r="F452" s="4" t="s">
        <v>1123</v>
      </c>
      <c r="G452" s="5" t="n">
        <v>115</v>
      </c>
      <c r="H452" s="5" t="s">
        <v>1121</v>
      </c>
      <c r="I452" s="4" t="s">
        <v>1745</v>
      </c>
      <c r="J452" s="4" t="s">
        <v>130</v>
      </c>
    </row>
    <row r="453" customFormat="false" ht="15" hidden="false" customHeight="false" outlineLevel="0" collapsed="false">
      <c r="A453" s="5" t="n">
        <v>42924</v>
      </c>
      <c r="B453" s="5" t="s">
        <v>79</v>
      </c>
      <c r="C453" s="5" t="s">
        <v>1746</v>
      </c>
      <c r="D453" s="4" t="s">
        <v>30</v>
      </c>
      <c r="E453" s="4" t="s">
        <v>1113</v>
      </c>
      <c r="F453" s="4" t="s">
        <v>1123</v>
      </c>
      <c r="G453" s="5" t="n">
        <v>75</v>
      </c>
      <c r="H453" s="5" t="s">
        <v>1121</v>
      </c>
      <c r="I453" s="4" t="s">
        <v>1747</v>
      </c>
      <c r="J453" s="4" t="s">
        <v>130</v>
      </c>
    </row>
    <row r="454" customFormat="false" ht="15" hidden="false" customHeight="false" outlineLevel="0" collapsed="false">
      <c r="A454" s="5" t="n">
        <v>42925</v>
      </c>
      <c r="B454" s="5" t="s">
        <v>79</v>
      </c>
      <c r="C454" s="5" t="s">
        <v>1485</v>
      </c>
      <c r="D454" s="4" t="s">
        <v>30</v>
      </c>
      <c r="E454" s="4" t="s">
        <v>1113</v>
      </c>
      <c r="F454" s="4" t="s">
        <v>1123</v>
      </c>
      <c r="G454" s="5" t="n">
        <v>113</v>
      </c>
      <c r="H454" s="5" t="s">
        <v>1121</v>
      </c>
      <c r="I454" s="4" t="s">
        <v>1748</v>
      </c>
      <c r="J454" s="4" t="s">
        <v>130</v>
      </c>
    </row>
    <row r="455" customFormat="false" ht="15" hidden="false" customHeight="false" outlineLevel="0" collapsed="false">
      <c r="A455" s="5" t="n">
        <v>42926</v>
      </c>
      <c r="B455" s="5" t="s">
        <v>79</v>
      </c>
      <c r="C455" s="5" t="s">
        <v>970</v>
      </c>
      <c r="D455" s="4" t="s">
        <v>30</v>
      </c>
      <c r="E455" s="4" t="s">
        <v>1113</v>
      </c>
      <c r="F455" s="4" t="s">
        <v>1123</v>
      </c>
      <c r="G455" s="5" t="n">
        <v>116</v>
      </c>
      <c r="H455" s="5" t="s">
        <v>1121</v>
      </c>
      <c r="I455" s="4" t="s">
        <v>1749</v>
      </c>
      <c r="J455" s="4" t="s">
        <v>130</v>
      </c>
    </row>
    <row r="456" customFormat="false" ht="15" hidden="false" customHeight="false" outlineLevel="0" collapsed="false">
      <c r="A456" s="5" t="n">
        <v>42927</v>
      </c>
      <c r="B456" s="5" t="s">
        <v>79</v>
      </c>
      <c r="C456" s="5" t="s">
        <v>782</v>
      </c>
      <c r="D456" s="4" t="s">
        <v>28</v>
      </c>
      <c r="E456" s="4" t="s">
        <v>1113</v>
      </c>
      <c r="F456" s="4" t="s">
        <v>1123</v>
      </c>
      <c r="G456" s="5" t="n">
        <v>71</v>
      </c>
      <c r="H456" s="5" t="s">
        <v>1121</v>
      </c>
      <c r="I456" s="4" t="s">
        <v>1750</v>
      </c>
      <c r="J456" s="4" t="s">
        <v>130</v>
      </c>
    </row>
    <row r="457" customFormat="false" ht="15" hidden="false" customHeight="false" outlineLevel="0" collapsed="false">
      <c r="A457" s="5" t="n">
        <v>42928</v>
      </c>
      <c r="B457" s="5" t="s">
        <v>79</v>
      </c>
      <c r="C457" s="5" t="s">
        <v>926</v>
      </c>
      <c r="D457" s="4" t="s">
        <v>28</v>
      </c>
      <c r="E457" s="4" t="s">
        <v>1113</v>
      </c>
      <c r="F457" s="4" t="s">
        <v>1123</v>
      </c>
      <c r="G457" s="5" t="n">
        <v>52</v>
      </c>
      <c r="H457" s="5" t="s">
        <v>1121</v>
      </c>
      <c r="I457" s="4" t="s">
        <v>1751</v>
      </c>
      <c r="J457" s="4" t="s">
        <v>130</v>
      </c>
    </row>
    <row r="458" customFormat="false" ht="15" hidden="false" customHeight="false" outlineLevel="0" collapsed="false">
      <c r="A458" s="5" t="n">
        <v>42930</v>
      </c>
      <c r="B458" s="5" t="s">
        <v>80</v>
      </c>
      <c r="C458" s="5" t="s">
        <v>1752</v>
      </c>
      <c r="D458" s="4" t="s">
        <v>22</v>
      </c>
      <c r="E458" s="4" t="s">
        <v>1113</v>
      </c>
      <c r="F458" s="4" t="s">
        <v>1128</v>
      </c>
      <c r="G458" s="5" t="n">
        <v>104</v>
      </c>
      <c r="H458" s="5" t="s">
        <v>1121</v>
      </c>
      <c r="I458" s="4" t="s">
        <v>1753</v>
      </c>
      <c r="J458" s="4" t="s">
        <v>130</v>
      </c>
    </row>
    <row r="459" customFormat="false" ht="15" hidden="false" customHeight="false" outlineLevel="0" collapsed="false">
      <c r="A459" s="5" t="n">
        <v>42929</v>
      </c>
      <c r="B459" s="5" t="s">
        <v>80</v>
      </c>
      <c r="C459" s="5" t="s">
        <v>1754</v>
      </c>
      <c r="D459" s="4" t="s">
        <v>32</v>
      </c>
      <c r="E459" s="4" t="s">
        <v>1113</v>
      </c>
      <c r="F459" s="4" t="s">
        <v>1140</v>
      </c>
      <c r="G459" s="5" t="n">
        <v>69</v>
      </c>
      <c r="H459" s="5" t="s">
        <v>1121</v>
      </c>
      <c r="I459" s="4" t="s">
        <v>1755</v>
      </c>
      <c r="J459" s="4" t="s">
        <v>130</v>
      </c>
    </row>
    <row r="460" customFormat="false" ht="15" hidden="false" customHeight="false" outlineLevel="0" collapsed="false">
      <c r="A460" s="5" t="n">
        <v>42942</v>
      </c>
      <c r="B460" s="5" t="s">
        <v>80</v>
      </c>
      <c r="C460" s="5" t="s">
        <v>1756</v>
      </c>
      <c r="D460" s="4" t="s">
        <v>26</v>
      </c>
      <c r="E460" s="4" t="s">
        <v>1113</v>
      </c>
      <c r="F460" s="4" t="s">
        <v>1140</v>
      </c>
      <c r="G460" s="5" t="n">
        <v>82</v>
      </c>
      <c r="H460" s="5" t="s">
        <v>1121</v>
      </c>
      <c r="I460" s="4" t="s">
        <v>1757</v>
      </c>
      <c r="J460" s="4" t="s">
        <v>130</v>
      </c>
    </row>
    <row r="461" customFormat="false" ht="15" hidden="false" customHeight="false" outlineLevel="0" collapsed="false">
      <c r="A461" s="5" t="n">
        <v>41721</v>
      </c>
      <c r="B461" s="5" t="s">
        <v>80</v>
      </c>
      <c r="C461" s="5" t="s">
        <v>436</v>
      </c>
      <c r="D461" s="4" t="s">
        <v>22</v>
      </c>
      <c r="E461" s="4" t="s">
        <v>1113</v>
      </c>
      <c r="F461" s="4" t="s">
        <v>1128</v>
      </c>
      <c r="G461" s="5" t="n">
        <v>31</v>
      </c>
      <c r="H461" s="5" t="s">
        <v>1118</v>
      </c>
      <c r="I461" s="4" t="s">
        <v>1758</v>
      </c>
      <c r="J461" s="4" t="s">
        <v>131</v>
      </c>
    </row>
    <row r="462" customFormat="false" ht="15" hidden="false" customHeight="false" outlineLevel="0" collapsed="false">
      <c r="A462" s="5" t="n">
        <v>42944</v>
      </c>
      <c r="B462" s="5" t="s">
        <v>80</v>
      </c>
      <c r="C462" s="5" t="s">
        <v>1300</v>
      </c>
      <c r="D462" s="4" t="s">
        <v>26</v>
      </c>
      <c r="E462" s="4" t="s">
        <v>1113</v>
      </c>
      <c r="F462" s="4" t="s">
        <v>1114</v>
      </c>
      <c r="G462" s="5" t="n">
        <v>74</v>
      </c>
      <c r="H462" s="5" t="s">
        <v>1121</v>
      </c>
      <c r="I462" s="4" t="s">
        <v>1759</v>
      </c>
      <c r="J462" s="4" t="s">
        <v>130</v>
      </c>
    </row>
    <row r="463" customFormat="false" ht="15" hidden="false" customHeight="false" outlineLevel="0" collapsed="false">
      <c r="A463" s="5" t="n">
        <v>42943</v>
      </c>
      <c r="B463" s="5" t="s">
        <v>80</v>
      </c>
      <c r="C463" s="5" t="s">
        <v>1275</v>
      </c>
      <c r="D463" s="4" t="s">
        <v>22</v>
      </c>
      <c r="E463" s="4" t="s">
        <v>1113</v>
      </c>
      <c r="F463" s="4" t="s">
        <v>1128</v>
      </c>
      <c r="G463" s="5" t="n">
        <v>38</v>
      </c>
      <c r="H463" s="5" t="s">
        <v>1118</v>
      </c>
      <c r="I463" s="4" t="s">
        <v>1760</v>
      </c>
      <c r="J463" s="4" t="s">
        <v>131</v>
      </c>
    </row>
    <row r="464" customFormat="false" ht="15" hidden="false" customHeight="false" outlineLevel="0" collapsed="false">
      <c r="A464" s="5" t="n">
        <v>42945</v>
      </c>
      <c r="B464" s="5" t="s">
        <v>80</v>
      </c>
      <c r="C464" s="5" t="s">
        <v>1761</v>
      </c>
      <c r="D464" s="4" t="s">
        <v>22</v>
      </c>
      <c r="E464" s="4" t="s">
        <v>1113</v>
      </c>
      <c r="F464" s="4" t="s">
        <v>1128</v>
      </c>
      <c r="G464" s="5" t="n">
        <v>71</v>
      </c>
      <c r="H464" s="5" t="s">
        <v>1121</v>
      </c>
      <c r="I464" s="4" t="s">
        <v>1762</v>
      </c>
      <c r="J464" s="4" t="s">
        <v>130</v>
      </c>
    </row>
    <row r="465" customFormat="false" ht="15" hidden="false" customHeight="false" outlineLevel="0" collapsed="false">
      <c r="A465" s="5" t="n">
        <v>42946</v>
      </c>
      <c r="B465" s="5" t="s">
        <v>80</v>
      </c>
      <c r="C465" s="5" t="s">
        <v>1763</v>
      </c>
      <c r="D465" s="4" t="s">
        <v>26</v>
      </c>
      <c r="E465" s="4" t="s">
        <v>1232</v>
      </c>
      <c r="F465" s="4"/>
      <c r="G465" s="5" t="n">
        <v>0</v>
      </c>
      <c r="H465" s="5" t="s">
        <v>1115</v>
      </c>
      <c r="I465" s="4"/>
      <c r="J465" s="4" t="s">
        <v>133</v>
      </c>
    </row>
    <row r="466" customFormat="false" ht="15" hidden="false" customHeight="false" outlineLevel="0" collapsed="false">
      <c r="A466" s="5" t="n">
        <v>42946</v>
      </c>
      <c r="B466" s="5" t="s">
        <v>80</v>
      </c>
      <c r="C466" s="5" t="s">
        <v>1763</v>
      </c>
      <c r="D466" s="4" t="s">
        <v>26</v>
      </c>
      <c r="E466" s="4" t="s">
        <v>1113</v>
      </c>
      <c r="F466" s="4" t="s">
        <v>1140</v>
      </c>
      <c r="G466" s="5" t="n">
        <v>63</v>
      </c>
      <c r="H466" s="5" t="s">
        <v>1121</v>
      </c>
      <c r="I466" s="4" t="s">
        <v>1764</v>
      </c>
      <c r="J466" s="4" t="s">
        <v>130</v>
      </c>
    </row>
    <row r="467" customFormat="false" ht="15" hidden="false" customHeight="false" outlineLevel="0" collapsed="false">
      <c r="A467" s="5" t="n">
        <v>42948</v>
      </c>
      <c r="B467" s="5" t="s">
        <v>80</v>
      </c>
      <c r="C467" s="5" t="s">
        <v>567</v>
      </c>
      <c r="D467" s="4" t="s">
        <v>32</v>
      </c>
      <c r="E467" s="4" t="s">
        <v>1113</v>
      </c>
      <c r="F467" s="4" t="s">
        <v>1114</v>
      </c>
      <c r="G467" s="5" t="n">
        <v>96</v>
      </c>
      <c r="H467" s="5" t="s">
        <v>1121</v>
      </c>
      <c r="I467" s="4" t="s">
        <v>1765</v>
      </c>
      <c r="J467" s="4" t="s">
        <v>130</v>
      </c>
    </row>
    <row r="468" customFormat="false" ht="15" hidden="false" customHeight="false" outlineLevel="0" collapsed="false">
      <c r="A468" s="5" t="n">
        <v>37806</v>
      </c>
      <c r="B468" s="5" t="s">
        <v>80</v>
      </c>
      <c r="C468" s="5" t="s">
        <v>414</v>
      </c>
      <c r="D468" s="4" t="s">
        <v>32</v>
      </c>
      <c r="E468" s="4" t="s">
        <v>1113</v>
      </c>
      <c r="F468" s="4" t="s">
        <v>1123</v>
      </c>
      <c r="G468" s="5" t="n">
        <v>57</v>
      </c>
      <c r="H468" s="5" t="s">
        <v>1121</v>
      </c>
      <c r="I468" s="4" t="s">
        <v>1766</v>
      </c>
      <c r="J468" s="4" t="s">
        <v>130</v>
      </c>
    </row>
    <row r="469" customFormat="false" ht="15" hidden="false" customHeight="false" outlineLevel="0" collapsed="false">
      <c r="A469" s="5" t="n">
        <v>37776</v>
      </c>
      <c r="B469" s="5" t="s">
        <v>80</v>
      </c>
      <c r="C469" s="5" t="s">
        <v>418</v>
      </c>
      <c r="D469" s="4" t="s">
        <v>32</v>
      </c>
      <c r="E469" s="4" t="s">
        <v>1113</v>
      </c>
      <c r="F469" s="4" t="s">
        <v>1123</v>
      </c>
      <c r="G469" s="5" t="n">
        <v>56</v>
      </c>
      <c r="H469" s="5" t="s">
        <v>1121</v>
      </c>
      <c r="I469" s="4" t="s">
        <v>1767</v>
      </c>
      <c r="J469" s="4" t="s">
        <v>130</v>
      </c>
    </row>
    <row r="470" customFormat="false" ht="15" hidden="false" customHeight="false" outlineLevel="0" collapsed="false">
      <c r="A470" s="5" t="n">
        <v>42785</v>
      </c>
      <c r="B470" s="5" t="s">
        <v>80</v>
      </c>
      <c r="C470" s="5" t="s">
        <v>1249</v>
      </c>
      <c r="D470" s="4" t="s">
        <v>32</v>
      </c>
      <c r="E470" s="4" t="s">
        <v>1113</v>
      </c>
      <c r="F470" s="4" t="s">
        <v>1123</v>
      </c>
      <c r="G470" s="5" t="n">
        <v>55</v>
      </c>
      <c r="H470" s="5" t="s">
        <v>1121</v>
      </c>
      <c r="I470" s="4" t="s">
        <v>1768</v>
      </c>
      <c r="J470" s="4" t="s">
        <v>130</v>
      </c>
    </row>
    <row r="471" customFormat="false" ht="15" hidden="false" customHeight="false" outlineLevel="0" collapsed="false">
      <c r="A471" s="5" t="n">
        <v>42914</v>
      </c>
      <c r="B471" s="5" t="s">
        <v>80</v>
      </c>
      <c r="C471" s="5" t="s">
        <v>485</v>
      </c>
      <c r="D471" s="4" t="s">
        <v>24</v>
      </c>
      <c r="E471" s="4" t="s">
        <v>1113</v>
      </c>
      <c r="F471" s="4" t="s">
        <v>1140</v>
      </c>
      <c r="G471" s="5" t="n">
        <v>115</v>
      </c>
      <c r="H471" s="5" t="s">
        <v>1121</v>
      </c>
      <c r="I471" s="4" t="s">
        <v>1769</v>
      </c>
      <c r="J471" s="4" t="s">
        <v>130</v>
      </c>
    </row>
    <row r="472" customFormat="false" ht="15" hidden="false" customHeight="false" outlineLevel="0" collapsed="false">
      <c r="A472" s="5" t="n">
        <v>39358</v>
      </c>
      <c r="B472" s="5" t="s">
        <v>80</v>
      </c>
      <c r="C472" s="5" t="s">
        <v>340</v>
      </c>
      <c r="D472" s="4" t="s">
        <v>32</v>
      </c>
      <c r="E472" s="4" t="s">
        <v>1113</v>
      </c>
      <c r="F472" s="4" t="s">
        <v>1123</v>
      </c>
      <c r="G472" s="5" t="n">
        <v>167</v>
      </c>
      <c r="H472" s="5" t="s">
        <v>1121</v>
      </c>
      <c r="I472" s="4" t="s">
        <v>1770</v>
      </c>
      <c r="J472" s="4" t="s">
        <v>130</v>
      </c>
    </row>
    <row r="473" customFormat="false" ht="15" hidden="false" customHeight="false" outlineLevel="0" collapsed="false">
      <c r="A473" s="5" t="n">
        <v>41223</v>
      </c>
      <c r="B473" s="5" t="s">
        <v>80</v>
      </c>
      <c r="C473" s="5" t="s">
        <v>340</v>
      </c>
      <c r="D473" s="4" t="s">
        <v>24</v>
      </c>
      <c r="E473" s="4" t="s">
        <v>1113</v>
      </c>
      <c r="F473" s="4" t="s">
        <v>1114</v>
      </c>
      <c r="G473" s="5" t="n">
        <v>102</v>
      </c>
      <c r="H473" s="5" t="s">
        <v>1121</v>
      </c>
      <c r="I473" s="4" t="s">
        <v>1771</v>
      </c>
      <c r="J473" s="4" t="s">
        <v>130</v>
      </c>
    </row>
    <row r="474" customFormat="false" ht="15" hidden="false" customHeight="false" outlineLevel="0" collapsed="false">
      <c r="A474" s="5" t="n">
        <v>26327</v>
      </c>
      <c r="B474" s="5" t="s">
        <v>80</v>
      </c>
      <c r="C474" s="5" t="s">
        <v>488</v>
      </c>
      <c r="D474" s="4" t="s">
        <v>32</v>
      </c>
      <c r="E474" s="4" t="s">
        <v>1113</v>
      </c>
      <c r="F474" s="4" t="s">
        <v>1114</v>
      </c>
      <c r="G474" s="5" t="n">
        <v>80</v>
      </c>
      <c r="H474" s="5" t="s">
        <v>1121</v>
      </c>
      <c r="I474" s="4" t="s">
        <v>1772</v>
      </c>
      <c r="J474" s="4" t="s">
        <v>130</v>
      </c>
    </row>
    <row r="475" customFormat="false" ht="15" hidden="false" customHeight="false" outlineLevel="0" collapsed="false">
      <c r="A475" s="5" t="n">
        <v>34148</v>
      </c>
      <c r="B475" s="5" t="s">
        <v>80</v>
      </c>
      <c r="C475" s="5" t="s">
        <v>344</v>
      </c>
      <c r="D475" s="4" t="s">
        <v>32</v>
      </c>
      <c r="E475" s="4" t="s">
        <v>1113</v>
      </c>
      <c r="F475" s="4" t="s">
        <v>1114</v>
      </c>
      <c r="G475" s="5" t="n">
        <v>89</v>
      </c>
      <c r="H475" s="5" t="s">
        <v>1121</v>
      </c>
      <c r="I475" s="4" t="s">
        <v>1773</v>
      </c>
      <c r="J475" s="4" t="s">
        <v>130</v>
      </c>
    </row>
    <row r="476" customFormat="false" ht="15" hidden="false" customHeight="false" outlineLevel="0" collapsed="false">
      <c r="A476" s="5" t="n">
        <v>40742</v>
      </c>
      <c r="B476" s="5" t="s">
        <v>80</v>
      </c>
      <c r="C476" s="5" t="s">
        <v>344</v>
      </c>
      <c r="D476" s="4" t="s">
        <v>24</v>
      </c>
      <c r="E476" s="4" t="s">
        <v>1113</v>
      </c>
      <c r="F476" s="4" t="s">
        <v>1114</v>
      </c>
      <c r="G476" s="5" t="n">
        <v>104</v>
      </c>
      <c r="H476" s="5" t="s">
        <v>1121</v>
      </c>
      <c r="I476" s="4" t="s">
        <v>1774</v>
      </c>
      <c r="J476" s="4" t="s">
        <v>130</v>
      </c>
    </row>
    <row r="477" customFormat="false" ht="15" hidden="false" customHeight="false" outlineLevel="0" collapsed="false">
      <c r="A477" s="5" t="n">
        <v>33472</v>
      </c>
      <c r="B477" s="5" t="s">
        <v>80</v>
      </c>
      <c r="C477" s="5" t="s">
        <v>152</v>
      </c>
      <c r="D477" s="4" t="s">
        <v>32</v>
      </c>
      <c r="E477" s="4" t="s">
        <v>1113</v>
      </c>
      <c r="F477" s="4" t="s">
        <v>1114</v>
      </c>
      <c r="G477" s="5" t="n">
        <v>89</v>
      </c>
      <c r="H477" s="5" t="s">
        <v>1121</v>
      </c>
      <c r="I477" s="4" t="s">
        <v>1775</v>
      </c>
      <c r="J477" s="4" t="s">
        <v>130</v>
      </c>
    </row>
    <row r="478" customFormat="false" ht="15" hidden="false" customHeight="false" outlineLevel="0" collapsed="false">
      <c r="A478" s="5" t="n">
        <v>40688</v>
      </c>
      <c r="B478" s="5" t="s">
        <v>80</v>
      </c>
      <c r="C478" s="5" t="s">
        <v>152</v>
      </c>
      <c r="D478" s="4" t="s">
        <v>24</v>
      </c>
      <c r="E478" s="4" t="s">
        <v>1113</v>
      </c>
      <c r="F478" s="4" t="s">
        <v>1114</v>
      </c>
      <c r="G478" s="5" t="n">
        <v>96</v>
      </c>
      <c r="H478" s="5" t="s">
        <v>1121</v>
      </c>
      <c r="I478" s="4" t="s">
        <v>1776</v>
      </c>
      <c r="J478" s="4" t="s">
        <v>130</v>
      </c>
    </row>
    <row r="479" customFormat="false" ht="15" hidden="false" customHeight="false" outlineLevel="0" collapsed="false">
      <c r="A479" s="5" t="n">
        <v>42953</v>
      </c>
      <c r="B479" s="5" t="s">
        <v>80</v>
      </c>
      <c r="C479" s="5" t="s">
        <v>1777</v>
      </c>
      <c r="D479" s="4" t="s">
        <v>26</v>
      </c>
      <c r="E479" s="4" t="s">
        <v>1113</v>
      </c>
      <c r="F479" s="4" t="s">
        <v>1128</v>
      </c>
      <c r="G479" s="5" t="n">
        <v>139</v>
      </c>
      <c r="H479" s="5" t="s">
        <v>1121</v>
      </c>
      <c r="I479" s="4" t="s">
        <v>1778</v>
      </c>
      <c r="J479" s="4" t="s">
        <v>130</v>
      </c>
    </row>
    <row r="480" customFormat="false" ht="15" hidden="false" customHeight="false" outlineLevel="0" collapsed="false">
      <c r="A480" s="5" t="n">
        <v>42954</v>
      </c>
      <c r="B480" s="5" t="s">
        <v>80</v>
      </c>
      <c r="C480" s="5" t="s">
        <v>1779</v>
      </c>
      <c r="D480" s="4" t="s">
        <v>26</v>
      </c>
      <c r="E480" s="4" t="s">
        <v>1232</v>
      </c>
      <c r="F480" s="4"/>
      <c r="G480" s="5" t="n">
        <v>0</v>
      </c>
      <c r="H480" s="5" t="s">
        <v>1115</v>
      </c>
      <c r="I480" s="4"/>
      <c r="J480" s="4" t="s">
        <v>133</v>
      </c>
    </row>
    <row r="481" customFormat="false" ht="15" hidden="false" customHeight="false" outlineLevel="0" collapsed="false">
      <c r="A481" s="5" t="n">
        <v>42954</v>
      </c>
      <c r="B481" s="5" t="s">
        <v>80</v>
      </c>
      <c r="C481" s="5" t="s">
        <v>1780</v>
      </c>
      <c r="D481" s="4" t="s">
        <v>26</v>
      </c>
      <c r="E481" s="4" t="s">
        <v>1113</v>
      </c>
      <c r="F481" s="4" t="s">
        <v>1140</v>
      </c>
      <c r="G481" s="5" t="n">
        <v>138</v>
      </c>
      <c r="H481" s="5" t="s">
        <v>1121</v>
      </c>
      <c r="I481" s="4" t="s">
        <v>1781</v>
      </c>
      <c r="J481" s="4" t="s">
        <v>130</v>
      </c>
    </row>
    <row r="482" customFormat="false" ht="15" hidden="false" customHeight="false" outlineLevel="0" collapsed="false">
      <c r="A482" s="5" t="n">
        <v>42955</v>
      </c>
      <c r="B482" s="5" t="s">
        <v>80</v>
      </c>
      <c r="C482" s="5" t="s">
        <v>1549</v>
      </c>
      <c r="D482" s="4" t="s">
        <v>26</v>
      </c>
      <c r="E482" s="4" t="s">
        <v>1232</v>
      </c>
      <c r="F482" s="4"/>
      <c r="G482" s="5" t="n">
        <v>0</v>
      </c>
      <c r="H482" s="5" t="s">
        <v>1115</v>
      </c>
      <c r="I482" s="4"/>
      <c r="J482" s="4" t="s">
        <v>133</v>
      </c>
    </row>
    <row r="483" customFormat="false" ht="15" hidden="false" customHeight="false" outlineLevel="0" collapsed="false">
      <c r="A483" s="5" t="n">
        <v>42955</v>
      </c>
      <c r="B483" s="5" t="s">
        <v>80</v>
      </c>
      <c r="C483" s="5" t="s">
        <v>713</v>
      </c>
      <c r="D483" s="4" t="s">
        <v>26</v>
      </c>
      <c r="E483" s="4" t="s">
        <v>1113</v>
      </c>
      <c r="F483" s="4" t="s">
        <v>1128</v>
      </c>
      <c r="G483" s="5" t="n">
        <v>145</v>
      </c>
      <c r="H483" s="5" t="s">
        <v>1121</v>
      </c>
      <c r="I483" s="4" t="s">
        <v>1782</v>
      </c>
      <c r="J483" s="4" t="s">
        <v>130</v>
      </c>
    </row>
    <row r="484" customFormat="false" ht="15" hidden="false" customHeight="false" outlineLevel="0" collapsed="false">
      <c r="A484" s="5" t="n">
        <v>42956</v>
      </c>
      <c r="B484" s="5" t="s">
        <v>80</v>
      </c>
      <c r="C484" s="5" t="s">
        <v>967</v>
      </c>
      <c r="D484" s="4" t="s">
        <v>18</v>
      </c>
      <c r="E484" s="4" t="s">
        <v>1113</v>
      </c>
      <c r="F484" s="4" t="s">
        <v>1114</v>
      </c>
      <c r="G484" s="5" t="n">
        <v>95</v>
      </c>
      <c r="H484" s="5" t="s">
        <v>1121</v>
      </c>
      <c r="I484" s="4" t="s">
        <v>1783</v>
      </c>
      <c r="J484" s="4" t="s">
        <v>130</v>
      </c>
    </row>
    <row r="485" customFormat="false" ht="15" hidden="false" customHeight="false" outlineLevel="0" collapsed="false">
      <c r="A485" s="5" t="n">
        <v>42254</v>
      </c>
      <c r="B485" s="5" t="s">
        <v>80</v>
      </c>
      <c r="C485" s="5" t="s">
        <v>970</v>
      </c>
      <c r="D485" s="4" t="s">
        <v>18</v>
      </c>
      <c r="E485" s="4" t="s">
        <v>1113</v>
      </c>
      <c r="F485" s="4" t="s">
        <v>1114</v>
      </c>
      <c r="G485" s="5" t="n">
        <v>129</v>
      </c>
      <c r="H485" s="5" t="s">
        <v>1121</v>
      </c>
      <c r="I485" s="4" t="s">
        <v>1784</v>
      </c>
      <c r="J485" s="4" t="s">
        <v>130</v>
      </c>
    </row>
    <row r="486" customFormat="false" ht="15" hidden="false" customHeight="false" outlineLevel="0" collapsed="false">
      <c r="A486" s="5" t="n">
        <v>38910</v>
      </c>
      <c r="B486" s="5" t="s">
        <v>80</v>
      </c>
      <c r="C486" s="5" t="s">
        <v>1785</v>
      </c>
      <c r="D486" s="4" t="s">
        <v>18</v>
      </c>
      <c r="E486" s="4" t="s">
        <v>1113</v>
      </c>
      <c r="F486" s="4" t="s">
        <v>1114</v>
      </c>
      <c r="G486" s="5" t="n">
        <v>98</v>
      </c>
      <c r="H486" s="5" t="s">
        <v>1121</v>
      </c>
      <c r="I486" s="4" t="s">
        <v>1786</v>
      </c>
      <c r="J486" s="4" t="s">
        <v>130</v>
      </c>
    </row>
    <row r="487" customFormat="false" ht="15" hidden="false" customHeight="false" outlineLevel="0" collapsed="false">
      <c r="A487" s="5" t="n">
        <v>39678</v>
      </c>
      <c r="B487" s="5" t="s">
        <v>80</v>
      </c>
      <c r="C487" s="5" t="s">
        <v>1787</v>
      </c>
      <c r="D487" s="4" t="s">
        <v>18</v>
      </c>
      <c r="E487" s="4" t="s">
        <v>1113</v>
      </c>
      <c r="F487" s="4" t="s">
        <v>1114</v>
      </c>
      <c r="G487" s="5" t="n">
        <v>107</v>
      </c>
      <c r="H487" s="5" t="s">
        <v>1121</v>
      </c>
      <c r="I487" s="4" t="s">
        <v>1788</v>
      </c>
      <c r="J487" s="4" t="s">
        <v>130</v>
      </c>
    </row>
    <row r="488" customFormat="false" ht="15" hidden="false" customHeight="false" outlineLevel="0" collapsed="false">
      <c r="A488" s="5" t="n">
        <v>42957</v>
      </c>
      <c r="B488" s="5" t="s">
        <v>80</v>
      </c>
      <c r="C488" s="5" t="s">
        <v>1028</v>
      </c>
      <c r="D488" s="4" t="s">
        <v>28</v>
      </c>
      <c r="E488" s="4" t="s">
        <v>1113</v>
      </c>
      <c r="F488" s="4" t="s">
        <v>1123</v>
      </c>
      <c r="G488" s="5" t="n">
        <v>58</v>
      </c>
      <c r="H488" s="5" t="s">
        <v>1121</v>
      </c>
      <c r="I488" s="4" t="s">
        <v>1459</v>
      </c>
      <c r="J488" s="4" t="s">
        <v>130</v>
      </c>
    </row>
    <row r="489" customFormat="false" ht="15" hidden="false" customHeight="false" outlineLevel="0" collapsed="false">
      <c r="A489" s="5" t="n">
        <v>42958</v>
      </c>
      <c r="B489" s="5" t="s">
        <v>80</v>
      </c>
      <c r="C489" s="5" t="s">
        <v>1789</v>
      </c>
      <c r="D489" s="4" t="s">
        <v>28</v>
      </c>
      <c r="E489" s="4" t="s">
        <v>1113</v>
      </c>
      <c r="F489" s="4" t="s">
        <v>1123</v>
      </c>
      <c r="G489" s="5" t="n">
        <v>58</v>
      </c>
      <c r="H489" s="5" t="s">
        <v>1121</v>
      </c>
      <c r="I489" s="4" t="s">
        <v>1459</v>
      </c>
      <c r="J489" s="4" t="s">
        <v>130</v>
      </c>
    </row>
    <row r="490" customFormat="false" ht="15" hidden="false" customHeight="false" outlineLevel="0" collapsed="false">
      <c r="A490" s="5" t="n">
        <v>42959</v>
      </c>
      <c r="B490" s="5" t="s">
        <v>80</v>
      </c>
      <c r="C490" s="5" t="s">
        <v>1790</v>
      </c>
      <c r="D490" s="4" t="s">
        <v>28</v>
      </c>
      <c r="E490" s="4" t="s">
        <v>1113</v>
      </c>
      <c r="F490" s="4" t="s">
        <v>1123</v>
      </c>
      <c r="G490" s="5" t="n">
        <v>58</v>
      </c>
      <c r="H490" s="5" t="s">
        <v>1121</v>
      </c>
      <c r="I490" s="4" t="s">
        <v>1791</v>
      </c>
      <c r="J490" s="4" t="s">
        <v>130</v>
      </c>
    </row>
    <row r="491" customFormat="false" ht="15" hidden="false" customHeight="false" outlineLevel="0" collapsed="false">
      <c r="A491" s="5" t="n">
        <v>42960</v>
      </c>
      <c r="B491" s="5" t="s">
        <v>80</v>
      </c>
      <c r="C491" s="5" t="s">
        <v>1792</v>
      </c>
      <c r="D491" s="4" t="s">
        <v>28</v>
      </c>
      <c r="E491" s="4" t="s">
        <v>1113</v>
      </c>
      <c r="F491" s="4" t="s">
        <v>1123</v>
      </c>
      <c r="G491" s="5" t="n">
        <v>65</v>
      </c>
      <c r="H491" s="5" t="s">
        <v>1121</v>
      </c>
      <c r="I491" s="4" t="s">
        <v>1793</v>
      </c>
      <c r="J491" s="4" t="s">
        <v>130</v>
      </c>
    </row>
    <row r="492" customFormat="false" ht="15" hidden="false" customHeight="false" outlineLevel="0" collapsed="false">
      <c r="A492" s="5" t="n">
        <v>42961</v>
      </c>
      <c r="B492" s="5" t="s">
        <v>80</v>
      </c>
      <c r="C492" s="5" t="s">
        <v>1422</v>
      </c>
      <c r="D492" s="4" t="s">
        <v>28</v>
      </c>
      <c r="E492" s="4" t="s">
        <v>1113</v>
      </c>
      <c r="F492" s="4" t="s">
        <v>1123</v>
      </c>
      <c r="G492" s="5" t="n">
        <v>77</v>
      </c>
      <c r="H492" s="5" t="s">
        <v>1121</v>
      </c>
      <c r="I492" s="4" t="s">
        <v>1794</v>
      </c>
      <c r="J492" s="4" t="s">
        <v>130</v>
      </c>
    </row>
    <row r="493" customFormat="false" ht="15" hidden="false" customHeight="false" outlineLevel="0" collapsed="false">
      <c r="A493" s="5" t="n">
        <v>37020</v>
      </c>
      <c r="B493" s="5" t="s">
        <v>80</v>
      </c>
      <c r="C493" s="5" t="s">
        <v>1228</v>
      </c>
      <c r="D493" s="4" t="s">
        <v>30</v>
      </c>
      <c r="E493" s="4" t="s">
        <v>1113</v>
      </c>
      <c r="F493" s="4" t="s">
        <v>1114</v>
      </c>
      <c r="G493" s="5" t="n">
        <v>53</v>
      </c>
      <c r="H493" s="5" t="s">
        <v>1121</v>
      </c>
      <c r="I493" s="4" t="s">
        <v>1795</v>
      </c>
      <c r="J493" s="4" t="s">
        <v>130</v>
      </c>
    </row>
    <row r="494" customFormat="false" ht="15" hidden="false" customHeight="false" outlineLevel="0" collapsed="false">
      <c r="A494" s="5" t="n">
        <v>42962</v>
      </c>
      <c r="B494" s="5" t="s">
        <v>80</v>
      </c>
      <c r="C494" s="5" t="s">
        <v>184</v>
      </c>
      <c r="D494" s="4" t="s">
        <v>30</v>
      </c>
      <c r="E494" s="4" t="s">
        <v>1113</v>
      </c>
      <c r="F494" s="4" t="s">
        <v>1114</v>
      </c>
      <c r="G494" s="5" t="n">
        <v>52</v>
      </c>
      <c r="H494" s="5" t="s">
        <v>1121</v>
      </c>
      <c r="I494" s="4" t="s">
        <v>1796</v>
      </c>
      <c r="J494" s="4" t="s">
        <v>130</v>
      </c>
    </row>
    <row r="495" customFormat="false" ht="15" hidden="false" customHeight="false" outlineLevel="0" collapsed="false">
      <c r="A495" s="5" t="n">
        <v>42963</v>
      </c>
      <c r="B495" s="5" t="s">
        <v>80</v>
      </c>
      <c r="C495" s="5" t="s">
        <v>1044</v>
      </c>
      <c r="D495" s="4" t="s">
        <v>30</v>
      </c>
      <c r="E495" s="4" t="s">
        <v>1113</v>
      </c>
      <c r="F495" s="4" t="s">
        <v>1114</v>
      </c>
      <c r="G495" s="5" t="n">
        <v>32</v>
      </c>
      <c r="H495" s="5" t="s">
        <v>1118</v>
      </c>
      <c r="I495" s="4" t="s">
        <v>1797</v>
      </c>
      <c r="J495" s="4" t="s">
        <v>131</v>
      </c>
    </row>
    <row r="496" customFormat="false" ht="15" hidden="false" customHeight="false" outlineLevel="0" collapsed="false">
      <c r="A496" s="5" t="n">
        <v>42560</v>
      </c>
      <c r="B496" s="5" t="s">
        <v>80</v>
      </c>
      <c r="C496" s="5" t="s">
        <v>1798</v>
      </c>
      <c r="D496" s="4" t="s">
        <v>30</v>
      </c>
      <c r="E496" s="4" t="s">
        <v>1113</v>
      </c>
      <c r="F496" s="4" t="s">
        <v>1114</v>
      </c>
      <c r="G496" s="5" t="n">
        <v>53</v>
      </c>
      <c r="H496" s="5" t="s">
        <v>1121</v>
      </c>
      <c r="I496" s="4" t="s">
        <v>1799</v>
      </c>
      <c r="J496" s="4" t="s">
        <v>130</v>
      </c>
    </row>
    <row r="497" customFormat="false" ht="15" hidden="false" customHeight="false" outlineLevel="0" collapsed="false">
      <c r="A497" s="5" t="n">
        <v>26079</v>
      </c>
      <c r="B497" s="5" t="s">
        <v>81</v>
      </c>
      <c r="C497" s="5" t="s">
        <v>1194</v>
      </c>
      <c r="D497" s="4" t="s">
        <v>32</v>
      </c>
      <c r="E497" s="4" t="s">
        <v>1113</v>
      </c>
      <c r="F497" s="4" t="s">
        <v>1114</v>
      </c>
      <c r="G497" s="5" t="n">
        <v>106</v>
      </c>
      <c r="H497" s="5" t="s">
        <v>1121</v>
      </c>
      <c r="I497" s="4" t="s">
        <v>1800</v>
      </c>
      <c r="J497" s="4" t="s">
        <v>130</v>
      </c>
    </row>
    <row r="498" customFormat="false" ht="15" hidden="false" customHeight="false" outlineLevel="0" collapsed="false">
      <c r="A498" s="5" t="n">
        <v>41700</v>
      </c>
      <c r="B498" s="5" t="s">
        <v>81</v>
      </c>
      <c r="C498" s="5" t="s">
        <v>1801</v>
      </c>
      <c r="D498" s="4" t="s">
        <v>24</v>
      </c>
      <c r="E498" s="4" t="s">
        <v>1113</v>
      </c>
      <c r="F498" s="4" t="s">
        <v>1128</v>
      </c>
      <c r="G498" s="5" t="n">
        <v>57</v>
      </c>
      <c r="H498" s="5" t="s">
        <v>1121</v>
      </c>
      <c r="I498" s="4" t="s">
        <v>1416</v>
      </c>
      <c r="J498" s="4" t="s">
        <v>130</v>
      </c>
    </row>
    <row r="499" customFormat="false" ht="15" hidden="false" customHeight="false" outlineLevel="0" collapsed="false">
      <c r="A499" s="5" t="n">
        <v>42973</v>
      </c>
      <c r="B499" s="5" t="s">
        <v>81</v>
      </c>
      <c r="C499" s="5" t="s">
        <v>1802</v>
      </c>
      <c r="D499" s="4" t="s">
        <v>32</v>
      </c>
      <c r="E499" s="4" t="s">
        <v>1113</v>
      </c>
      <c r="F499" s="4" t="s">
        <v>1114</v>
      </c>
      <c r="G499" s="5" t="n">
        <v>104</v>
      </c>
      <c r="H499" s="5" t="s">
        <v>1121</v>
      </c>
      <c r="I499" s="4" t="s">
        <v>1803</v>
      </c>
      <c r="J499" s="4" t="s">
        <v>130</v>
      </c>
    </row>
    <row r="500" customFormat="false" ht="15" hidden="false" customHeight="false" outlineLevel="0" collapsed="false">
      <c r="A500" s="5" t="n">
        <v>42560</v>
      </c>
      <c r="B500" s="5" t="s">
        <v>81</v>
      </c>
      <c r="C500" s="5" t="s">
        <v>1804</v>
      </c>
      <c r="D500" s="4" t="s">
        <v>30</v>
      </c>
      <c r="E500" s="4" t="s">
        <v>1113</v>
      </c>
      <c r="F500" s="4" t="s">
        <v>1114</v>
      </c>
      <c r="G500" s="5" t="n">
        <v>59</v>
      </c>
      <c r="H500" s="5" t="s">
        <v>1121</v>
      </c>
      <c r="I500" s="4" t="s">
        <v>1805</v>
      </c>
      <c r="J500" s="4" t="s">
        <v>130</v>
      </c>
    </row>
    <row r="501" customFormat="false" ht="15" hidden="false" customHeight="false" outlineLevel="0" collapsed="false">
      <c r="A501" s="5" t="n">
        <v>42954</v>
      </c>
      <c r="B501" s="5" t="s">
        <v>81</v>
      </c>
      <c r="C501" s="5" t="s">
        <v>567</v>
      </c>
      <c r="D501" s="4" t="s">
        <v>26</v>
      </c>
      <c r="E501" s="4" t="s">
        <v>1113</v>
      </c>
      <c r="F501" s="4" t="s">
        <v>1114</v>
      </c>
      <c r="G501" s="5" t="n">
        <v>191</v>
      </c>
      <c r="H501" s="5" t="s">
        <v>1121</v>
      </c>
      <c r="I501" s="4" t="s">
        <v>1806</v>
      </c>
      <c r="J501" s="4" t="s">
        <v>130</v>
      </c>
    </row>
    <row r="502" customFormat="false" ht="15" hidden="false" customHeight="false" outlineLevel="0" collapsed="false">
      <c r="A502" s="5" t="n">
        <v>42907</v>
      </c>
      <c r="B502" s="5" t="s">
        <v>81</v>
      </c>
      <c r="C502" s="5" t="s">
        <v>1807</v>
      </c>
      <c r="D502" s="4" t="s">
        <v>32</v>
      </c>
      <c r="E502" s="4" t="s">
        <v>1113</v>
      </c>
      <c r="F502" s="4" t="s">
        <v>1128</v>
      </c>
      <c r="G502" s="5" t="n">
        <v>57</v>
      </c>
      <c r="H502" s="5" t="s">
        <v>1121</v>
      </c>
      <c r="I502" s="4" t="s">
        <v>1808</v>
      </c>
      <c r="J502" s="4" t="s">
        <v>130</v>
      </c>
    </row>
    <row r="503" customFormat="false" ht="15" hidden="false" customHeight="false" outlineLevel="0" collapsed="false">
      <c r="A503" s="5" t="n">
        <v>42985</v>
      </c>
      <c r="B503" s="5" t="s">
        <v>81</v>
      </c>
      <c r="C503" s="5" t="s">
        <v>1809</v>
      </c>
      <c r="D503" s="4" t="s">
        <v>32</v>
      </c>
      <c r="E503" s="4" t="s">
        <v>1113</v>
      </c>
      <c r="F503" s="4" t="s">
        <v>1140</v>
      </c>
      <c r="G503" s="5" t="n">
        <v>63</v>
      </c>
      <c r="H503" s="5" t="s">
        <v>1121</v>
      </c>
      <c r="I503" s="4" t="s">
        <v>1810</v>
      </c>
      <c r="J503" s="4" t="s">
        <v>130</v>
      </c>
    </row>
    <row r="504" customFormat="false" ht="15" hidden="false" customHeight="false" outlineLevel="0" collapsed="false">
      <c r="A504" s="5" t="n">
        <v>42986</v>
      </c>
      <c r="B504" s="5" t="s">
        <v>81</v>
      </c>
      <c r="C504" s="5" t="s">
        <v>1811</v>
      </c>
      <c r="D504" s="4" t="s">
        <v>28</v>
      </c>
      <c r="E504" s="4" t="s">
        <v>1113</v>
      </c>
      <c r="F504" s="4" t="s">
        <v>1123</v>
      </c>
      <c r="G504" s="5" t="n">
        <v>88</v>
      </c>
      <c r="H504" s="5" t="s">
        <v>1121</v>
      </c>
      <c r="I504" s="4" t="s">
        <v>1812</v>
      </c>
      <c r="J504" s="4" t="s">
        <v>130</v>
      </c>
    </row>
    <row r="505" customFormat="false" ht="15" hidden="false" customHeight="false" outlineLevel="0" collapsed="false">
      <c r="A505" s="5" t="n">
        <v>42987</v>
      </c>
      <c r="B505" s="5" t="s">
        <v>81</v>
      </c>
      <c r="C505" s="5" t="s">
        <v>1813</v>
      </c>
      <c r="D505" s="4" t="s">
        <v>28</v>
      </c>
      <c r="E505" s="4" t="s">
        <v>1113</v>
      </c>
      <c r="F505" s="4" t="s">
        <v>1123</v>
      </c>
      <c r="G505" s="5" t="n">
        <v>58</v>
      </c>
      <c r="H505" s="5" t="s">
        <v>1121</v>
      </c>
      <c r="I505" s="4" t="s">
        <v>1814</v>
      </c>
      <c r="J505" s="4" t="s">
        <v>130</v>
      </c>
    </row>
    <row r="506" customFormat="false" ht="15" hidden="false" customHeight="false" outlineLevel="0" collapsed="false">
      <c r="A506" s="5" t="n">
        <v>42988</v>
      </c>
      <c r="B506" s="5" t="s">
        <v>81</v>
      </c>
      <c r="C506" s="5" t="s">
        <v>1063</v>
      </c>
      <c r="D506" s="4" t="s">
        <v>28</v>
      </c>
      <c r="E506" s="4" t="s">
        <v>1113</v>
      </c>
      <c r="F506" s="4" t="s">
        <v>1123</v>
      </c>
      <c r="G506" s="5" t="n">
        <v>41</v>
      </c>
      <c r="H506" s="5" t="s">
        <v>1121</v>
      </c>
      <c r="I506" s="4" t="s">
        <v>1331</v>
      </c>
      <c r="J506" s="4" t="s">
        <v>130</v>
      </c>
    </row>
    <row r="507" customFormat="false" ht="15" hidden="false" customHeight="false" outlineLevel="0" collapsed="false">
      <c r="A507" s="5" t="n">
        <v>42989</v>
      </c>
      <c r="B507" s="5" t="s">
        <v>81</v>
      </c>
      <c r="C507" s="5" t="s">
        <v>1815</v>
      </c>
      <c r="D507" s="4" t="s">
        <v>28</v>
      </c>
      <c r="E507" s="4" t="s">
        <v>1113</v>
      </c>
      <c r="F507" s="4" t="s">
        <v>1123</v>
      </c>
      <c r="G507" s="5" t="n">
        <v>89</v>
      </c>
      <c r="H507" s="5" t="s">
        <v>1121</v>
      </c>
      <c r="I507" s="4" t="s">
        <v>1816</v>
      </c>
      <c r="J507" s="4" t="s">
        <v>130</v>
      </c>
    </row>
    <row r="508" customFormat="false" ht="15" hidden="false" customHeight="false" outlineLevel="0" collapsed="false">
      <c r="A508" s="5" t="n">
        <v>42990</v>
      </c>
      <c r="B508" s="5" t="s">
        <v>81</v>
      </c>
      <c r="C508" s="5" t="s">
        <v>1817</v>
      </c>
      <c r="D508" s="4" t="s">
        <v>28</v>
      </c>
      <c r="E508" s="4" t="s">
        <v>1113</v>
      </c>
      <c r="F508" s="4" t="s">
        <v>1123</v>
      </c>
      <c r="G508" s="5" t="n">
        <v>91</v>
      </c>
      <c r="H508" s="5" t="s">
        <v>1121</v>
      </c>
      <c r="I508" s="4" t="s">
        <v>1818</v>
      </c>
      <c r="J508" s="4" t="s">
        <v>130</v>
      </c>
    </row>
    <row r="509" customFormat="false" ht="15" hidden="false" customHeight="false" outlineLevel="0" collapsed="false">
      <c r="A509" s="5" t="n">
        <v>42991</v>
      </c>
      <c r="B509" s="5" t="s">
        <v>81</v>
      </c>
      <c r="C509" s="5" t="s">
        <v>1819</v>
      </c>
      <c r="D509" s="4" t="s">
        <v>28</v>
      </c>
      <c r="E509" s="4" t="s">
        <v>1113</v>
      </c>
      <c r="F509" s="4" t="s">
        <v>1123</v>
      </c>
      <c r="G509" s="5" t="n">
        <v>83</v>
      </c>
      <c r="H509" s="5" t="s">
        <v>1121</v>
      </c>
      <c r="I509" s="4" t="s">
        <v>1820</v>
      </c>
      <c r="J509" s="4" t="s">
        <v>130</v>
      </c>
    </row>
    <row r="510" customFormat="false" ht="15" hidden="false" customHeight="false" outlineLevel="0" collapsed="false">
      <c r="A510" s="5" t="n">
        <v>42992</v>
      </c>
      <c r="B510" s="5" t="s">
        <v>81</v>
      </c>
      <c r="C510" s="5" t="s">
        <v>1821</v>
      </c>
      <c r="D510" s="4" t="s">
        <v>22</v>
      </c>
      <c r="E510" s="4" t="s">
        <v>1113</v>
      </c>
      <c r="F510" s="4" t="s">
        <v>1128</v>
      </c>
      <c r="G510" s="5" t="n">
        <v>36</v>
      </c>
      <c r="H510" s="5" t="s">
        <v>1118</v>
      </c>
      <c r="I510" s="4" t="s">
        <v>1822</v>
      </c>
      <c r="J510" s="4" t="s">
        <v>131</v>
      </c>
    </row>
    <row r="511" customFormat="false" ht="15" hidden="false" customHeight="false" outlineLevel="0" collapsed="false">
      <c r="A511" s="5" t="n">
        <v>41583</v>
      </c>
      <c r="B511" s="5" t="s">
        <v>81</v>
      </c>
      <c r="C511" s="5" t="s">
        <v>1823</v>
      </c>
      <c r="D511" s="4" t="s">
        <v>24</v>
      </c>
      <c r="E511" s="4" t="s">
        <v>1113</v>
      </c>
      <c r="F511" s="4" t="s">
        <v>1140</v>
      </c>
      <c r="G511" s="5" t="n">
        <v>74</v>
      </c>
      <c r="H511" s="5" t="s">
        <v>1121</v>
      </c>
      <c r="I511" s="4" t="s">
        <v>1824</v>
      </c>
      <c r="J511" s="4" t="s">
        <v>130</v>
      </c>
    </row>
    <row r="512" customFormat="false" ht="15" hidden="false" customHeight="false" outlineLevel="0" collapsed="false">
      <c r="A512" s="5" t="n">
        <v>40608</v>
      </c>
      <c r="B512" s="5" t="s">
        <v>81</v>
      </c>
      <c r="C512" s="5" t="s">
        <v>1825</v>
      </c>
      <c r="D512" s="4" t="s">
        <v>24</v>
      </c>
      <c r="E512" s="4" t="s">
        <v>1113</v>
      </c>
      <c r="F512" s="4" t="s">
        <v>1140</v>
      </c>
      <c r="G512" s="5" t="n">
        <v>65</v>
      </c>
      <c r="H512" s="5" t="s">
        <v>1121</v>
      </c>
      <c r="I512" s="4" t="s">
        <v>1826</v>
      </c>
      <c r="J512" s="4" t="s">
        <v>130</v>
      </c>
    </row>
    <row r="513" customFormat="false" ht="15" hidden="false" customHeight="false" outlineLevel="0" collapsed="false">
      <c r="A513" s="5" t="n">
        <v>42993</v>
      </c>
      <c r="B513" s="5" t="s">
        <v>82</v>
      </c>
      <c r="C513" s="5" t="s">
        <v>291</v>
      </c>
      <c r="D513" s="4" t="s">
        <v>32</v>
      </c>
      <c r="E513" s="4" t="s">
        <v>1113</v>
      </c>
      <c r="F513" s="4" t="s">
        <v>1123</v>
      </c>
      <c r="G513" s="5" t="n">
        <v>145</v>
      </c>
      <c r="H513" s="5" t="s">
        <v>1121</v>
      </c>
      <c r="I513" s="4" t="s">
        <v>1827</v>
      </c>
      <c r="J513" s="4" t="s">
        <v>130</v>
      </c>
    </row>
    <row r="514" customFormat="false" ht="15" hidden="false" customHeight="false" outlineLevel="0" collapsed="false">
      <c r="A514" s="5" t="n">
        <v>42996</v>
      </c>
      <c r="B514" s="5" t="s">
        <v>82</v>
      </c>
      <c r="C514" s="5" t="s">
        <v>1828</v>
      </c>
      <c r="D514" s="4" t="s">
        <v>32</v>
      </c>
      <c r="E514" s="4" t="s">
        <v>1113</v>
      </c>
      <c r="F514" s="4" t="s">
        <v>1123</v>
      </c>
      <c r="G514" s="5" t="n">
        <v>118</v>
      </c>
      <c r="H514" s="5" t="s">
        <v>1121</v>
      </c>
      <c r="I514" s="4" t="s">
        <v>1829</v>
      </c>
      <c r="J514" s="4" t="s">
        <v>130</v>
      </c>
    </row>
    <row r="515" customFormat="false" ht="15" hidden="false" customHeight="false" outlineLevel="0" collapsed="false">
      <c r="A515" s="5" t="n">
        <v>37846</v>
      </c>
      <c r="B515" s="5" t="s">
        <v>82</v>
      </c>
      <c r="C515" s="5" t="s">
        <v>1830</v>
      </c>
      <c r="D515" s="4" t="s">
        <v>32</v>
      </c>
      <c r="E515" s="4" t="s">
        <v>1113</v>
      </c>
      <c r="F515" s="4" t="s">
        <v>1123</v>
      </c>
      <c r="G515" s="5" t="n">
        <v>89</v>
      </c>
      <c r="H515" s="5" t="s">
        <v>1121</v>
      </c>
      <c r="I515" s="4" t="s">
        <v>1831</v>
      </c>
      <c r="J515" s="4" t="s">
        <v>130</v>
      </c>
    </row>
    <row r="516" customFormat="false" ht="15" hidden="false" customHeight="false" outlineLevel="0" collapsed="false">
      <c r="A516" s="5" t="n">
        <v>42997</v>
      </c>
      <c r="B516" s="5" t="s">
        <v>82</v>
      </c>
      <c r="C516" s="5" t="s">
        <v>1832</v>
      </c>
      <c r="D516" s="4" t="s">
        <v>30</v>
      </c>
      <c r="E516" s="4" t="s">
        <v>1113</v>
      </c>
      <c r="F516" s="4" t="s">
        <v>1123</v>
      </c>
      <c r="G516" s="5" t="n">
        <v>105</v>
      </c>
      <c r="H516" s="5" t="s">
        <v>1121</v>
      </c>
      <c r="I516" s="4" t="s">
        <v>1833</v>
      </c>
      <c r="J516" s="4" t="s">
        <v>130</v>
      </c>
    </row>
    <row r="517" customFormat="false" ht="15" hidden="false" customHeight="false" outlineLevel="0" collapsed="false">
      <c r="A517" s="5" t="n">
        <v>41223</v>
      </c>
      <c r="B517" s="5" t="s">
        <v>82</v>
      </c>
      <c r="C517" s="5" t="s">
        <v>949</v>
      </c>
      <c r="D517" s="4" t="s">
        <v>24</v>
      </c>
      <c r="E517" s="4" t="s">
        <v>1113</v>
      </c>
      <c r="F517" s="4" t="s">
        <v>1114</v>
      </c>
      <c r="G517" s="5" t="n">
        <v>56</v>
      </c>
      <c r="H517" s="5" t="s">
        <v>1121</v>
      </c>
      <c r="I517" s="4" t="s">
        <v>1834</v>
      </c>
      <c r="J517" s="4" t="s">
        <v>130</v>
      </c>
    </row>
    <row r="518" customFormat="false" ht="15" hidden="false" customHeight="false" outlineLevel="0" collapsed="false">
      <c r="A518" s="5" t="n">
        <v>40742</v>
      </c>
      <c r="B518" s="5" t="s">
        <v>82</v>
      </c>
      <c r="C518" s="5" t="s">
        <v>533</v>
      </c>
      <c r="D518" s="4" t="s">
        <v>24</v>
      </c>
      <c r="E518" s="4" t="s">
        <v>1113</v>
      </c>
      <c r="F518" s="4" t="s">
        <v>1114</v>
      </c>
      <c r="G518" s="5" t="n">
        <v>31</v>
      </c>
      <c r="H518" s="5" t="s">
        <v>1118</v>
      </c>
      <c r="I518" s="4" t="s">
        <v>1835</v>
      </c>
      <c r="J518" s="4" t="s">
        <v>131</v>
      </c>
    </row>
    <row r="519" customFormat="false" ht="15" hidden="false" customHeight="false" outlineLevel="0" collapsed="false">
      <c r="A519" s="5" t="n">
        <v>40688</v>
      </c>
      <c r="B519" s="5" t="s">
        <v>82</v>
      </c>
      <c r="C519" s="5" t="s">
        <v>1364</v>
      </c>
      <c r="D519" s="4" t="s">
        <v>24</v>
      </c>
      <c r="E519" s="4" t="s">
        <v>1113</v>
      </c>
      <c r="F519" s="4" t="s">
        <v>1114</v>
      </c>
      <c r="G519" s="5" t="n">
        <v>66</v>
      </c>
      <c r="H519" s="5" t="s">
        <v>1121</v>
      </c>
      <c r="I519" s="4" t="s">
        <v>1836</v>
      </c>
      <c r="J519" s="4" t="s">
        <v>130</v>
      </c>
    </row>
    <row r="520" customFormat="false" ht="15" hidden="false" customHeight="false" outlineLevel="0" collapsed="false">
      <c r="A520" s="5" t="n">
        <v>42999</v>
      </c>
      <c r="B520" s="5" t="s">
        <v>82</v>
      </c>
      <c r="C520" s="5" t="s">
        <v>483</v>
      </c>
      <c r="D520" s="4" t="s">
        <v>32</v>
      </c>
      <c r="E520" s="4" t="s">
        <v>1113</v>
      </c>
      <c r="F520" s="4" t="s">
        <v>1123</v>
      </c>
      <c r="G520" s="5" t="n">
        <v>132</v>
      </c>
      <c r="H520" s="5" t="s">
        <v>1121</v>
      </c>
      <c r="I520" s="4" t="s">
        <v>1837</v>
      </c>
      <c r="J520" s="4" t="s">
        <v>130</v>
      </c>
    </row>
    <row r="521" customFormat="false" ht="15" hidden="false" customHeight="false" outlineLevel="0" collapsed="false">
      <c r="A521" s="5" t="n">
        <v>37070</v>
      </c>
      <c r="B521" s="5" t="s">
        <v>82</v>
      </c>
      <c r="C521" s="5" t="s">
        <v>347</v>
      </c>
      <c r="D521" s="4" t="s">
        <v>32</v>
      </c>
      <c r="E521" s="4" t="s">
        <v>1113</v>
      </c>
      <c r="F521" s="4" t="s">
        <v>1123</v>
      </c>
      <c r="G521" s="5" t="n">
        <v>95</v>
      </c>
      <c r="H521" s="5" t="s">
        <v>1121</v>
      </c>
      <c r="I521" s="4" t="s">
        <v>1838</v>
      </c>
      <c r="J521" s="4" t="s">
        <v>130</v>
      </c>
    </row>
    <row r="522" customFormat="false" ht="15" hidden="false" customHeight="false" outlineLevel="0" collapsed="false">
      <c r="A522" s="5" t="n">
        <v>32908</v>
      </c>
      <c r="B522" s="5" t="s">
        <v>82</v>
      </c>
      <c r="C522" s="5" t="s">
        <v>348</v>
      </c>
      <c r="D522" s="4" t="s">
        <v>32</v>
      </c>
      <c r="E522" s="4" t="s">
        <v>1113</v>
      </c>
      <c r="F522" s="4" t="s">
        <v>1123</v>
      </c>
      <c r="G522" s="5" t="n">
        <v>82</v>
      </c>
      <c r="H522" s="5" t="s">
        <v>1121</v>
      </c>
      <c r="I522" s="4" t="s">
        <v>1839</v>
      </c>
      <c r="J522" s="4" t="s">
        <v>130</v>
      </c>
    </row>
    <row r="523" customFormat="false" ht="15" hidden="false" customHeight="false" outlineLevel="0" collapsed="false">
      <c r="A523" s="5" t="n">
        <v>27481</v>
      </c>
      <c r="B523" s="5" t="s">
        <v>82</v>
      </c>
      <c r="C523" s="5" t="s">
        <v>352</v>
      </c>
      <c r="D523" s="4" t="s">
        <v>32</v>
      </c>
      <c r="E523" s="4" t="s">
        <v>1113</v>
      </c>
      <c r="F523" s="4" t="s">
        <v>1123</v>
      </c>
      <c r="G523" s="5" t="n">
        <v>88</v>
      </c>
      <c r="H523" s="5" t="s">
        <v>1121</v>
      </c>
      <c r="I523" s="4" t="s">
        <v>1840</v>
      </c>
      <c r="J523" s="4" t="s">
        <v>130</v>
      </c>
    </row>
    <row r="524" customFormat="false" ht="15" hidden="false" customHeight="false" outlineLevel="0" collapsed="false">
      <c r="A524" s="5" t="n">
        <v>40224</v>
      </c>
      <c r="B524" s="5" t="s">
        <v>82</v>
      </c>
      <c r="C524" s="5" t="s">
        <v>356</v>
      </c>
      <c r="D524" s="4" t="s">
        <v>32</v>
      </c>
      <c r="E524" s="4" t="s">
        <v>1113</v>
      </c>
      <c r="F524" s="4" t="s">
        <v>1123</v>
      </c>
      <c r="G524" s="5" t="n">
        <v>75</v>
      </c>
      <c r="H524" s="5" t="s">
        <v>1121</v>
      </c>
      <c r="I524" s="4" t="s">
        <v>1841</v>
      </c>
      <c r="J524" s="4" t="s">
        <v>130</v>
      </c>
    </row>
    <row r="525" customFormat="false" ht="15" hidden="false" customHeight="false" outlineLevel="0" collapsed="false">
      <c r="A525" s="5" t="n">
        <v>42604</v>
      </c>
      <c r="B525" s="5" t="s">
        <v>82</v>
      </c>
      <c r="C525" s="5" t="s">
        <v>179</v>
      </c>
      <c r="D525" s="4" t="s">
        <v>30</v>
      </c>
      <c r="E525" s="4" t="s">
        <v>1113</v>
      </c>
      <c r="F525" s="4" t="s">
        <v>1283</v>
      </c>
      <c r="G525" s="5" t="n">
        <v>40</v>
      </c>
      <c r="H525" s="5" t="s">
        <v>1121</v>
      </c>
      <c r="I525" s="4" t="s">
        <v>1842</v>
      </c>
      <c r="J525" s="4" t="s">
        <v>130</v>
      </c>
    </row>
    <row r="526" customFormat="false" ht="15" hidden="false" customHeight="false" outlineLevel="0" collapsed="false">
      <c r="A526" s="5" t="n">
        <v>42926</v>
      </c>
      <c r="B526" s="5" t="s">
        <v>82</v>
      </c>
      <c r="C526" s="5" t="s">
        <v>1843</v>
      </c>
      <c r="D526" s="4" t="s">
        <v>30</v>
      </c>
      <c r="E526" s="4" t="s">
        <v>1113</v>
      </c>
      <c r="F526" s="4" t="s">
        <v>1123</v>
      </c>
      <c r="G526" s="5" t="n">
        <v>61</v>
      </c>
      <c r="H526" s="5" t="s">
        <v>1121</v>
      </c>
      <c r="I526" s="4" t="s">
        <v>1844</v>
      </c>
      <c r="J526" s="4" t="s">
        <v>130</v>
      </c>
    </row>
    <row r="527" customFormat="false" ht="15" hidden="false" customHeight="false" outlineLevel="0" collapsed="false">
      <c r="A527" s="5" t="n">
        <v>43001</v>
      </c>
      <c r="B527" s="5" t="s">
        <v>82</v>
      </c>
      <c r="C527" s="5" t="s">
        <v>1707</v>
      </c>
      <c r="D527" s="4" t="s">
        <v>28</v>
      </c>
      <c r="E527" s="4" t="s">
        <v>1113</v>
      </c>
      <c r="F527" s="4" t="s">
        <v>1123</v>
      </c>
      <c r="G527" s="5" t="n">
        <v>58</v>
      </c>
      <c r="H527" s="5" t="s">
        <v>1121</v>
      </c>
      <c r="I527" s="4" t="s">
        <v>1845</v>
      </c>
      <c r="J527" s="4" t="s">
        <v>130</v>
      </c>
    </row>
    <row r="528" customFormat="false" ht="15" hidden="false" customHeight="false" outlineLevel="0" collapsed="false">
      <c r="A528" s="5" t="n">
        <v>43002</v>
      </c>
      <c r="B528" s="5" t="s">
        <v>82</v>
      </c>
      <c r="C528" s="5" t="s">
        <v>633</v>
      </c>
      <c r="D528" s="4" t="s">
        <v>28</v>
      </c>
      <c r="E528" s="4" t="s">
        <v>1113</v>
      </c>
      <c r="F528" s="4" t="s">
        <v>1123</v>
      </c>
      <c r="G528" s="5" t="n">
        <v>46</v>
      </c>
      <c r="H528" s="5" t="s">
        <v>1121</v>
      </c>
      <c r="I528" s="4" t="s">
        <v>1846</v>
      </c>
      <c r="J528" s="4" t="s">
        <v>130</v>
      </c>
    </row>
    <row r="529" customFormat="false" ht="15" hidden="false" customHeight="false" outlineLevel="0" collapsed="false">
      <c r="A529" s="5" t="n">
        <v>43003</v>
      </c>
      <c r="B529" s="5" t="s">
        <v>82</v>
      </c>
      <c r="C529" s="5" t="s">
        <v>704</v>
      </c>
      <c r="D529" s="4" t="s">
        <v>28</v>
      </c>
      <c r="E529" s="4" t="s">
        <v>1113</v>
      </c>
      <c r="F529" s="4" t="s">
        <v>1114</v>
      </c>
      <c r="G529" s="5" t="n">
        <v>48</v>
      </c>
      <c r="H529" s="5" t="s">
        <v>1121</v>
      </c>
      <c r="I529" s="4" t="s">
        <v>1847</v>
      </c>
      <c r="J529" s="4" t="s">
        <v>130</v>
      </c>
    </row>
    <row r="530" customFormat="false" ht="15" hidden="false" customHeight="false" outlineLevel="0" collapsed="false">
      <c r="A530" s="5" t="n">
        <v>43004</v>
      </c>
      <c r="B530" s="5" t="s">
        <v>82</v>
      </c>
      <c r="C530" s="5" t="s">
        <v>1056</v>
      </c>
      <c r="D530" s="4" t="s">
        <v>22</v>
      </c>
      <c r="E530" s="4" t="s">
        <v>1113</v>
      </c>
      <c r="F530" s="4" t="s">
        <v>1128</v>
      </c>
      <c r="G530" s="5" t="n">
        <v>74</v>
      </c>
      <c r="H530" s="5" t="s">
        <v>1121</v>
      </c>
      <c r="I530" s="4" t="s">
        <v>1848</v>
      </c>
      <c r="J530" s="4" t="s">
        <v>130</v>
      </c>
    </row>
    <row r="531" customFormat="false" ht="15" hidden="false" customHeight="false" outlineLevel="0" collapsed="false">
      <c r="A531" s="5" t="n">
        <v>43005</v>
      </c>
      <c r="B531" s="5" t="s">
        <v>82</v>
      </c>
      <c r="C531" s="5" t="s">
        <v>1811</v>
      </c>
      <c r="D531" s="4" t="s">
        <v>22</v>
      </c>
      <c r="E531" s="4" t="s">
        <v>1113</v>
      </c>
      <c r="F531" s="4" t="s">
        <v>1128</v>
      </c>
      <c r="G531" s="5" t="n">
        <v>52</v>
      </c>
      <c r="H531" s="5" t="s">
        <v>1121</v>
      </c>
      <c r="I531" s="4" t="s">
        <v>1849</v>
      </c>
      <c r="J531" s="4" t="s">
        <v>130</v>
      </c>
    </row>
    <row r="532" customFormat="false" ht="23.85" hidden="false" customHeight="false" outlineLevel="0" collapsed="false">
      <c r="A532" s="5" t="n">
        <v>35173</v>
      </c>
      <c r="B532" s="5" t="s">
        <v>82</v>
      </c>
      <c r="C532" s="5" t="s">
        <v>1850</v>
      </c>
      <c r="D532" s="4" t="s">
        <v>30</v>
      </c>
      <c r="E532" s="4" t="s">
        <v>1113</v>
      </c>
      <c r="F532" s="4" t="s">
        <v>1114</v>
      </c>
      <c r="G532" s="5" t="n">
        <v>14</v>
      </c>
      <c r="H532" s="5" t="s">
        <v>1115</v>
      </c>
      <c r="I532" s="4" t="s">
        <v>1191</v>
      </c>
      <c r="J532" s="4" t="s">
        <v>132</v>
      </c>
    </row>
    <row r="533" customFormat="false" ht="15" hidden="false" customHeight="false" outlineLevel="0" collapsed="false">
      <c r="A533" s="5" t="n">
        <v>31186</v>
      </c>
      <c r="B533" s="5" t="s">
        <v>84</v>
      </c>
      <c r="C533" s="5" t="s">
        <v>1851</v>
      </c>
      <c r="D533" s="4" t="s">
        <v>32</v>
      </c>
      <c r="E533" s="4" t="s">
        <v>1113</v>
      </c>
      <c r="F533" s="4" t="s">
        <v>1123</v>
      </c>
      <c r="G533" s="5" t="n">
        <v>69</v>
      </c>
      <c r="H533" s="5" t="s">
        <v>1121</v>
      </c>
      <c r="I533" s="4" t="s">
        <v>1505</v>
      </c>
      <c r="J533" s="4" t="s">
        <v>130</v>
      </c>
    </row>
    <row r="534" customFormat="false" ht="15" hidden="false" customHeight="false" outlineLevel="0" collapsed="false">
      <c r="A534" s="5" t="n">
        <v>43007</v>
      </c>
      <c r="B534" s="5" t="s">
        <v>84</v>
      </c>
      <c r="C534" s="5" t="s">
        <v>733</v>
      </c>
      <c r="D534" s="4" t="s">
        <v>32</v>
      </c>
      <c r="E534" s="4" t="s">
        <v>1113</v>
      </c>
      <c r="F534" s="4" t="s">
        <v>1123</v>
      </c>
      <c r="G534" s="5" t="n">
        <v>100</v>
      </c>
      <c r="H534" s="5" t="s">
        <v>1121</v>
      </c>
      <c r="I534" s="4" t="s">
        <v>1852</v>
      </c>
      <c r="J534" s="4" t="s">
        <v>130</v>
      </c>
    </row>
    <row r="535" customFormat="false" ht="15" hidden="false" customHeight="false" outlineLevel="0" collapsed="false">
      <c r="A535" s="5" t="n">
        <v>38335</v>
      </c>
      <c r="B535" s="5" t="s">
        <v>84</v>
      </c>
      <c r="C535" s="5" t="s">
        <v>1403</v>
      </c>
      <c r="D535" s="4" t="s">
        <v>32</v>
      </c>
      <c r="E535" s="4" t="s">
        <v>1113</v>
      </c>
      <c r="F535" s="4" t="s">
        <v>1123</v>
      </c>
      <c r="G535" s="5" t="n">
        <v>128</v>
      </c>
      <c r="H535" s="5" t="s">
        <v>1121</v>
      </c>
      <c r="I535" s="4" t="s">
        <v>1853</v>
      </c>
      <c r="J535" s="4" t="s">
        <v>130</v>
      </c>
    </row>
    <row r="536" customFormat="false" ht="15" hidden="false" customHeight="false" outlineLevel="0" collapsed="false">
      <c r="A536" s="5" t="n">
        <v>38356</v>
      </c>
      <c r="B536" s="5" t="s">
        <v>84</v>
      </c>
      <c r="C536" s="5" t="s">
        <v>1854</v>
      </c>
      <c r="D536" s="4" t="s">
        <v>32</v>
      </c>
      <c r="E536" s="4" t="s">
        <v>1113</v>
      </c>
      <c r="F536" s="4" t="s">
        <v>1123</v>
      </c>
      <c r="G536" s="5" t="n">
        <v>96</v>
      </c>
      <c r="H536" s="5" t="s">
        <v>1121</v>
      </c>
      <c r="I536" s="4" t="s">
        <v>1855</v>
      </c>
      <c r="J536" s="4" t="s">
        <v>130</v>
      </c>
    </row>
    <row r="537" customFormat="false" ht="15" hidden="false" customHeight="false" outlineLevel="0" collapsed="false">
      <c r="A537" s="5" t="n">
        <v>38351</v>
      </c>
      <c r="B537" s="5" t="s">
        <v>84</v>
      </c>
      <c r="C537" s="5" t="s">
        <v>596</v>
      </c>
      <c r="D537" s="4" t="s">
        <v>32</v>
      </c>
      <c r="E537" s="4" t="s">
        <v>1113</v>
      </c>
      <c r="F537" s="4" t="s">
        <v>1123</v>
      </c>
      <c r="G537" s="5" t="n">
        <v>118</v>
      </c>
      <c r="H537" s="5" t="s">
        <v>1121</v>
      </c>
      <c r="I537" s="4" t="s">
        <v>1856</v>
      </c>
      <c r="J537" s="4" t="s">
        <v>130</v>
      </c>
    </row>
    <row r="538" customFormat="false" ht="15" hidden="false" customHeight="false" outlineLevel="0" collapsed="false">
      <c r="A538" s="5" t="n">
        <v>41100</v>
      </c>
      <c r="B538" s="5" t="s">
        <v>84</v>
      </c>
      <c r="C538" s="5" t="s">
        <v>481</v>
      </c>
      <c r="D538" s="4" t="s">
        <v>22</v>
      </c>
      <c r="E538" s="4" t="s">
        <v>1113</v>
      </c>
      <c r="F538" s="4" t="s">
        <v>1128</v>
      </c>
      <c r="G538" s="5" t="n">
        <v>57</v>
      </c>
      <c r="H538" s="5" t="s">
        <v>1121</v>
      </c>
      <c r="I538" s="4" t="s">
        <v>1857</v>
      </c>
      <c r="J538" s="4" t="s">
        <v>130</v>
      </c>
    </row>
    <row r="539" customFormat="false" ht="15" hidden="false" customHeight="false" outlineLevel="0" collapsed="false">
      <c r="A539" s="5" t="n">
        <v>42992</v>
      </c>
      <c r="B539" s="5" t="s">
        <v>84</v>
      </c>
      <c r="C539" s="5" t="s">
        <v>1858</v>
      </c>
      <c r="D539" s="4" t="s">
        <v>22</v>
      </c>
      <c r="E539" s="4" t="s">
        <v>1113</v>
      </c>
      <c r="F539" s="4" t="s">
        <v>1128</v>
      </c>
      <c r="G539" s="5" t="n">
        <v>50</v>
      </c>
      <c r="H539" s="5" t="s">
        <v>1121</v>
      </c>
      <c r="I539" s="4" t="s">
        <v>1859</v>
      </c>
      <c r="J539" s="4" t="s">
        <v>130</v>
      </c>
    </row>
  </sheetData>
  <autoFilter ref="A1:J539"/>
  <conditionalFormatting sqref="J2:J539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539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2026-08-29T09:48:02Z</dcterms:created>
  <dc:creator>openpyxl</dc:creator>
  <dc:description/>
  <dc:language>en-US</dc:language>
  <cp:lastModifiedBy/>
  <dcterms:modified xsi:type="dcterms:W3CDTF">2026-08-29T09:48:03Z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