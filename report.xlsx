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الفرص'!$A$1:$Y$9</definedName>
    <definedName function="false" hidden="true" localSheetId="4" name="_xlnm._FilterDatabase" vbProcedure="false">'سجل الأكشنات'!$A$1:$J$12</definedName>
    <definedName function="false" hidden="true" localSheetId="1" name="_xlnm._FilterDatabase" vbProcedure="false">'متابعة يومية'!$A$3:$I$127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<sst xmlns="http://schemas.openxmlformats.org/spreadsheetml/2006/main" count="753" uniqueCount="211">
  <si>
    <t xml:space="preserve">شيت المتابعة اليومية للمناديب — Smou Lifts (Odoo CRM)</t>
  </si>
  <si>
    <t xml:space="preserve">الفترة: 01/08/2026 حتى 31/08/2026   |   البيانات متاحة فعلياً حتى 2026-08-01   |   المصدر: crm.lead   |   آخر تحديث: 02/08/2026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</si>
  <si>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</si>
  <si>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</si>
  <si>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</si>
  <si>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</si>
  <si>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</si>
  <si>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</si>
  <si>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</si>
  <si>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</si>
  <si>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</si>
  <si>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</si>
  <si>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</si>
  <si>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</si>
  <si>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</si>
  <si>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</si>
  <si>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</si>
  <si>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</si>
  <si>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Ahmed Alattar</t>
  </si>
  <si>
    <t xml:space="preserve">لا يكتب إطلاقاً: ملاحظات (في كل الـ2 فرصة) · كثيراً ما يترك فارغاً: Plot Number (1/2)، المقاول (1/2)، مرفقات (1/2) · الأكشنات: 3 أكشن منها 2 مختصر/بدون نص</t>
  </si>
  <si>
    <t xml:space="preserve">Ahmed Salah</t>
  </si>
  <si>
    <t xml:space="preserve">لم ينشئ أي فرصة في الفترة · الأكشنات: 1 أكشن كلها مكتوبة بتفاصيل ✔</t>
  </si>
  <si>
    <t xml:space="preserve">Mohammed Jamal</t>
  </si>
  <si>
    <t xml:space="preserve">لا يكتب إطلاقاً: Plot Number، مرفقات، Source، ملاحظات (في كل الـ6 فرصة) · الأكشنات: 5 أكشن منها 1 مختصر/بدون نص</t>
  </si>
  <si>
    <t xml:space="preserve">Ramy Moussa</t>
  </si>
  <si>
    <t xml:space="preserve">لم ينشئ أي فرصة في الفترة · الأكشنات: 2 أكشن منها 2 مختصر/بدون نص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</si>
  <si>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</si>
  <si>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</si>
  <si>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</si>
  <si>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</si>
  <si>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</si>
  <si>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</si>
  <si>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</si>
  <si>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02/08/2026 — آخر يوم به نشاط مسجّل هو 2026-08-01.</t>
  </si>
  <si>
    <t xml:space="preserve">• المناديب المستبعدون من الشيت: Sayed Samak.</t>
  </si>
  <si>
    <t xml:space="preserve">المتابعة اليومية لكل مندوب — 01/08/2026 إلى 31/08/2026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</si>
  <si>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</si>
  <si>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</si>
  <si>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</si>
  <si>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</si>
  <si>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</si>
  <si>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السبت</t>
  </si>
  <si>
    <t xml:space="preserve">2026-08-01</t>
  </si>
  <si>
    <t xml:space="preserve">الأحد</t>
  </si>
  <si>
    <t xml:space="preserve">2026-08-02</t>
  </si>
  <si>
    <t xml:space="preserve">الإثنين</t>
  </si>
  <si>
    <t xml:space="preserve">2026-08-03</t>
  </si>
  <si>
    <t xml:space="preserve">الثلاثاء</t>
  </si>
  <si>
    <t xml:space="preserve">2026-08-04</t>
  </si>
  <si>
    <t xml:space="preserve">الأربعاء</t>
  </si>
  <si>
    <t xml:space="preserve">2026-08-05</t>
  </si>
  <si>
    <t xml:space="preserve">الخميس</t>
  </si>
  <si>
    <t xml:space="preserve">2026-08-06</t>
  </si>
  <si>
    <t xml:space="preserve">الجمعة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</si>
  <si>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</si>
  <si>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</si>
  <si>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</si>
  <si>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</si>
  <si>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</si>
  <si>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</si>
  <si>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</si>
  <si>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</si>
  <si>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</si>
  <si>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</si>
  <si>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</si>
  <si>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</si>
  <si>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</si>
  <si>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</si>
  <si>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</si>
  <si>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</si>
  <si>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</si>
  <si>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</si>
  <si>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</si>
  <si>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</si>
  <si>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</si>
  <si>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</si>
  <si>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2026-08-29</t>
  </si>
  <si>
    <t xml:space="preserve">2026-08-30</t>
  </si>
  <si>
    <t xml:space="preserve">2026-08-31</t>
  </si>
  <si>
    <t xml:space="preserve">الملاحظات المتكررة ومدى تكرارها</t>
  </si>
  <si>
    <t xml:space="preserve">إجمالي الفرص المفحوصة: 8   |   إجمالي الأكشنات المفحوصة: 11   |   الفترة 01/08 – 31/08/2026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</si>
  <si>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</si>
  <si>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</si>
  <si>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</si>
  <si>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</si>
  <si>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</si>
  <si>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</si>
  <si>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</si>
  <si>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</si>
  <si>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</si>
  <si>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—</t>
  </si>
  <si>
    <t xml:space="preserve">المندوب لم يكتب «Plot Number» في الفرصة</t>
  </si>
  <si>
    <t xml:space="preserve">Mohammed Jamal (6)</t>
  </si>
  <si>
    <t xml:space="preserve">المندوب لم يكتب «الاستشاري» في الفرصة</t>
  </si>
  <si>
    <t xml:space="preserve">Mohammed Jamal (1)</t>
  </si>
  <si>
    <t xml:space="preserve">المندوب لم يكتب «المقاول» في الفرصة</t>
  </si>
  <si>
    <t xml:space="preserve">Ahmed Alattar (1)</t>
  </si>
  <si>
    <t xml:space="preserve">المندوب لم يكتب «Tags» في الفرصة</t>
  </si>
  <si>
    <t xml:space="preserve">المندوب لم يكتب «مرفقات» في الفرصة</t>
  </si>
  <si>
    <t xml:space="preserve">المندوب لم يكتب «Source» في الفرصة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</si>
  <si>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</si>
  <si>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</si>
  <si>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</si>
  <si>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</si>
  <si>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Plot Number، مرفقات، Source، ملاحظات</t>
  </si>
  <si>
    <t xml:space="preserve">ناقص: Plot Number، الاستشاري، المقاول، مرفقات، Source، ملاحظات</t>
  </si>
  <si>
    <t xml:space="preserve">ناقص: Plot Number، المقاول، ملاحظات</t>
  </si>
  <si>
    <t xml:space="preserve">ناقص: مرفقات، ملاحظات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</si>
  <si>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</si>
  <si>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</si>
  <si>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</si>
  <si>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</si>
  <si>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</si>
  <si>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أكشن مختصر جداً — النص تلقائي/عام بدون تفاصيل الزيارة أو نتيجتها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</si>
  <si>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</si>
  <si>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</si>
  <si>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</si>
  <si>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</si>
  <si>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</si>
  <si>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</si>
  <si>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</si>
  <si>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</si>
  <si>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</si>
  <si>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</si>
  <si>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</si>
  <si>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</si>
  <si>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</si>
  <si>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</si>
  <si>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</si>
  <si>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</si>
  <si>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</si>
  <si>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</si>
  <si>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16:59</t>
  </si>
  <si>
    <t xml:space="preserve">Abu Dhabi, and Al Ain</t>
  </si>
  <si>
    <t xml:space="preserve">عرض سعر</t>
  </si>
  <si>
    <t xml:space="preserve">بيت الصيانه للمقاولات العامة's opportuni</t>
  </si>
  <si>
    <t xml:space="preserve">بيت الصيانه للمقاولات العامة</t>
  </si>
  <si>
    <t xml:space="preserve">نعم</t>
  </si>
  <si>
    <t xml:space="preserve">لا</t>
  </si>
  <si>
    <t xml:space="preserve">بازلت للاستشارات الهندسية</t>
  </si>
  <si>
    <t xml:space="preserve">مواقع</t>
  </si>
  <si>
    <t xml:space="preserve">المندوب لم يكتب: Plot Number، مرفقات، Source، ملاحظات  (4 خانة ناقصة)</t>
  </si>
  <si>
    <t xml:space="preserve">17:02</t>
  </si>
  <si>
    <t xml:space="preserve">السعادة للمقاولات العامة's opportunity</t>
  </si>
  <si>
    <t xml:space="preserve">السعادة للمقاولات العامة</t>
  </si>
  <si>
    <t xml:space="preserve">مكتب اركال للاستشارات الهندسية</t>
  </si>
  <si>
    <t xml:space="preserve">17:06</t>
  </si>
  <si>
    <t xml:space="preserve">كلاوس للمقاولات العامة's opportunity</t>
  </si>
  <si>
    <t xml:space="preserve">كلاوس للمقاولات العامة</t>
  </si>
  <si>
    <t xml:space="preserve">مكتب فنون العمارة للاستشارات اله</t>
  </si>
  <si>
    <t xml:space="preserve">17:09</t>
  </si>
  <si>
    <t xml:space="preserve">بالم إنترناشيونال للمقاولات العامة's opp</t>
  </si>
  <si>
    <t xml:space="preserve">بالم إنترناشيونال للمقاولات العامة</t>
  </si>
  <si>
    <t xml:space="preserve">بالم إنترناشيونال للمقاولات العا</t>
  </si>
  <si>
    <t xml:space="preserve">17:15</t>
  </si>
  <si>
    <t xml:space="preserve">دار الغد للمقاولات العامة's opportunity</t>
  </si>
  <si>
    <t xml:space="preserve">دار الغد للمقاولات العامة</t>
  </si>
  <si>
    <t xml:space="preserve">ابيلا للاستشارات الهندسية</t>
  </si>
  <si>
    <t xml:space="preserve">دار الغد للمقاولات العامه</t>
  </si>
  <si>
    <t xml:space="preserve">17:18</t>
  </si>
  <si>
    <t xml:space="preserve">Eng. Omar's opportunity</t>
  </si>
  <si>
    <t xml:space="preserve">مكتب العين</t>
  </si>
  <si>
    <t xml:space="preserve">مكتب</t>
  </si>
  <si>
    <t xml:space="preserve">المندوب لم يكتب: Plot Number، الاستشاري، المقاول، مرفقات، Source، ملاحظات  (6 خانة ناقصة)</t>
  </si>
  <si>
    <t xml:space="preserve">18:14</t>
  </si>
  <si>
    <t xml:space="preserve">ADMIN</t>
  </si>
  <si>
    <t xml:space="preserve">على سعيد النقبي/ كوريديرا للاستشارات اله</t>
  </si>
  <si>
    <t xml:space="preserve">على سعيد النقبي/ كوريديرا للاستشارات ا</t>
  </si>
  <si>
    <t xml:space="preserve">مكتب كوريديرا للاستشارات الهندسي</t>
  </si>
  <si>
    <t xml:space="preserve">عرض سعر مصعد</t>
  </si>
  <si>
    <t xml:space="preserve">معرفة</t>
  </si>
  <si>
    <t xml:space="preserve">المندوب لم يكتب: Plot Number، المقاول، ملاحظات  (3 خانة ناقصة)</t>
  </si>
  <si>
    <t xml:space="preserve">22:14</t>
  </si>
  <si>
    <t xml:space="preserve">على اسماعيل ال بشر / بو زايد صاحب الصومع</t>
  </si>
  <si>
    <t xml:space="preserve">على اسماعيل ال بشر</t>
  </si>
  <si>
    <t xml:space="preserve">135/14</t>
  </si>
  <si>
    <t xml:space="preserve">مكتب البيت الحديث للاستشارات اله</t>
  </si>
  <si>
    <t xml:space="preserve">الصومعة للمقاولات العامة</t>
  </si>
  <si>
    <t xml:space="preserve">المندوب لم يكتب: مرفقات، ملاحظات  (2 خانة ناقصة)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</si>
  <si>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</si>
  <si>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</si>
  <si>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</si>
  <si>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</si>
  <si>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</si>
  <si>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10:57</t>
  </si>
  <si>
    <t xml:space="preserve">نشاط منفذ</t>
  </si>
  <si>
    <t xml:space="preserve">Meeting</t>
  </si>
  <si>
    <t xml:space="preserve">مختصر جداً / فارغ</t>
  </si>
  <si>
    <t xml:space="preserve">دوام من معرض العين</t>
  </si>
  <si>
    <t xml:space="preserve">13:55</t>
  </si>
  <si>
    <t xml:space="preserve">مختصر</t>
  </si>
  <si>
    <t xml:space="preserve">تم زياره معرض العين والتعاقد الحمدلله</t>
  </si>
  <si>
    <t xml:space="preserve">16:42</t>
  </si>
  <si>
    <t xml:space="preserve">تفصيلي</t>
  </si>
  <si>
    <t xml:space="preserve">الاجتماع تم : تمت زياره للمكتب ومقابله م تمام</t>
  </si>
  <si>
    <t xml:space="preserve">17:01</t>
  </si>
  <si>
    <t xml:space="preserve">Site Visit</t>
  </si>
  <si>
    <t xml:space="preserve">زيارة الموقع ومقابلة المالك الاستاذ عبدالرحمن المن</t>
  </si>
  <si>
    <t xml:space="preserve">17:04</t>
  </si>
  <si>
    <t xml:space="preserve">زيارة الموقع ومقابلة المهندس زاهر متابعة عرض سعر ن</t>
  </si>
  <si>
    <t xml:space="preserve">زيارة الموقع ومقابلة المهندس مارك تم التعاقد مع شر</t>
  </si>
  <si>
    <t xml:space="preserve">17:17</t>
  </si>
  <si>
    <t xml:space="preserve">زيارة الموقع وتم الاتصال على مهندس احمد المالك ماج</t>
  </si>
  <si>
    <t xml:space="preserve">الدوام من المعرض</t>
  </si>
  <si>
    <t xml:space="preserve">18:15</t>
  </si>
  <si>
    <t xml:space="preserve">To Do</t>
  </si>
  <si>
    <t xml:space="preserve">تم عمل عرض سعر ومقابلة المالك فى المعرض</t>
  </si>
  <si>
    <t xml:space="preserve">22:22</t>
  </si>
  <si>
    <t xml:space="preserve">تم مقابلة مهندس فياز وعمل عرض سعر للمصعد</t>
  </si>
  <si>
    <t xml:space="preserve">22:31</t>
  </si>
  <si>
    <t xml:space="preserve">2 مقابلة/ 2 عرض سعر مصعد/ معرض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</si>
</sst>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الفرص'!$D$2:$D$9,$A5)</f>
        <v>2</v>
      </c>
      <c r="C5" s="5" t="n">
        <f aca="false">COUNTIFS('تفاصيل الفرص'!$D$2:$D$9,$A5,'تفاصيل الفرص'!$I$2:$I$9,"نعم")</f>
        <v>2</v>
      </c>
      <c r="D5" s="5" t="n">
        <f aca="false">COUNTIFS('تفاصيل الفرص'!$D$2:$D$9,$A5,'تفاصيل الفرص'!$K$2:$K$9,"نعم")</f>
        <v>1</v>
      </c>
      <c r="E5" s="5" t="n">
        <f aca="false">COUNTIFS('تفاصيل الفرص'!$D$2:$D$9,$A5,'تفاصيل الفرص'!$M$2:$M$9,"نعم")</f>
        <v>2</v>
      </c>
      <c r="F5" s="5" t="n">
        <f aca="false">COUNTIFS('تفاصيل الفرص'!$D$2:$D$9,$A5,'تفاصيل الفرص'!$O$2:$O$9,"نعم")</f>
        <v>1</v>
      </c>
      <c r="G5" s="5" t="n">
        <f aca="false">COUNTIFS('تفاصيل الفرص'!$D$2:$D$9,$A5,'تفاصيل الفرص'!$Q$2:$Q$9,"نعم")</f>
        <v>2</v>
      </c>
      <c r="H5" s="5" t="n">
        <f aca="false">COUNTIFS('تفاصيل الفرص'!$D$2:$D$9,$A5,'تفاصيل الفرص'!$S$2:$S$9,"نعم")</f>
        <v>1</v>
      </c>
      <c r="I5" s="5" t="n">
        <f aca="false">COUNTIFS('تفاصيل الفرص'!$D$2:$D$9,$A5,'تفاصيل الفرص'!$U$2:$U$9,"نعم")</f>
        <v>2</v>
      </c>
      <c r="J5" s="5" t="n">
        <f aca="false">COUNTIFS('تفاصيل الفرص'!$D$2:$D$9,$A5,'تفاصيل الفرص'!$W$2:$W$9,"نعم")</f>
        <v>0</v>
      </c>
      <c r="K5" s="6" t="n">
        <f aca="false">IF($B5=0,0,SUM(C5:J5)/($B5*8))</f>
        <v>0.6875</v>
      </c>
      <c r="L5" s="5" t="n">
        <f aca="false">COUNTIF('سجل الأكشنات'!$D$2:$D$12,$A5)</f>
        <v>3</v>
      </c>
      <c r="M5" s="5" t="n">
        <f aca="false">COUNTIFS('سجل الأكشنات'!$D$2:$D$12,$A5,'سجل الأكشنات'!$H$2:$H$12,"تفصيلي")</f>
        <v>1</v>
      </c>
      <c r="N5" s="5" t="n">
        <f aca="false">L5-M5</f>
        <v>2</v>
      </c>
      <c r="O5" s="6" t="n">
        <f aca="false">IF($L5=0,0,M5/L5)</f>
        <v>0.333333333333333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الفرص'!$D$2:$D$9,$A6)</f>
        <v>0</v>
      </c>
      <c r="C6" s="5" t="n">
        <f aca="false">COUNTIFS('تفاصيل الفرص'!$D$2:$D$9,$A6,'تفاصيل الفرص'!$I$2:$I$9,"نعم")</f>
        <v>0</v>
      </c>
      <c r="D6" s="5" t="n">
        <f aca="false">COUNTIFS('تفاصيل الفرص'!$D$2:$D$9,$A6,'تفاصيل الفرص'!$K$2:$K$9,"نعم")</f>
        <v>0</v>
      </c>
      <c r="E6" s="5" t="n">
        <f aca="false">COUNTIFS('تفاصيل الفرص'!$D$2:$D$9,$A6,'تفاصيل الفرص'!$M$2:$M$9,"نعم")</f>
        <v>0</v>
      </c>
      <c r="F6" s="5" t="n">
        <f aca="false">COUNTIFS('تفاصيل الفرص'!$D$2:$D$9,$A6,'تفاصيل الفرص'!$O$2:$O$9,"نعم")</f>
        <v>0</v>
      </c>
      <c r="G6" s="5" t="n">
        <f aca="false">COUNTIFS('تفاصيل الفرص'!$D$2:$D$9,$A6,'تفاصيل الفرص'!$Q$2:$Q$9,"نعم")</f>
        <v>0</v>
      </c>
      <c r="H6" s="5" t="n">
        <f aca="false">COUNTIFS('تفاصيل الفرص'!$D$2:$D$9,$A6,'تفاصيل الفرص'!$S$2:$S$9,"نعم")</f>
        <v>0</v>
      </c>
      <c r="I6" s="5" t="n">
        <f aca="false">COUNTIFS('تفاصيل الفرص'!$D$2:$D$9,$A6,'تفاصيل الفرص'!$U$2:$U$9,"نعم")</f>
        <v>0</v>
      </c>
      <c r="J6" s="5" t="n">
        <f aca="false">COUNTIFS('تفاصيل الفرص'!$D$2:$D$9,$A6,'تفاصيل الفرص'!$W$2:$W$9,"نعم")</f>
        <v>0</v>
      </c>
      <c r="K6" s="6" t="n">
        <f aca="false">IF($B6=0,0,SUM(C6:J6)/($B6*8))</f>
        <v>0</v>
      </c>
      <c r="L6" s="5" t="n">
        <f aca="false">COUNTIF('سجل الأكشنات'!$D$2:$D$12,$A6)</f>
        <v>1</v>
      </c>
      <c r="M6" s="5" t="n">
        <f aca="false">COUNTIFS('سجل الأكشنات'!$D$2:$D$12,$A6,'سجل الأكشنات'!$H$2:$H$12,"تفصيلي")</f>
        <v>1</v>
      </c>
      <c r="N6" s="5" t="n">
        <f aca="false">L6-M6</f>
        <v>0</v>
      </c>
      <c r="O6" s="6" t="n">
        <f aca="false">IF($L6=0,0,M6/L6)</f>
        <v>1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الفرص'!$D$2:$D$9,$A7)</f>
        <v>6</v>
      </c>
      <c r="C7" s="5" t="n">
        <f aca="false">COUNTIFS('تفاصيل الفرص'!$D$2:$D$9,$A7,'تفاصيل الفرص'!$I$2:$I$9,"نعم")</f>
        <v>6</v>
      </c>
      <c r="D7" s="5" t="n">
        <f aca="false">COUNTIFS('تفاصيل الفرص'!$D$2:$D$9,$A7,'تفاصيل الفرص'!$K$2:$K$9,"نعم")</f>
        <v>0</v>
      </c>
      <c r="E7" s="5" t="n">
        <f aca="false">COUNTIFS('تفاصيل الفرص'!$D$2:$D$9,$A7,'تفاصيل الفرص'!$M$2:$M$9,"نعم")</f>
        <v>5</v>
      </c>
      <c r="F7" s="5" t="n">
        <f aca="false">COUNTIFS('تفاصيل الفرص'!$D$2:$D$9,$A7,'تفاصيل الفرص'!$O$2:$O$9,"نعم")</f>
        <v>5</v>
      </c>
      <c r="G7" s="5" t="n">
        <f aca="false">COUNTIFS('تفاصيل الفرص'!$D$2:$D$9,$A7,'تفاصيل الفرص'!$Q$2:$Q$9,"نعم")</f>
        <v>6</v>
      </c>
      <c r="H7" s="5" t="n">
        <f aca="false">COUNTIFS('تفاصيل الفرص'!$D$2:$D$9,$A7,'تفاصيل الفرص'!$S$2:$S$9,"نعم")</f>
        <v>0</v>
      </c>
      <c r="I7" s="5" t="n">
        <f aca="false">COUNTIFS('تفاصيل الفرص'!$D$2:$D$9,$A7,'تفاصيل الفرص'!$U$2:$U$9,"نعم")</f>
        <v>0</v>
      </c>
      <c r="J7" s="5" t="n">
        <f aca="false">COUNTIFS('تفاصيل الفرص'!$D$2:$D$9,$A7,'تفاصيل الفرص'!$W$2:$W$9,"نعم")</f>
        <v>0</v>
      </c>
      <c r="K7" s="6" t="n">
        <f aca="false">IF($B7=0,0,SUM(C7:J7)/($B7*8))</f>
        <v>0.458333333333333</v>
      </c>
      <c r="L7" s="5" t="n">
        <f aca="false">COUNTIF('سجل الأكشنات'!$D$2:$D$12,$A7)</f>
        <v>5</v>
      </c>
      <c r="M7" s="5" t="n">
        <f aca="false">COUNTIFS('سجل الأكشنات'!$D$2:$D$12,$A7,'سجل الأكشنات'!$H$2:$H$12,"تفصيلي")</f>
        <v>4</v>
      </c>
      <c r="N7" s="5" t="n">
        <f aca="false">L7-M7</f>
        <v>1</v>
      </c>
      <c r="O7" s="6" t="n">
        <f aca="false">IF($L7=0,0,M7/L7)</f>
        <v>0.8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الفرص'!$D$2:$D$9,$A8)</f>
        <v>0</v>
      </c>
      <c r="C8" s="5" t="n">
        <f aca="false">COUNTIFS('تفاصيل الفرص'!$D$2:$D$9,$A8,'تفاصيل الفرص'!$I$2:$I$9,"نعم")</f>
        <v>0</v>
      </c>
      <c r="D8" s="5" t="n">
        <f aca="false">COUNTIFS('تفاصيل الفرص'!$D$2:$D$9,$A8,'تفاصيل الفرص'!$K$2:$K$9,"نعم")</f>
        <v>0</v>
      </c>
      <c r="E8" s="5" t="n">
        <f aca="false">COUNTIFS('تفاصيل الفرص'!$D$2:$D$9,$A8,'تفاصيل الفرص'!$M$2:$M$9,"نعم")</f>
        <v>0</v>
      </c>
      <c r="F8" s="5" t="n">
        <f aca="false">COUNTIFS('تفاصيل الفرص'!$D$2:$D$9,$A8,'تفاصيل الفرص'!$O$2:$O$9,"نعم")</f>
        <v>0</v>
      </c>
      <c r="G8" s="5" t="n">
        <f aca="false">COUNTIFS('تفاصيل الفرص'!$D$2:$D$9,$A8,'تفاصيل الفرص'!$Q$2:$Q$9,"نعم")</f>
        <v>0</v>
      </c>
      <c r="H8" s="5" t="n">
        <f aca="false">COUNTIFS('تفاصيل الفرص'!$D$2:$D$9,$A8,'تفاصيل الفرص'!$S$2:$S$9,"نعم")</f>
        <v>0</v>
      </c>
      <c r="I8" s="5" t="n">
        <f aca="false">COUNTIFS('تفاصيل الفرص'!$D$2:$D$9,$A8,'تفاصيل الفرص'!$U$2:$U$9,"نعم")</f>
        <v>0</v>
      </c>
      <c r="J8" s="5" t="n">
        <f aca="false">COUNTIFS('تفاصيل الفرص'!$D$2:$D$9,$A8,'تفاصيل الفرص'!$W$2:$W$9,"نعم")</f>
        <v>0</v>
      </c>
      <c r="K8" s="6" t="n">
        <f aca="false">IF($B8=0,0,SUM(C8:J8)/($B8*8))</f>
        <v>0</v>
      </c>
      <c r="L8" s="5" t="n">
        <f aca="false">COUNTIF('سجل الأكشنات'!$D$2:$D$12,$A8)</f>
        <v>2</v>
      </c>
      <c r="M8" s="5" t="n">
        <f aca="false">COUNTIFS('سجل الأكشنات'!$D$2:$D$12,$A8,'سجل الأكشنات'!$H$2:$H$12,"تفصيلي")</f>
        <v>0</v>
      </c>
      <c r="N8" s="5" t="n">
        <f aca="false">L8-M8</f>
        <v>2</v>
      </c>
      <c r="O8" s="6" t="n">
        <f aca="false">IF($L8=0,0,M8/L8)</f>
        <v>0</v>
      </c>
      <c r="P8" s="4" t="s">
        <v>25</v>
      </c>
    </row>
    <row r="9" customFormat="false" ht="15" hidden="false" customHeight="false" outlineLevel="0" collapsed="false">
      <c r="A9" s="7" t="s">
        <v>26</v>
      </c>
      <c r="B9" s="8" t="n">
        <f aca="false">SUM(B5:B8)</f>
        <v>8</v>
      </c>
      <c r="C9" s="8" t="n">
        <f aca="false">SUM(C5:C8)</f>
        <v>8</v>
      </c>
      <c r="D9" s="8" t="n">
        <f aca="false">SUM(D5:D8)</f>
        <v>1</v>
      </c>
      <c r="E9" s="8" t="n">
        <f aca="false">SUM(E5:E8)</f>
        <v>7</v>
      </c>
      <c r="F9" s="8" t="n">
        <f aca="false">SUM(F5:F8)</f>
        <v>6</v>
      </c>
      <c r="G9" s="8" t="n">
        <f aca="false">SUM(G5:G8)</f>
        <v>8</v>
      </c>
      <c r="H9" s="8" t="n">
        <f aca="false">SUM(H5:H8)</f>
        <v>1</v>
      </c>
      <c r="I9" s="8" t="n">
        <f aca="false">SUM(I5:I8)</f>
        <v>2</v>
      </c>
      <c r="J9" s="8" t="n">
        <f aca="false">SUM(J5:J8)</f>
        <v>0</v>
      </c>
      <c r="K9" s="9" t="n">
        <f aca="false">IF($B9=0,0,SUM(C9:J9)/($B9*8))</f>
        <v>0.515625</v>
      </c>
      <c r="L9" s="8" t="n">
        <f aca="false">SUM(L5:L8)</f>
        <v>11</v>
      </c>
      <c r="M9" s="8" t="n">
        <f aca="false">SUM(M5:M8)</f>
        <v>6</v>
      </c>
      <c r="N9" s="8" t="n">
        <f aca="false">SUM(N5:N8)</f>
        <v>5</v>
      </c>
      <c r="O9" s="9" t="n">
        <f aca="false">IF($L9=0,0,M9/L9)</f>
        <v>0.545454545454545</v>
      </c>
      <c r="P9" s="7"/>
    </row>
    <row r="11" customFormat="false" ht="15" hidden="false" customHeight="false" outlineLevel="0" collapsed="false">
      <c r="A11" s="10" t="s">
        <v>27</v>
      </c>
    </row>
    <row r="12" customFormat="false" ht="15" hidden="false" customHeight="false" outlineLevel="0" collapsed="false">
      <c r="A12" s="11" t="s">
        <v>28</v>
      </c>
    </row>
    <row r="13" customFormat="false" ht="15" hidden="false" customHeight="false" outlineLevel="0" collapsed="false">
      <c r="A13" s="11" t="s">
        <v>29</v>
      </c>
    </row>
    <row r="14" customFormat="false" ht="15" hidden="false" customHeight="false" outlineLevel="0" collapsed="false">
      <c r="A14" s="11" t="s">
        <v>30</v>
      </c>
    </row>
    <row r="15" customFormat="false" ht="15" hidden="false" customHeight="false" outlineLevel="0" collapsed="false">
      <c r="A15" s="11" t="s">
        <v>31</v>
      </c>
    </row>
    <row r="16" customFormat="false" ht="15" hidden="false" customHeight="false" outlineLevel="0" collapsed="false">
      <c r="A16" s="11" t="s">
        <v>32</v>
      </c>
    </row>
    <row r="17" customFormat="false" ht="15" hidden="false" customHeight="false" outlineLevel="0" collapsed="false">
      <c r="A17" s="11" t="s">
        <v>33</v>
      </c>
    </row>
    <row r="18" customFormat="false" ht="15" hidden="false" customHeight="false" outlineLevel="0" collapsed="false">
      <c r="A18" s="11" t="s">
        <v>34</v>
      </c>
    </row>
  </sheetData>
  <mergeCells count="2">
    <mergeCell ref="A1:N1"/>
    <mergeCell ref="A2:N2"/>
  </mergeCells>
  <conditionalFormatting sqref="K5:K8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8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35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36</v>
      </c>
      <c r="B3" s="3" t="s">
        <v>37</v>
      </c>
      <c r="C3" s="3" t="s">
        <v>2</v>
      </c>
      <c r="D3" s="3" t="s">
        <v>3</v>
      </c>
      <c r="E3" s="3" t="s">
        <v>38</v>
      </c>
      <c r="F3" s="3" t="s">
        <v>39</v>
      </c>
      <c r="G3" s="3" t="s">
        <v>14</v>
      </c>
      <c r="H3" s="3" t="s">
        <v>15</v>
      </c>
      <c r="I3" s="3" t="s">
        <v>40</v>
      </c>
    </row>
    <row r="4" customFormat="false" ht="15" hidden="false" customHeight="false" outlineLevel="0" collapsed="false">
      <c r="A4" s="5" t="s">
        <v>41</v>
      </c>
      <c r="B4" s="5" t="s">
        <v>42</v>
      </c>
      <c r="C4" s="4" t="s">
        <v>18</v>
      </c>
      <c r="D4" s="5" t="n">
        <f aca="false">COUNTIFS('تفاصيل الفرص'!$B$2:$B$9,$B4,'تفاصيل الفرص'!$D$2:$D$9,$C4)</f>
        <v>2</v>
      </c>
      <c r="E4" s="5" t="n">
        <f aca="false">COUNTIFS('تفاصيل الفرص'!$B$2:$B$9,$B4,'تفاصيل الفرص'!$D$2:$D$9,$C4,'تفاصيل الفرص'!$X$2:$X$9,0)</f>
        <v>0</v>
      </c>
      <c r="F4" s="5" t="n">
        <f aca="false">COUNTIFS('سجل الأكشنات'!$B$2:$B$12,$B4,'سجل الأكشنات'!$D$2:$D$12,$C4)</f>
        <v>3</v>
      </c>
      <c r="G4" s="5" t="n">
        <f aca="false">COUNTIFS('سجل الأكشنات'!$B$2:$B$12,$B4,'سجل الأكشنات'!$D$2:$D$12,$C4,'سجل الأكشنات'!$H$2:$H$12,"تفصيلي")</f>
        <v>1</v>
      </c>
      <c r="H4" s="5" t="n">
        <f aca="false">F4-G4</f>
        <v>2</v>
      </c>
      <c r="I4" s="5" t="str">
        <f aca="false">IF($B4&gt;"2026-08-01","لا توجد بيانات بعد",IF(AND(D4=0,F4=0),"بدون نشاط","نشِط"))</f>
        <v>نشِط</v>
      </c>
    </row>
    <row r="5" customFormat="false" ht="15" hidden="false" customHeight="false" outlineLevel="0" collapsed="false">
      <c r="A5" s="5" t="s">
        <v>41</v>
      </c>
      <c r="B5" s="5" t="s">
        <v>42</v>
      </c>
      <c r="C5" s="4" t="s">
        <v>20</v>
      </c>
      <c r="D5" s="5" t="n">
        <f aca="false">COUNTIFS('تفاصيل الفرص'!$B$2:$B$9,$B5,'تفاصيل الفرص'!$D$2:$D$9,$C5)</f>
        <v>0</v>
      </c>
      <c r="E5" s="5" t="n">
        <f aca="false">COUNTIFS('تفاصيل الفرص'!$B$2:$B$9,$B5,'تفاصيل الفرص'!$D$2:$D$9,$C5,'تفاصيل الفرص'!$X$2:$X$9,0)</f>
        <v>0</v>
      </c>
      <c r="F5" s="5" t="n">
        <f aca="false">COUNTIFS('سجل الأكشنات'!$B$2:$B$12,$B5,'سجل الأكشنات'!$D$2:$D$12,$C5)</f>
        <v>1</v>
      </c>
      <c r="G5" s="5" t="n">
        <f aca="false">COUNTIFS('سجل الأكشنات'!$B$2:$B$12,$B5,'سجل الأكشنات'!$D$2:$D$12,$C5,'سجل الأكشنات'!$H$2:$H$12,"تفصيلي")</f>
        <v>1</v>
      </c>
      <c r="H5" s="5" t="n">
        <f aca="false">F5-G5</f>
        <v>0</v>
      </c>
      <c r="I5" s="5" t="str">
        <f aca="false">IF($B5&gt;"2026-08-01","لا توجد بيانات بعد",IF(AND(D5=0,F5=0),"بدون نشاط","نشِط"))</f>
        <v>نشِط</v>
      </c>
    </row>
    <row r="6" customFormat="false" ht="15" hidden="false" customHeight="false" outlineLevel="0" collapsed="false">
      <c r="A6" s="5" t="s">
        <v>41</v>
      </c>
      <c r="B6" s="5" t="s">
        <v>42</v>
      </c>
      <c r="C6" s="4" t="s">
        <v>22</v>
      </c>
      <c r="D6" s="5" t="n">
        <f aca="false">COUNTIFS('تفاصيل الفرص'!$B$2:$B$9,$B6,'تفاصيل الفرص'!$D$2:$D$9,$C6)</f>
        <v>6</v>
      </c>
      <c r="E6" s="5" t="n">
        <f aca="false">COUNTIFS('تفاصيل الفرص'!$B$2:$B$9,$B6,'تفاصيل الفرص'!$D$2:$D$9,$C6,'تفاصيل الفرص'!$X$2:$X$9,0)</f>
        <v>0</v>
      </c>
      <c r="F6" s="5" t="n">
        <f aca="false">COUNTIFS('سجل الأكشنات'!$B$2:$B$12,$B6,'سجل الأكشنات'!$D$2:$D$12,$C6)</f>
        <v>5</v>
      </c>
      <c r="G6" s="5" t="n">
        <f aca="false">COUNTIFS('سجل الأكشنات'!$B$2:$B$12,$B6,'سجل الأكشنات'!$D$2:$D$12,$C6,'سجل الأكشنات'!$H$2:$H$12,"تفصيلي")</f>
        <v>4</v>
      </c>
      <c r="H6" s="5" t="n">
        <f aca="false">F6-G6</f>
        <v>1</v>
      </c>
      <c r="I6" s="5" t="str">
        <f aca="false">IF($B6&gt;"2026-08-01","لا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41</v>
      </c>
      <c r="B7" s="5" t="s">
        <v>42</v>
      </c>
      <c r="C7" s="4" t="s">
        <v>24</v>
      </c>
      <c r="D7" s="5" t="n">
        <f aca="false">COUNTIFS('تفاصيل الفرص'!$B$2:$B$9,$B7,'تفاصيل الفرص'!$D$2:$D$9,$C7)</f>
        <v>0</v>
      </c>
      <c r="E7" s="5" t="n">
        <f aca="false">COUNTIFS('تفاصيل الفرص'!$B$2:$B$9,$B7,'تفاصيل الفرص'!$D$2:$D$9,$C7,'تفاصيل الفرص'!$X$2:$X$9,0)</f>
        <v>0</v>
      </c>
      <c r="F7" s="5" t="n">
        <f aca="false">COUNTIFS('سجل الأكشنات'!$B$2:$B$12,$B7,'سجل الأكشنات'!$D$2:$D$12,$C7)</f>
        <v>2</v>
      </c>
      <c r="G7" s="5" t="n">
        <f aca="false">COUNTIFS('سجل الأكشنات'!$B$2:$B$12,$B7,'سجل الأكشنات'!$D$2:$D$12,$C7,'سجل الأكشنات'!$H$2:$H$12,"تفصيلي")</f>
        <v>0</v>
      </c>
      <c r="H7" s="5" t="n">
        <f aca="false">F7-G7</f>
        <v>2</v>
      </c>
      <c r="I7" s="5" t="str">
        <f aca="false">IF($B7&gt;"2026-08-01","لا توجد بيانات بعد",IF(AND(D7=0,F7=0),"بدون نشاط","نشِط"))</f>
        <v>نشِط</v>
      </c>
    </row>
    <row r="8" customFormat="false" ht="15" hidden="false" customHeight="false" outlineLevel="0" collapsed="false">
      <c r="A8" s="12" t="s">
        <v>43</v>
      </c>
      <c r="B8" s="12" t="s">
        <v>44</v>
      </c>
      <c r="C8" s="13" t="s">
        <v>18</v>
      </c>
      <c r="D8" s="12" t="n">
        <f aca="false">COUNTIFS('تفاصيل الفرص'!$B$2:$B$9,$B8,'تفاصيل الفرص'!$D$2:$D$9,$C8)</f>
        <v>0</v>
      </c>
      <c r="E8" s="12" t="n">
        <f aca="false">COUNTIFS('تفاصيل الفرص'!$B$2:$B$9,$B8,'تفاصيل الفرص'!$D$2:$D$9,$C8,'تفاصيل الفرص'!$X$2:$X$9,0)</f>
        <v>0</v>
      </c>
      <c r="F8" s="12" t="n">
        <f aca="false">COUNTIFS('سجل الأكشنات'!$B$2:$B$12,$B8,'سجل الأكشنات'!$D$2:$D$12,$C8)</f>
        <v>0</v>
      </c>
      <c r="G8" s="12" t="n">
        <f aca="false">COUNTIFS('سجل الأكشنات'!$B$2:$B$12,$B8,'سجل الأكشنات'!$D$2:$D$12,$C8,'سجل الأكشنات'!$H$2:$H$12,"تفصيلي")</f>
        <v>0</v>
      </c>
      <c r="H8" s="12" t="n">
        <f aca="false">F8-G8</f>
        <v>0</v>
      </c>
      <c r="I8" s="12" t="str">
        <f aca="false">IF($B8&gt;"2026-08-01","لا توجد بيانات بعد",IF(AND(D8=0,F8=0),"بدون نشاط","نشِط"))</f>
        <v>لا توجد بيانات بعد</v>
      </c>
    </row>
    <row r="9" customFormat="false" ht="15" hidden="false" customHeight="false" outlineLevel="0" collapsed="false">
      <c r="A9" s="12" t="s">
        <v>43</v>
      </c>
      <c r="B9" s="12" t="s">
        <v>44</v>
      </c>
      <c r="C9" s="13" t="s">
        <v>20</v>
      </c>
      <c r="D9" s="12" t="n">
        <f aca="false">COUNTIFS('تفاصيل الفرص'!$B$2:$B$9,$B9,'تفاصيل الفرص'!$D$2:$D$9,$C9)</f>
        <v>0</v>
      </c>
      <c r="E9" s="12" t="n">
        <f aca="false">COUNTIFS('تفاصيل الفرص'!$B$2:$B$9,$B9,'تفاصيل الفرص'!$D$2:$D$9,$C9,'تفاصيل الفرص'!$X$2:$X$9,0)</f>
        <v>0</v>
      </c>
      <c r="F9" s="12" t="n">
        <f aca="false">COUNTIFS('سجل الأكشنات'!$B$2:$B$12,$B9,'سجل الأكشنات'!$D$2:$D$12,$C9)</f>
        <v>0</v>
      </c>
      <c r="G9" s="12" t="n">
        <f aca="false">COUNTIFS('سجل الأكشنات'!$B$2:$B$12,$B9,'سجل الأكشنات'!$D$2:$D$12,$C9,'سجل الأكشنات'!$H$2:$H$12,"تفصيلي")</f>
        <v>0</v>
      </c>
      <c r="H9" s="12" t="n">
        <f aca="false">F9-G9</f>
        <v>0</v>
      </c>
      <c r="I9" s="12" t="str">
        <f aca="false">IF($B9&gt;"2026-08-01","لا توجد بيانات بعد",IF(AND(D9=0,F9=0),"بدون نشاط","نشِط"))</f>
        <v>لا توجد بيانات بعد</v>
      </c>
    </row>
    <row r="10" customFormat="false" ht="15" hidden="false" customHeight="false" outlineLevel="0" collapsed="false">
      <c r="A10" s="12" t="s">
        <v>43</v>
      </c>
      <c r="B10" s="12" t="s">
        <v>44</v>
      </c>
      <c r="C10" s="13" t="s">
        <v>22</v>
      </c>
      <c r="D10" s="12" t="n">
        <f aca="false">COUNTIFS('تفاصيل الفرص'!$B$2:$B$9,$B10,'تفاصيل الفرص'!$D$2:$D$9,$C10)</f>
        <v>0</v>
      </c>
      <c r="E10" s="12" t="n">
        <f aca="false">COUNTIFS('تفاصيل الفرص'!$B$2:$B$9,$B10,'تفاصيل الفرص'!$D$2:$D$9,$C10,'تفاصيل الفرص'!$X$2:$X$9,0)</f>
        <v>0</v>
      </c>
      <c r="F10" s="12" t="n">
        <f aca="false">COUNTIFS('سجل الأكشنات'!$B$2:$B$12,$B10,'سجل الأكشنات'!$D$2:$D$12,$C10)</f>
        <v>0</v>
      </c>
      <c r="G10" s="12" t="n">
        <f aca="false">COUNTIFS('سجل الأكشنات'!$B$2:$B$12,$B10,'سجل الأكشنات'!$D$2:$D$12,$C10,'سجل الأكشنات'!$H$2:$H$12,"تفصيلي")</f>
        <v>0</v>
      </c>
      <c r="H10" s="12" t="n">
        <f aca="false">F10-G10</f>
        <v>0</v>
      </c>
      <c r="I10" s="12" t="str">
        <f aca="false">IF($B10&gt;"2026-08-01","لا توجد بيانات بعد",IF(AND(D10=0,F10=0),"بدون نشاط","نشِط"))</f>
        <v>لا توجد بيانات بعد</v>
      </c>
    </row>
    <row r="11" customFormat="false" ht="15" hidden="false" customHeight="false" outlineLevel="0" collapsed="false">
      <c r="A11" s="12" t="s">
        <v>43</v>
      </c>
      <c r="B11" s="12" t="s">
        <v>44</v>
      </c>
      <c r="C11" s="13" t="s">
        <v>24</v>
      </c>
      <c r="D11" s="12" t="n">
        <f aca="false">COUNTIFS('تفاصيل الفرص'!$B$2:$B$9,$B11,'تفاصيل الفرص'!$D$2:$D$9,$C11)</f>
        <v>0</v>
      </c>
      <c r="E11" s="12" t="n">
        <f aca="false">COUNTIFS('تفاصيل الفرص'!$B$2:$B$9,$B11,'تفاصيل الفرص'!$D$2:$D$9,$C11,'تفاصيل الفرص'!$X$2:$X$9,0)</f>
        <v>0</v>
      </c>
      <c r="F11" s="12" t="n">
        <f aca="false">COUNTIFS('سجل الأكشنات'!$B$2:$B$12,$B11,'سجل الأكشنات'!$D$2:$D$12,$C11)</f>
        <v>0</v>
      </c>
      <c r="G11" s="12" t="n">
        <f aca="false">COUNTIFS('سجل الأكشنات'!$B$2:$B$12,$B11,'سجل الأكشنات'!$D$2:$D$12,$C11,'سجل الأكشنات'!$H$2:$H$12,"تفصيلي")</f>
        <v>0</v>
      </c>
      <c r="H11" s="12" t="n">
        <f aca="false">F11-G11</f>
        <v>0</v>
      </c>
      <c r="I11" s="12" t="str">
        <f aca="false">IF($B11&gt;"2026-08-01","لا توجد بيانات بعد",IF(AND(D11=0,F11=0),"بدون نشاط","نشِط"))</f>
        <v>لا توجد بيانات بعد</v>
      </c>
    </row>
    <row r="12" customFormat="false" ht="15" hidden="false" customHeight="false" outlineLevel="0" collapsed="false">
      <c r="A12" s="5" t="s">
        <v>45</v>
      </c>
      <c r="B12" s="5" t="s">
        <v>46</v>
      </c>
      <c r="C12" s="4" t="s">
        <v>18</v>
      </c>
      <c r="D12" s="5" t="n">
        <f aca="false">COUNTIFS('تفاصيل الفرص'!$B$2:$B$9,$B12,'تفاصيل الفرص'!$D$2:$D$9,$C12)</f>
        <v>0</v>
      </c>
      <c r="E12" s="5" t="n">
        <f aca="false">COUNTIFS('تفاصيل الفرص'!$B$2:$B$9,$B12,'تفاصيل الفرص'!$D$2:$D$9,$C12,'تفاصيل الفرص'!$X$2:$X$9,0)</f>
        <v>0</v>
      </c>
      <c r="F12" s="5" t="n">
        <f aca="false">COUNTIFS('سجل الأكشنات'!$B$2:$B$12,$B12,'سجل الأكشنات'!$D$2:$D$12,$C12)</f>
        <v>0</v>
      </c>
      <c r="G12" s="5" t="n">
        <f aca="false">COUNTIFS('سجل الأكشنات'!$B$2:$B$12,$B12,'سجل الأكشنات'!$D$2:$D$12,$C12,'سجل الأكشنات'!$H$2:$H$12,"تفصيلي")</f>
        <v>0</v>
      </c>
      <c r="H12" s="5" t="n">
        <f aca="false">F12-G12</f>
        <v>0</v>
      </c>
      <c r="I12" s="5" t="str">
        <f aca="false">IF($B12&gt;"2026-08-01","لا توجد بيانات بعد",IF(AND(D12=0,F12=0),"بدون نشاط","نشِط"))</f>
        <v>لا توجد بيانات بعد</v>
      </c>
    </row>
    <row r="13" customFormat="false" ht="15" hidden="false" customHeight="false" outlineLevel="0" collapsed="false">
      <c r="A13" s="5" t="s">
        <v>45</v>
      </c>
      <c r="B13" s="5" t="s">
        <v>46</v>
      </c>
      <c r="C13" s="4" t="s">
        <v>20</v>
      </c>
      <c r="D13" s="5" t="n">
        <f aca="false">COUNTIFS('تفاصيل الفرص'!$B$2:$B$9,$B13,'تفاصيل الفرص'!$D$2:$D$9,$C13)</f>
        <v>0</v>
      </c>
      <c r="E13" s="5" t="n">
        <f aca="false">COUNTIFS('تفاصيل الفرص'!$B$2:$B$9,$B13,'تفاصيل الفرص'!$D$2:$D$9,$C13,'تفاصيل الفرص'!$X$2:$X$9,0)</f>
        <v>0</v>
      </c>
      <c r="F13" s="5" t="n">
        <f aca="false">COUNTIFS('سجل الأكشنات'!$B$2:$B$12,$B13,'سجل الأكشنات'!$D$2:$D$12,$C13)</f>
        <v>0</v>
      </c>
      <c r="G13" s="5" t="n">
        <f aca="false">COUNTIFS('سجل الأكشنات'!$B$2:$B$12,$B13,'سجل الأكشنات'!$D$2:$D$12,$C13,'سجل الأكشنات'!$H$2:$H$12,"تفصيلي")</f>
        <v>0</v>
      </c>
      <c r="H13" s="5" t="n">
        <f aca="false">F13-G13</f>
        <v>0</v>
      </c>
      <c r="I13" s="5" t="str">
        <f aca="false">IF($B13&gt;"2026-08-01","لا توجد بيانات بعد",IF(AND(D13=0,F13=0),"بدون نشاط","نشِط"))</f>
        <v>لا توجد بيانات بعد</v>
      </c>
    </row>
    <row r="14" customFormat="false" ht="15" hidden="false" customHeight="false" outlineLevel="0" collapsed="false">
      <c r="A14" s="5" t="s">
        <v>45</v>
      </c>
      <c r="B14" s="5" t="s">
        <v>46</v>
      </c>
      <c r="C14" s="4" t="s">
        <v>22</v>
      </c>
      <c r="D14" s="5" t="n">
        <f aca="false">COUNTIFS('تفاصيل الفرص'!$B$2:$B$9,$B14,'تفاصيل الفرص'!$D$2:$D$9,$C14)</f>
        <v>0</v>
      </c>
      <c r="E14" s="5" t="n">
        <f aca="false">COUNTIFS('تفاصيل الفرص'!$B$2:$B$9,$B14,'تفاصيل الفرص'!$D$2:$D$9,$C14,'تفاصيل الفرص'!$X$2:$X$9,0)</f>
        <v>0</v>
      </c>
      <c r="F14" s="5" t="n">
        <f aca="false">COUNTIFS('سجل الأكشنات'!$B$2:$B$12,$B14,'سجل الأكشنات'!$D$2:$D$12,$C14)</f>
        <v>0</v>
      </c>
      <c r="G14" s="5" t="n">
        <f aca="false">COUNTIFS('سجل الأكشنات'!$B$2:$B$12,$B14,'سجل الأكشنات'!$D$2:$D$12,$C14,'سجل الأكشنات'!$H$2:$H$12,"تفصيلي")</f>
        <v>0</v>
      </c>
      <c r="H14" s="5" t="n">
        <f aca="false">F14-G14</f>
        <v>0</v>
      </c>
      <c r="I14" s="5" t="str">
        <f aca="false">IF($B14&gt;"2026-08-01","لا توجد بيانات بعد",IF(AND(D14=0,F14=0),"بدون نشاط","نشِط"))</f>
        <v>لا توجد بيانات بعد</v>
      </c>
    </row>
    <row r="15" customFormat="false" ht="15" hidden="false" customHeight="false" outlineLevel="0" collapsed="false">
      <c r="A15" s="5" t="s">
        <v>45</v>
      </c>
      <c r="B15" s="5" t="s">
        <v>46</v>
      </c>
      <c r="C15" s="4" t="s">
        <v>24</v>
      </c>
      <c r="D15" s="5" t="n">
        <f aca="false">COUNTIFS('تفاصيل الفرص'!$B$2:$B$9,$B15,'تفاصيل الفرص'!$D$2:$D$9,$C15)</f>
        <v>0</v>
      </c>
      <c r="E15" s="5" t="n">
        <f aca="false">COUNTIFS('تفاصيل الفرص'!$B$2:$B$9,$B15,'تفاصيل الفرص'!$D$2:$D$9,$C15,'تفاصيل الفرص'!$X$2:$X$9,0)</f>
        <v>0</v>
      </c>
      <c r="F15" s="5" t="n">
        <f aca="false">COUNTIFS('سجل الأكشنات'!$B$2:$B$12,$B15,'سجل الأكشنات'!$D$2:$D$12,$C15)</f>
        <v>0</v>
      </c>
      <c r="G15" s="5" t="n">
        <f aca="false">COUNTIFS('سجل الأكشنات'!$B$2:$B$12,$B15,'سجل الأكشنات'!$D$2:$D$12,$C15,'سجل الأكشنات'!$H$2:$H$12,"تفصيلي")</f>
        <v>0</v>
      </c>
      <c r="H15" s="5" t="n">
        <f aca="false">F15-G15</f>
        <v>0</v>
      </c>
      <c r="I15" s="5" t="str">
        <f aca="false">IF($B15&gt;"2026-08-01","لا توجد بيانات بعد",IF(AND(D15=0,F15=0),"بدون نشاط","نشِط"))</f>
        <v>لا توجد بيانات بعد</v>
      </c>
    </row>
    <row r="16" customFormat="false" ht="15" hidden="false" customHeight="false" outlineLevel="0" collapsed="false">
      <c r="A16" s="12" t="s">
        <v>47</v>
      </c>
      <c r="B16" s="12" t="s">
        <v>48</v>
      </c>
      <c r="C16" s="13" t="s">
        <v>18</v>
      </c>
      <c r="D16" s="12" t="n">
        <f aca="false">COUNTIFS('تفاصيل الفرص'!$B$2:$B$9,$B16,'تفاصيل الفرص'!$D$2:$D$9,$C16)</f>
        <v>0</v>
      </c>
      <c r="E16" s="12" t="n">
        <f aca="false">COUNTIFS('تفاصيل الفرص'!$B$2:$B$9,$B16,'تفاصيل الفرص'!$D$2:$D$9,$C16,'تفاصيل الفرص'!$X$2:$X$9,0)</f>
        <v>0</v>
      </c>
      <c r="F16" s="12" t="n">
        <f aca="false">COUNTIFS('سجل الأكشنات'!$B$2:$B$12,$B16,'سجل الأكشنات'!$D$2:$D$12,$C16)</f>
        <v>0</v>
      </c>
      <c r="G16" s="12" t="n">
        <f aca="false">COUNTIFS('سجل الأكشنات'!$B$2:$B$12,$B16,'سجل الأكشنات'!$D$2:$D$12,$C16,'سجل الأكشنات'!$H$2:$H$12,"تفصيلي")</f>
        <v>0</v>
      </c>
      <c r="H16" s="12" t="n">
        <f aca="false">F16-G16</f>
        <v>0</v>
      </c>
      <c r="I16" s="12" t="str">
        <f aca="false">IF($B16&gt;"2026-08-01","لا توجد بيانات بعد",IF(AND(D16=0,F16=0),"بدون نشاط","نشِط"))</f>
        <v>لا توجد بيانات بعد</v>
      </c>
    </row>
    <row r="17" customFormat="false" ht="15" hidden="false" customHeight="false" outlineLevel="0" collapsed="false">
      <c r="A17" s="12" t="s">
        <v>47</v>
      </c>
      <c r="B17" s="12" t="s">
        <v>48</v>
      </c>
      <c r="C17" s="13" t="s">
        <v>20</v>
      </c>
      <c r="D17" s="12" t="n">
        <f aca="false">COUNTIFS('تفاصيل الفرص'!$B$2:$B$9,$B17,'تفاصيل الفرص'!$D$2:$D$9,$C17)</f>
        <v>0</v>
      </c>
      <c r="E17" s="12" t="n">
        <f aca="false">COUNTIFS('تفاصيل الفرص'!$B$2:$B$9,$B17,'تفاصيل الفرص'!$D$2:$D$9,$C17,'تفاصيل الفرص'!$X$2:$X$9,0)</f>
        <v>0</v>
      </c>
      <c r="F17" s="12" t="n">
        <f aca="false">COUNTIFS('سجل الأكشنات'!$B$2:$B$12,$B17,'سجل الأكشنات'!$D$2:$D$12,$C17)</f>
        <v>0</v>
      </c>
      <c r="G17" s="12" t="n">
        <f aca="false">COUNTIFS('سجل الأكشنات'!$B$2:$B$12,$B17,'سجل الأكشنات'!$D$2:$D$12,$C17,'سجل الأكشنات'!$H$2:$H$12,"تفصيلي")</f>
        <v>0</v>
      </c>
      <c r="H17" s="12" t="n">
        <f aca="false">F17-G17</f>
        <v>0</v>
      </c>
      <c r="I17" s="12" t="str">
        <f aca="false">IF($B17&gt;"2026-08-01","لا توجد بيانات بعد",IF(AND(D17=0,F17=0),"بدون نشاط","نشِط"))</f>
        <v>لا توجد بيانات بعد</v>
      </c>
    </row>
    <row r="18" customFormat="false" ht="15" hidden="false" customHeight="false" outlineLevel="0" collapsed="false">
      <c r="A18" s="12" t="s">
        <v>47</v>
      </c>
      <c r="B18" s="12" t="s">
        <v>48</v>
      </c>
      <c r="C18" s="13" t="s">
        <v>22</v>
      </c>
      <c r="D18" s="12" t="n">
        <f aca="false">COUNTIFS('تفاصيل الفرص'!$B$2:$B$9,$B18,'تفاصيل الفرص'!$D$2:$D$9,$C18)</f>
        <v>0</v>
      </c>
      <c r="E18" s="12" t="n">
        <f aca="false">COUNTIFS('تفاصيل الفرص'!$B$2:$B$9,$B18,'تفاصيل الفرص'!$D$2:$D$9,$C18,'تفاصيل الفرص'!$X$2:$X$9,0)</f>
        <v>0</v>
      </c>
      <c r="F18" s="12" t="n">
        <f aca="false">COUNTIFS('سجل الأكشنات'!$B$2:$B$12,$B18,'سجل الأكشنات'!$D$2:$D$12,$C18)</f>
        <v>0</v>
      </c>
      <c r="G18" s="12" t="n">
        <f aca="false">COUNTIFS('سجل الأكشنات'!$B$2:$B$12,$B18,'سجل الأكشنات'!$D$2:$D$12,$C18,'سجل الأكشنات'!$H$2:$H$12,"تفصيلي")</f>
        <v>0</v>
      </c>
      <c r="H18" s="12" t="n">
        <f aca="false">F18-G18</f>
        <v>0</v>
      </c>
      <c r="I18" s="12" t="str">
        <f aca="false">IF($B18&gt;"2026-08-01","لا توجد بيانات بعد",IF(AND(D18=0,F18=0),"بدون نشاط","نشِط"))</f>
        <v>لا توجد بيانات بعد</v>
      </c>
    </row>
    <row r="19" customFormat="false" ht="15" hidden="false" customHeight="false" outlineLevel="0" collapsed="false">
      <c r="A19" s="12" t="s">
        <v>47</v>
      </c>
      <c r="B19" s="12" t="s">
        <v>48</v>
      </c>
      <c r="C19" s="13" t="s">
        <v>24</v>
      </c>
      <c r="D19" s="12" t="n">
        <f aca="false">COUNTIFS('تفاصيل الفرص'!$B$2:$B$9,$B19,'تفاصيل الفرص'!$D$2:$D$9,$C19)</f>
        <v>0</v>
      </c>
      <c r="E19" s="12" t="n">
        <f aca="false">COUNTIFS('تفاصيل الفرص'!$B$2:$B$9,$B19,'تفاصيل الفرص'!$D$2:$D$9,$C19,'تفاصيل الفرص'!$X$2:$X$9,0)</f>
        <v>0</v>
      </c>
      <c r="F19" s="12" t="n">
        <f aca="false">COUNTIFS('سجل الأكشنات'!$B$2:$B$12,$B19,'سجل الأكشنات'!$D$2:$D$12,$C19)</f>
        <v>0</v>
      </c>
      <c r="G19" s="12" t="n">
        <f aca="false">COUNTIFS('سجل الأكشنات'!$B$2:$B$12,$B19,'سجل الأكشنات'!$D$2:$D$12,$C19,'سجل الأكشنات'!$H$2:$H$12,"تفصيلي")</f>
        <v>0</v>
      </c>
      <c r="H19" s="12" t="n">
        <f aca="false">F19-G19</f>
        <v>0</v>
      </c>
      <c r="I19" s="12" t="str">
        <f aca="false">IF($B19&gt;"2026-08-01","لا توجد بيانات بعد",IF(AND(D19=0,F19=0),"بدون نشاط","نشِط"))</f>
        <v>لا توجد بيانات بعد</v>
      </c>
    </row>
    <row r="20" customFormat="false" ht="15" hidden="false" customHeight="false" outlineLevel="0" collapsed="false">
      <c r="A20" s="5" t="s">
        <v>49</v>
      </c>
      <c r="B20" s="5" t="s">
        <v>50</v>
      </c>
      <c r="C20" s="4" t="s">
        <v>18</v>
      </c>
      <c r="D20" s="5" t="n">
        <f aca="false">COUNTIFS('تفاصيل الفرص'!$B$2:$B$9,$B20,'تفاصيل الفرص'!$D$2:$D$9,$C20)</f>
        <v>0</v>
      </c>
      <c r="E20" s="5" t="n">
        <f aca="false">COUNTIFS('تفاصيل الفرص'!$B$2:$B$9,$B20,'تفاصيل الفرص'!$D$2:$D$9,$C20,'تفاصيل الفرص'!$X$2:$X$9,0)</f>
        <v>0</v>
      </c>
      <c r="F20" s="5" t="n">
        <f aca="false">COUNTIFS('سجل الأكشنات'!$B$2:$B$12,$B20,'سجل الأكشنات'!$D$2:$D$12,$C20)</f>
        <v>0</v>
      </c>
      <c r="G20" s="5" t="n">
        <f aca="false">COUNTIFS('سجل الأكشنات'!$B$2:$B$12,$B20,'سجل الأكشنات'!$D$2:$D$12,$C20,'سجل الأكشنات'!$H$2:$H$12,"تفصيلي")</f>
        <v>0</v>
      </c>
      <c r="H20" s="5" t="n">
        <f aca="false">F20-G20</f>
        <v>0</v>
      </c>
      <c r="I20" s="5" t="str">
        <f aca="false">IF($B20&gt;"2026-08-01","لا توجد بيانات بعد",IF(AND(D20=0,F20=0),"بدون نشاط","نشِط"))</f>
        <v>لا توجد بيانات بعد</v>
      </c>
    </row>
    <row r="21" customFormat="false" ht="15" hidden="false" customHeight="false" outlineLevel="0" collapsed="false">
      <c r="A21" s="5" t="s">
        <v>49</v>
      </c>
      <c r="B21" s="5" t="s">
        <v>50</v>
      </c>
      <c r="C21" s="4" t="s">
        <v>20</v>
      </c>
      <c r="D21" s="5" t="n">
        <f aca="false">COUNTIFS('تفاصيل الفرص'!$B$2:$B$9,$B21,'تفاصيل الفرص'!$D$2:$D$9,$C21)</f>
        <v>0</v>
      </c>
      <c r="E21" s="5" t="n">
        <f aca="false">COUNTIFS('تفاصيل الفرص'!$B$2:$B$9,$B21,'تفاصيل الفرص'!$D$2:$D$9,$C21,'تفاصيل الفرص'!$X$2:$X$9,0)</f>
        <v>0</v>
      </c>
      <c r="F21" s="5" t="n">
        <f aca="false">COUNTIFS('سجل الأكشنات'!$B$2:$B$12,$B21,'سجل الأكشنات'!$D$2:$D$12,$C21)</f>
        <v>0</v>
      </c>
      <c r="G21" s="5" t="n">
        <f aca="false">COUNTIFS('سجل الأكشنات'!$B$2:$B$12,$B21,'سجل الأكشنات'!$D$2:$D$12,$C21,'سجل الأكشنات'!$H$2:$H$12,"تفصيلي")</f>
        <v>0</v>
      </c>
      <c r="H21" s="5" t="n">
        <f aca="false">F21-G21</f>
        <v>0</v>
      </c>
      <c r="I21" s="5" t="str">
        <f aca="false">IF($B21&gt;"2026-08-01","لا توجد بيانات بعد",IF(AND(D21=0,F21=0),"بدون نشاط","نشِط"))</f>
        <v>لا توجد بيانات بعد</v>
      </c>
    </row>
    <row r="22" customFormat="false" ht="15" hidden="false" customHeight="false" outlineLevel="0" collapsed="false">
      <c r="A22" s="5" t="s">
        <v>49</v>
      </c>
      <c r="B22" s="5" t="s">
        <v>50</v>
      </c>
      <c r="C22" s="4" t="s">
        <v>22</v>
      </c>
      <c r="D22" s="5" t="n">
        <f aca="false">COUNTIFS('تفاصيل الفرص'!$B$2:$B$9,$B22,'تفاصيل الفرص'!$D$2:$D$9,$C22)</f>
        <v>0</v>
      </c>
      <c r="E22" s="5" t="n">
        <f aca="false">COUNTIFS('تفاصيل الفرص'!$B$2:$B$9,$B22,'تفاصيل الفرص'!$D$2:$D$9,$C22,'تفاصيل الفرص'!$X$2:$X$9,0)</f>
        <v>0</v>
      </c>
      <c r="F22" s="5" t="n">
        <f aca="false">COUNTIFS('سجل الأكشنات'!$B$2:$B$12,$B22,'سجل الأكشنات'!$D$2:$D$12,$C22)</f>
        <v>0</v>
      </c>
      <c r="G22" s="5" t="n">
        <f aca="false">COUNTIFS('سجل الأكشنات'!$B$2:$B$12,$B22,'سجل الأكشنات'!$D$2:$D$12,$C22,'سجل الأكشنات'!$H$2:$H$12,"تفصيلي")</f>
        <v>0</v>
      </c>
      <c r="H22" s="5" t="n">
        <f aca="false">F22-G22</f>
        <v>0</v>
      </c>
      <c r="I22" s="5" t="str">
        <f aca="false">IF($B22&gt;"2026-08-01","لا توجد بيانات بعد",IF(AND(D22=0,F22=0),"بدون نشاط","نشِط"))</f>
        <v>لا توجد بيانات بعد</v>
      </c>
    </row>
    <row r="23" customFormat="false" ht="15" hidden="false" customHeight="false" outlineLevel="0" collapsed="false">
      <c r="A23" s="5" t="s">
        <v>49</v>
      </c>
      <c r="B23" s="5" t="s">
        <v>50</v>
      </c>
      <c r="C23" s="4" t="s">
        <v>24</v>
      </c>
      <c r="D23" s="5" t="n">
        <f aca="false">COUNTIFS('تفاصيل الفرص'!$B$2:$B$9,$B23,'تفاصيل الفرص'!$D$2:$D$9,$C23)</f>
        <v>0</v>
      </c>
      <c r="E23" s="5" t="n">
        <f aca="false">COUNTIFS('تفاصيل الفرص'!$B$2:$B$9,$B23,'تفاصيل الفرص'!$D$2:$D$9,$C23,'تفاصيل الفرص'!$X$2:$X$9,0)</f>
        <v>0</v>
      </c>
      <c r="F23" s="5" t="n">
        <f aca="false">COUNTIFS('سجل الأكشنات'!$B$2:$B$12,$B23,'سجل الأكشنات'!$D$2:$D$12,$C23)</f>
        <v>0</v>
      </c>
      <c r="G23" s="5" t="n">
        <f aca="false">COUNTIFS('سجل الأكشنات'!$B$2:$B$12,$B23,'سجل الأكشنات'!$D$2:$D$12,$C23,'سجل الأكشنات'!$H$2:$H$12,"تفصيلي")</f>
        <v>0</v>
      </c>
      <c r="H23" s="5" t="n">
        <f aca="false">F23-G23</f>
        <v>0</v>
      </c>
      <c r="I23" s="5" t="str">
        <f aca="false">IF($B23&gt;"2026-08-01","لا توجد بيانات بعد",IF(AND(D23=0,F23=0),"بدون نشاط","نشِط"))</f>
        <v>لا توجد بيانات بعد</v>
      </c>
    </row>
    <row r="24" customFormat="false" ht="15" hidden="false" customHeight="false" outlineLevel="0" collapsed="false">
      <c r="A24" s="12" t="s">
        <v>51</v>
      </c>
      <c r="B24" s="12" t="s">
        <v>52</v>
      </c>
      <c r="C24" s="13" t="s">
        <v>18</v>
      </c>
      <c r="D24" s="12" t="n">
        <f aca="false">COUNTIFS('تفاصيل الفرص'!$B$2:$B$9,$B24,'تفاصيل الفرص'!$D$2:$D$9,$C24)</f>
        <v>0</v>
      </c>
      <c r="E24" s="12" t="n">
        <f aca="false">COUNTIFS('تفاصيل الفرص'!$B$2:$B$9,$B24,'تفاصيل الفرص'!$D$2:$D$9,$C24,'تفاصيل الفرص'!$X$2:$X$9,0)</f>
        <v>0</v>
      </c>
      <c r="F24" s="12" t="n">
        <f aca="false">COUNTIFS('سجل الأكشنات'!$B$2:$B$12,$B24,'سجل الأكشنات'!$D$2:$D$12,$C24)</f>
        <v>0</v>
      </c>
      <c r="G24" s="12" t="n">
        <f aca="false">COUNTIFS('سجل الأكشنات'!$B$2:$B$12,$B24,'سجل الأكشنات'!$D$2:$D$12,$C24,'سجل الأكشنات'!$H$2:$H$12,"تفصيلي")</f>
        <v>0</v>
      </c>
      <c r="H24" s="12" t="n">
        <f aca="false">F24-G24</f>
        <v>0</v>
      </c>
      <c r="I24" s="12" t="str">
        <f aca="false">IF($B24&gt;"2026-08-01","لا توجد بيانات بعد",IF(AND(D24=0,F24=0),"بدون نشاط","نشِط"))</f>
        <v>لا توجد بيانات بعد</v>
      </c>
    </row>
    <row r="25" customFormat="false" ht="15" hidden="false" customHeight="false" outlineLevel="0" collapsed="false">
      <c r="A25" s="12" t="s">
        <v>51</v>
      </c>
      <c r="B25" s="12" t="s">
        <v>52</v>
      </c>
      <c r="C25" s="13" t="s">
        <v>20</v>
      </c>
      <c r="D25" s="12" t="n">
        <f aca="false">COUNTIFS('تفاصيل الفرص'!$B$2:$B$9,$B25,'تفاصيل الفرص'!$D$2:$D$9,$C25)</f>
        <v>0</v>
      </c>
      <c r="E25" s="12" t="n">
        <f aca="false">COUNTIFS('تفاصيل الفرص'!$B$2:$B$9,$B25,'تفاصيل الفرص'!$D$2:$D$9,$C25,'تفاصيل الفرص'!$X$2:$X$9,0)</f>
        <v>0</v>
      </c>
      <c r="F25" s="12" t="n">
        <f aca="false">COUNTIFS('سجل الأكشنات'!$B$2:$B$12,$B25,'سجل الأكشنات'!$D$2:$D$12,$C25)</f>
        <v>0</v>
      </c>
      <c r="G25" s="12" t="n">
        <f aca="false">COUNTIFS('سجل الأكشنات'!$B$2:$B$12,$B25,'سجل الأكشنات'!$D$2:$D$12,$C25,'سجل الأكشنات'!$H$2:$H$12,"تفصيلي")</f>
        <v>0</v>
      </c>
      <c r="H25" s="12" t="n">
        <f aca="false">F25-G25</f>
        <v>0</v>
      </c>
      <c r="I25" s="12" t="str">
        <f aca="false">IF($B25&gt;"2026-08-01","لا توجد بيانات بعد",IF(AND(D25=0,F25=0),"بدون نشاط","نشِط"))</f>
        <v>لا توجد بيانات بعد</v>
      </c>
    </row>
    <row r="26" customFormat="false" ht="15" hidden="false" customHeight="false" outlineLevel="0" collapsed="false">
      <c r="A26" s="12" t="s">
        <v>51</v>
      </c>
      <c r="B26" s="12" t="s">
        <v>52</v>
      </c>
      <c r="C26" s="13" t="s">
        <v>22</v>
      </c>
      <c r="D26" s="12" t="n">
        <f aca="false">COUNTIFS('تفاصيل الفرص'!$B$2:$B$9,$B26,'تفاصيل الفرص'!$D$2:$D$9,$C26)</f>
        <v>0</v>
      </c>
      <c r="E26" s="12" t="n">
        <f aca="false">COUNTIFS('تفاصيل الفرص'!$B$2:$B$9,$B26,'تفاصيل الفرص'!$D$2:$D$9,$C26,'تفاصيل الفرص'!$X$2:$X$9,0)</f>
        <v>0</v>
      </c>
      <c r="F26" s="12" t="n">
        <f aca="false">COUNTIFS('سجل الأكشنات'!$B$2:$B$12,$B26,'سجل الأكشنات'!$D$2:$D$12,$C26)</f>
        <v>0</v>
      </c>
      <c r="G26" s="12" t="n">
        <f aca="false">COUNTIFS('سجل الأكشنات'!$B$2:$B$12,$B26,'سجل الأكشنات'!$D$2:$D$12,$C26,'سجل الأكشنات'!$H$2:$H$12,"تفصيلي")</f>
        <v>0</v>
      </c>
      <c r="H26" s="12" t="n">
        <f aca="false">F26-G26</f>
        <v>0</v>
      </c>
      <c r="I26" s="12" t="str">
        <f aca="false">IF($B26&gt;"2026-08-01","لا توجد بيانات بعد",IF(AND(D26=0,F26=0),"بدون نشاط","نشِط"))</f>
        <v>لا توجد بيانات بعد</v>
      </c>
    </row>
    <row r="27" customFormat="false" ht="15" hidden="false" customHeight="false" outlineLevel="0" collapsed="false">
      <c r="A27" s="12" t="s">
        <v>51</v>
      </c>
      <c r="B27" s="12" t="s">
        <v>52</v>
      </c>
      <c r="C27" s="13" t="s">
        <v>24</v>
      </c>
      <c r="D27" s="12" t="n">
        <f aca="false">COUNTIFS('تفاصيل الفرص'!$B$2:$B$9,$B27,'تفاصيل الفرص'!$D$2:$D$9,$C27)</f>
        <v>0</v>
      </c>
      <c r="E27" s="12" t="n">
        <f aca="false">COUNTIFS('تفاصيل الفرص'!$B$2:$B$9,$B27,'تفاصيل الفرص'!$D$2:$D$9,$C27,'تفاصيل الفرص'!$X$2:$X$9,0)</f>
        <v>0</v>
      </c>
      <c r="F27" s="12" t="n">
        <f aca="false">COUNTIFS('سجل الأكشنات'!$B$2:$B$12,$B27,'سجل الأكشنات'!$D$2:$D$12,$C27)</f>
        <v>0</v>
      </c>
      <c r="G27" s="12" t="n">
        <f aca="false">COUNTIFS('سجل الأكشنات'!$B$2:$B$12,$B27,'سجل الأكشنات'!$D$2:$D$12,$C27,'سجل الأكشنات'!$H$2:$H$12,"تفصيلي")</f>
        <v>0</v>
      </c>
      <c r="H27" s="12" t="n">
        <f aca="false">F27-G27</f>
        <v>0</v>
      </c>
      <c r="I27" s="12" t="str">
        <f aca="false">IF($B27&gt;"2026-08-01","لا توجد بيانات بعد",IF(AND(D27=0,F27=0),"بدون نشاط","نشِط"))</f>
        <v>لا توجد بيانات بعد</v>
      </c>
    </row>
    <row r="28" customFormat="false" ht="15" hidden="false" customHeight="false" outlineLevel="0" collapsed="false">
      <c r="A28" s="5" t="s">
        <v>53</v>
      </c>
      <c r="B28" s="5" t="s">
        <v>54</v>
      </c>
      <c r="C28" s="4" t="s">
        <v>18</v>
      </c>
      <c r="D28" s="5" t="n">
        <f aca="false">COUNTIFS('تفاصيل الفرص'!$B$2:$B$9,$B28,'تفاصيل الفرص'!$D$2:$D$9,$C28)</f>
        <v>0</v>
      </c>
      <c r="E28" s="5" t="n">
        <f aca="false">COUNTIFS('تفاصيل الفرص'!$B$2:$B$9,$B28,'تفاصيل الفرص'!$D$2:$D$9,$C28,'تفاصيل الفرص'!$X$2:$X$9,0)</f>
        <v>0</v>
      </c>
      <c r="F28" s="5" t="n">
        <f aca="false">COUNTIFS('سجل الأكشنات'!$B$2:$B$12,$B28,'سجل الأكشنات'!$D$2:$D$12,$C28)</f>
        <v>0</v>
      </c>
      <c r="G28" s="5" t="n">
        <f aca="false">COUNTIFS('سجل الأكشنات'!$B$2:$B$12,$B28,'سجل الأكشنات'!$D$2:$D$12,$C28,'سجل الأكشنات'!$H$2:$H$12,"تفصيلي")</f>
        <v>0</v>
      </c>
      <c r="H28" s="5" t="n">
        <f aca="false">F28-G28</f>
        <v>0</v>
      </c>
      <c r="I28" s="5" t="str">
        <f aca="false">IF($B28&gt;"2026-08-01","لا توجد بيانات بعد",IF(AND(D28=0,F28=0),"بدون نشاط","نشِط"))</f>
        <v>لا توجد بيانات بعد</v>
      </c>
    </row>
    <row r="29" customFormat="false" ht="15" hidden="false" customHeight="false" outlineLevel="0" collapsed="false">
      <c r="A29" s="5" t="s">
        <v>53</v>
      </c>
      <c r="B29" s="5" t="s">
        <v>54</v>
      </c>
      <c r="C29" s="4" t="s">
        <v>20</v>
      </c>
      <c r="D29" s="5" t="n">
        <f aca="false">COUNTIFS('تفاصيل الفرص'!$B$2:$B$9,$B29,'تفاصيل الفرص'!$D$2:$D$9,$C29)</f>
        <v>0</v>
      </c>
      <c r="E29" s="5" t="n">
        <f aca="false">COUNTIFS('تفاصيل الفرص'!$B$2:$B$9,$B29,'تفاصيل الفرص'!$D$2:$D$9,$C29,'تفاصيل الفرص'!$X$2:$X$9,0)</f>
        <v>0</v>
      </c>
      <c r="F29" s="5" t="n">
        <f aca="false">COUNTIFS('سجل الأكشنات'!$B$2:$B$12,$B29,'سجل الأكشنات'!$D$2:$D$12,$C29)</f>
        <v>0</v>
      </c>
      <c r="G29" s="5" t="n">
        <f aca="false">COUNTIFS('سجل الأكشنات'!$B$2:$B$12,$B29,'سجل الأكشنات'!$D$2:$D$12,$C29,'سجل الأكشنات'!$H$2:$H$12,"تفصيلي")</f>
        <v>0</v>
      </c>
      <c r="H29" s="5" t="n">
        <f aca="false">F29-G29</f>
        <v>0</v>
      </c>
      <c r="I29" s="5" t="str">
        <f aca="false">IF($B29&gt;"2026-08-01","لا توجد بيانات بعد",IF(AND(D29=0,F29=0),"بدون نشاط","نشِط"))</f>
        <v>لا توجد بيانات بعد</v>
      </c>
    </row>
    <row r="30" customFormat="false" ht="15" hidden="false" customHeight="false" outlineLevel="0" collapsed="false">
      <c r="A30" s="5" t="s">
        <v>53</v>
      </c>
      <c r="B30" s="5" t="s">
        <v>54</v>
      </c>
      <c r="C30" s="4" t="s">
        <v>22</v>
      </c>
      <c r="D30" s="5" t="n">
        <f aca="false">COUNTIFS('تفاصيل الفرص'!$B$2:$B$9,$B30,'تفاصيل الفرص'!$D$2:$D$9,$C30)</f>
        <v>0</v>
      </c>
      <c r="E30" s="5" t="n">
        <f aca="false">COUNTIFS('تفاصيل الفرص'!$B$2:$B$9,$B30,'تفاصيل الفرص'!$D$2:$D$9,$C30,'تفاصيل الفرص'!$X$2:$X$9,0)</f>
        <v>0</v>
      </c>
      <c r="F30" s="5" t="n">
        <f aca="false">COUNTIFS('سجل الأكشنات'!$B$2:$B$12,$B30,'سجل الأكشنات'!$D$2:$D$12,$C30)</f>
        <v>0</v>
      </c>
      <c r="G30" s="5" t="n">
        <f aca="false">COUNTIFS('سجل الأكشنات'!$B$2:$B$12,$B30,'سجل الأكشنات'!$D$2:$D$12,$C30,'سجل الأكشنات'!$H$2:$H$12,"تفصيلي")</f>
        <v>0</v>
      </c>
      <c r="H30" s="5" t="n">
        <f aca="false">F30-G30</f>
        <v>0</v>
      </c>
      <c r="I30" s="5" t="str">
        <f aca="false">IF($B30&gt;"2026-08-01","لا توجد بيانات بعد",IF(AND(D30=0,F30=0),"بدون نشاط","نشِط"))</f>
        <v>لا توجد بيانات بعد</v>
      </c>
    </row>
    <row r="31" customFormat="false" ht="15" hidden="false" customHeight="false" outlineLevel="0" collapsed="false">
      <c r="A31" s="5" t="s">
        <v>53</v>
      </c>
      <c r="B31" s="5" t="s">
        <v>54</v>
      </c>
      <c r="C31" s="4" t="s">
        <v>24</v>
      </c>
      <c r="D31" s="5" t="n">
        <f aca="false">COUNTIFS('تفاصيل الفرص'!$B$2:$B$9,$B31,'تفاصيل الفرص'!$D$2:$D$9,$C31)</f>
        <v>0</v>
      </c>
      <c r="E31" s="5" t="n">
        <f aca="false">COUNTIFS('تفاصيل الفرص'!$B$2:$B$9,$B31,'تفاصيل الفرص'!$D$2:$D$9,$C31,'تفاصيل الفرص'!$X$2:$X$9,0)</f>
        <v>0</v>
      </c>
      <c r="F31" s="5" t="n">
        <f aca="false">COUNTIFS('سجل الأكشنات'!$B$2:$B$12,$B31,'سجل الأكشنات'!$D$2:$D$12,$C31)</f>
        <v>0</v>
      </c>
      <c r="G31" s="5" t="n">
        <f aca="false">COUNTIFS('سجل الأكشنات'!$B$2:$B$12,$B31,'سجل الأكشنات'!$D$2:$D$12,$C31,'سجل الأكشنات'!$H$2:$H$12,"تفصيلي")</f>
        <v>0</v>
      </c>
      <c r="H31" s="5" t="n">
        <f aca="false">F31-G31</f>
        <v>0</v>
      </c>
      <c r="I31" s="5" t="str">
        <f aca="false">IF($B31&gt;"2026-08-01","لا توجد بيانات بعد",IF(AND(D31=0,F31=0),"بدون نشاط","نشِط"))</f>
        <v>لا توجد بيانات بعد</v>
      </c>
    </row>
    <row r="32" customFormat="false" ht="15" hidden="false" customHeight="false" outlineLevel="0" collapsed="false">
      <c r="A32" s="12" t="s">
        <v>41</v>
      </c>
      <c r="B32" s="12" t="s">
        <v>55</v>
      </c>
      <c r="C32" s="13" t="s">
        <v>18</v>
      </c>
      <c r="D32" s="12" t="n">
        <f aca="false">COUNTIFS('تفاصيل الفرص'!$B$2:$B$9,$B32,'تفاصيل الفرص'!$D$2:$D$9,$C32)</f>
        <v>0</v>
      </c>
      <c r="E32" s="12" t="n">
        <f aca="false">COUNTIFS('تفاصيل الفرص'!$B$2:$B$9,$B32,'تفاصيل الفرص'!$D$2:$D$9,$C32,'تفاصيل الفرص'!$X$2:$X$9,0)</f>
        <v>0</v>
      </c>
      <c r="F32" s="12" t="n">
        <f aca="false">COUNTIFS('سجل الأكشنات'!$B$2:$B$12,$B32,'سجل الأكشنات'!$D$2:$D$12,$C32)</f>
        <v>0</v>
      </c>
      <c r="G32" s="12" t="n">
        <f aca="false">COUNTIFS('سجل الأكشنات'!$B$2:$B$12,$B32,'سجل الأكشنات'!$D$2:$D$12,$C32,'سجل الأكشنات'!$H$2:$H$12,"تفصيلي")</f>
        <v>0</v>
      </c>
      <c r="H32" s="12" t="n">
        <f aca="false">F32-G32</f>
        <v>0</v>
      </c>
      <c r="I32" s="12" t="str">
        <f aca="false">IF($B32&gt;"2026-08-01","لا توجد بيانات بعد",IF(AND(D32=0,F32=0),"بدون نشاط","نشِط"))</f>
        <v>لا توجد بيانات بعد</v>
      </c>
    </row>
    <row r="33" customFormat="false" ht="15" hidden="false" customHeight="false" outlineLevel="0" collapsed="false">
      <c r="A33" s="12" t="s">
        <v>41</v>
      </c>
      <c r="B33" s="12" t="s">
        <v>55</v>
      </c>
      <c r="C33" s="13" t="s">
        <v>20</v>
      </c>
      <c r="D33" s="12" t="n">
        <f aca="false">COUNTIFS('تفاصيل الفرص'!$B$2:$B$9,$B33,'تفاصيل الفرص'!$D$2:$D$9,$C33)</f>
        <v>0</v>
      </c>
      <c r="E33" s="12" t="n">
        <f aca="false">COUNTIFS('تفاصيل الفرص'!$B$2:$B$9,$B33,'تفاصيل الفرص'!$D$2:$D$9,$C33,'تفاصيل الفرص'!$X$2:$X$9,0)</f>
        <v>0</v>
      </c>
      <c r="F33" s="12" t="n">
        <f aca="false">COUNTIFS('سجل الأكشنات'!$B$2:$B$12,$B33,'سجل الأكشنات'!$D$2:$D$12,$C33)</f>
        <v>0</v>
      </c>
      <c r="G33" s="12" t="n">
        <f aca="false">COUNTIFS('سجل الأكشنات'!$B$2:$B$12,$B33,'سجل الأكشنات'!$D$2:$D$12,$C33,'سجل الأكشنات'!$H$2:$H$12,"تفصيلي")</f>
        <v>0</v>
      </c>
      <c r="H33" s="12" t="n">
        <f aca="false">F33-G33</f>
        <v>0</v>
      </c>
      <c r="I33" s="12" t="str">
        <f aca="false">IF($B33&gt;"2026-08-01","لا توجد بيانات بعد",IF(AND(D33=0,F33=0),"بدون نشاط","نشِط"))</f>
        <v>لا توجد بيانات بعد</v>
      </c>
    </row>
    <row r="34" customFormat="false" ht="15" hidden="false" customHeight="false" outlineLevel="0" collapsed="false">
      <c r="A34" s="12" t="s">
        <v>41</v>
      </c>
      <c r="B34" s="12" t="s">
        <v>55</v>
      </c>
      <c r="C34" s="13" t="s">
        <v>22</v>
      </c>
      <c r="D34" s="12" t="n">
        <f aca="false">COUNTIFS('تفاصيل الفرص'!$B$2:$B$9,$B34,'تفاصيل الفرص'!$D$2:$D$9,$C34)</f>
        <v>0</v>
      </c>
      <c r="E34" s="12" t="n">
        <f aca="false">COUNTIFS('تفاصيل الفرص'!$B$2:$B$9,$B34,'تفاصيل الفرص'!$D$2:$D$9,$C34,'تفاصيل الفرص'!$X$2:$X$9,0)</f>
        <v>0</v>
      </c>
      <c r="F34" s="12" t="n">
        <f aca="false">COUNTIFS('سجل الأكشنات'!$B$2:$B$12,$B34,'سجل الأكشنات'!$D$2:$D$12,$C34)</f>
        <v>0</v>
      </c>
      <c r="G34" s="12" t="n">
        <f aca="false">COUNTIFS('سجل الأكشنات'!$B$2:$B$12,$B34,'سجل الأكشنات'!$D$2:$D$12,$C34,'سجل الأكشنات'!$H$2:$H$12,"تفصيلي")</f>
        <v>0</v>
      </c>
      <c r="H34" s="12" t="n">
        <f aca="false">F34-G34</f>
        <v>0</v>
      </c>
      <c r="I34" s="12" t="str">
        <f aca="false">IF($B34&gt;"2026-08-01","لا توجد بيانات بعد",IF(AND(D34=0,F34=0),"بدون نشاط","نشِط"))</f>
        <v>لا توجد بيانات بعد</v>
      </c>
    </row>
    <row r="35" customFormat="false" ht="15" hidden="false" customHeight="false" outlineLevel="0" collapsed="false">
      <c r="A35" s="12" t="s">
        <v>41</v>
      </c>
      <c r="B35" s="12" t="s">
        <v>55</v>
      </c>
      <c r="C35" s="13" t="s">
        <v>24</v>
      </c>
      <c r="D35" s="12" t="n">
        <f aca="false">COUNTIFS('تفاصيل الفرص'!$B$2:$B$9,$B35,'تفاصيل الفرص'!$D$2:$D$9,$C35)</f>
        <v>0</v>
      </c>
      <c r="E35" s="12" t="n">
        <f aca="false">COUNTIFS('تفاصيل الفرص'!$B$2:$B$9,$B35,'تفاصيل الفرص'!$D$2:$D$9,$C35,'تفاصيل الفرص'!$X$2:$X$9,0)</f>
        <v>0</v>
      </c>
      <c r="F35" s="12" t="n">
        <f aca="false">COUNTIFS('سجل الأكشنات'!$B$2:$B$12,$B35,'سجل الأكشنات'!$D$2:$D$12,$C35)</f>
        <v>0</v>
      </c>
      <c r="G35" s="12" t="n">
        <f aca="false">COUNTIFS('سجل الأكشنات'!$B$2:$B$12,$B35,'سجل الأكشنات'!$D$2:$D$12,$C35,'سجل الأكشنات'!$H$2:$H$12,"تفصيلي")</f>
        <v>0</v>
      </c>
      <c r="H35" s="12" t="n">
        <f aca="false">F35-G35</f>
        <v>0</v>
      </c>
      <c r="I35" s="12" t="str">
        <f aca="false">IF($B35&gt;"2026-08-01","لا توجد بيانات بعد",IF(AND(D35=0,F35=0),"بدون نشاط","نشِط"))</f>
        <v>لا توجد بيانات بعد</v>
      </c>
    </row>
    <row r="36" customFormat="false" ht="15" hidden="false" customHeight="false" outlineLevel="0" collapsed="false">
      <c r="A36" s="5" t="s">
        <v>43</v>
      </c>
      <c r="B36" s="5" t="s">
        <v>56</v>
      </c>
      <c r="C36" s="4" t="s">
        <v>18</v>
      </c>
      <c r="D36" s="5" t="n">
        <f aca="false">COUNTIFS('تفاصيل الفرص'!$B$2:$B$9,$B36,'تفاصيل الفرص'!$D$2:$D$9,$C36)</f>
        <v>0</v>
      </c>
      <c r="E36" s="5" t="n">
        <f aca="false">COUNTIFS('تفاصيل الفرص'!$B$2:$B$9,$B36,'تفاصيل الفرص'!$D$2:$D$9,$C36,'تفاصيل الفرص'!$X$2:$X$9,0)</f>
        <v>0</v>
      </c>
      <c r="F36" s="5" t="n">
        <f aca="false">COUNTIFS('سجل الأكشنات'!$B$2:$B$12,$B36,'سجل الأكشنات'!$D$2:$D$12,$C36)</f>
        <v>0</v>
      </c>
      <c r="G36" s="5" t="n">
        <f aca="false">COUNTIFS('سجل الأكشنات'!$B$2:$B$12,$B36,'سجل الأكشنات'!$D$2:$D$12,$C36,'سجل الأكشنات'!$H$2:$H$12,"تفصيلي")</f>
        <v>0</v>
      </c>
      <c r="H36" s="5" t="n">
        <f aca="false">F36-G36</f>
        <v>0</v>
      </c>
      <c r="I36" s="5" t="str">
        <f aca="false">IF($B36&gt;"2026-08-01","لا توجد بيانات بعد",IF(AND(D36=0,F36=0),"بدون نشاط","نشِط"))</f>
        <v>لا توجد بيانات بعد</v>
      </c>
    </row>
    <row r="37" customFormat="false" ht="15" hidden="false" customHeight="false" outlineLevel="0" collapsed="false">
      <c r="A37" s="5" t="s">
        <v>43</v>
      </c>
      <c r="B37" s="5" t="s">
        <v>56</v>
      </c>
      <c r="C37" s="4" t="s">
        <v>20</v>
      </c>
      <c r="D37" s="5" t="n">
        <f aca="false">COUNTIFS('تفاصيل الفرص'!$B$2:$B$9,$B37,'تفاصيل الفرص'!$D$2:$D$9,$C37)</f>
        <v>0</v>
      </c>
      <c r="E37" s="5" t="n">
        <f aca="false">COUNTIFS('تفاصيل الفرص'!$B$2:$B$9,$B37,'تفاصيل الفرص'!$D$2:$D$9,$C37,'تفاصيل الفرص'!$X$2:$X$9,0)</f>
        <v>0</v>
      </c>
      <c r="F37" s="5" t="n">
        <f aca="false">COUNTIFS('سجل الأكشنات'!$B$2:$B$12,$B37,'سجل الأكشنات'!$D$2:$D$12,$C37)</f>
        <v>0</v>
      </c>
      <c r="G37" s="5" t="n">
        <f aca="false">COUNTIFS('سجل الأكشنات'!$B$2:$B$12,$B37,'سجل الأكشنات'!$D$2:$D$12,$C37,'سجل الأكشنات'!$H$2:$H$12,"تفصيلي")</f>
        <v>0</v>
      </c>
      <c r="H37" s="5" t="n">
        <f aca="false">F37-G37</f>
        <v>0</v>
      </c>
      <c r="I37" s="5" t="str">
        <f aca="false">IF($B37&gt;"2026-08-01","لا توجد بيانات بعد",IF(AND(D37=0,F37=0),"بدون نشاط","نشِط"))</f>
        <v>لا توجد بيانات بعد</v>
      </c>
    </row>
    <row r="38" customFormat="false" ht="15" hidden="false" customHeight="false" outlineLevel="0" collapsed="false">
      <c r="A38" s="5" t="s">
        <v>43</v>
      </c>
      <c r="B38" s="5" t="s">
        <v>56</v>
      </c>
      <c r="C38" s="4" t="s">
        <v>22</v>
      </c>
      <c r="D38" s="5" t="n">
        <f aca="false">COUNTIFS('تفاصيل الفرص'!$B$2:$B$9,$B38,'تفاصيل الفرص'!$D$2:$D$9,$C38)</f>
        <v>0</v>
      </c>
      <c r="E38" s="5" t="n">
        <f aca="false">COUNTIFS('تفاصيل الفرص'!$B$2:$B$9,$B38,'تفاصيل الفرص'!$D$2:$D$9,$C38,'تفاصيل الفرص'!$X$2:$X$9,0)</f>
        <v>0</v>
      </c>
      <c r="F38" s="5" t="n">
        <f aca="false">COUNTIFS('سجل الأكشنات'!$B$2:$B$12,$B38,'سجل الأكشنات'!$D$2:$D$12,$C38)</f>
        <v>0</v>
      </c>
      <c r="G38" s="5" t="n">
        <f aca="false">COUNTIFS('سجل الأكشنات'!$B$2:$B$12,$B38,'سجل الأكشنات'!$D$2:$D$12,$C38,'سجل الأكشنات'!$H$2:$H$12,"تفصيلي")</f>
        <v>0</v>
      </c>
      <c r="H38" s="5" t="n">
        <f aca="false">F38-G38</f>
        <v>0</v>
      </c>
      <c r="I38" s="5" t="str">
        <f aca="false">IF($B38&gt;"2026-08-01","لا توجد بيانات بعد",IF(AND(D38=0,F38=0),"بدون نشاط","نشِط"))</f>
        <v>لا توجد بيانات بعد</v>
      </c>
    </row>
    <row r="39" customFormat="false" ht="15" hidden="false" customHeight="false" outlineLevel="0" collapsed="false">
      <c r="A39" s="5" t="s">
        <v>43</v>
      </c>
      <c r="B39" s="5" t="s">
        <v>56</v>
      </c>
      <c r="C39" s="4" t="s">
        <v>24</v>
      </c>
      <c r="D39" s="5" t="n">
        <f aca="false">COUNTIFS('تفاصيل الفرص'!$B$2:$B$9,$B39,'تفاصيل الفرص'!$D$2:$D$9,$C39)</f>
        <v>0</v>
      </c>
      <c r="E39" s="5" t="n">
        <f aca="false">COUNTIFS('تفاصيل الفرص'!$B$2:$B$9,$B39,'تفاصيل الفرص'!$D$2:$D$9,$C39,'تفاصيل الفرص'!$X$2:$X$9,0)</f>
        <v>0</v>
      </c>
      <c r="F39" s="5" t="n">
        <f aca="false">COUNTIFS('سجل الأكشنات'!$B$2:$B$12,$B39,'سجل الأكشنات'!$D$2:$D$12,$C39)</f>
        <v>0</v>
      </c>
      <c r="G39" s="5" t="n">
        <f aca="false">COUNTIFS('سجل الأكشنات'!$B$2:$B$12,$B39,'سجل الأكشنات'!$D$2:$D$12,$C39,'سجل الأكشنات'!$H$2:$H$12,"تفصيلي")</f>
        <v>0</v>
      </c>
      <c r="H39" s="5" t="n">
        <f aca="false">F39-G39</f>
        <v>0</v>
      </c>
      <c r="I39" s="5" t="str">
        <f aca="false">IF($B39&gt;"2026-08-01","لا توجد بيانات بعد",IF(AND(D39=0,F39=0),"بدون نشاط","نشِط"))</f>
        <v>لا توجد بيانات بعد</v>
      </c>
    </row>
    <row r="40" customFormat="false" ht="15" hidden="false" customHeight="false" outlineLevel="0" collapsed="false">
      <c r="A40" s="12" t="s">
        <v>45</v>
      </c>
      <c r="B40" s="12" t="s">
        <v>57</v>
      </c>
      <c r="C40" s="13" t="s">
        <v>18</v>
      </c>
      <c r="D40" s="12" t="n">
        <f aca="false">COUNTIFS('تفاصيل الفرص'!$B$2:$B$9,$B40,'تفاصيل الفرص'!$D$2:$D$9,$C40)</f>
        <v>0</v>
      </c>
      <c r="E40" s="12" t="n">
        <f aca="false">COUNTIFS('تفاصيل الفرص'!$B$2:$B$9,$B40,'تفاصيل الفرص'!$D$2:$D$9,$C40,'تفاصيل الفرص'!$X$2:$X$9,0)</f>
        <v>0</v>
      </c>
      <c r="F40" s="12" t="n">
        <f aca="false">COUNTIFS('سجل الأكشنات'!$B$2:$B$12,$B40,'سجل الأكشنات'!$D$2:$D$12,$C40)</f>
        <v>0</v>
      </c>
      <c r="G40" s="12" t="n">
        <f aca="false">COUNTIFS('سجل الأكشنات'!$B$2:$B$12,$B40,'سجل الأكشنات'!$D$2:$D$12,$C40,'سجل الأكشنات'!$H$2:$H$12,"تفصيلي")</f>
        <v>0</v>
      </c>
      <c r="H40" s="12" t="n">
        <f aca="false">F40-G40</f>
        <v>0</v>
      </c>
      <c r="I40" s="12" t="str">
        <f aca="false">IF($B40&gt;"2026-08-01","لا توجد بيانات بعد",IF(AND(D40=0,F40=0),"بدون نشاط","نشِط"))</f>
        <v>لا توجد بيانات بعد</v>
      </c>
    </row>
    <row r="41" customFormat="false" ht="15" hidden="false" customHeight="false" outlineLevel="0" collapsed="false">
      <c r="A41" s="12" t="s">
        <v>45</v>
      </c>
      <c r="B41" s="12" t="s">
        <v>57</v>
      </c>
      <c r="C41" s="13" t="s">
        <v>20</v>
      </c>
      <c r="D41" s="12" t="n">
        <f aca="false">COUNTIFS('تفاصيل الفرص'!$B$2:$B$9,$B41,'تفاصيل الفرص'!$D$2:$D$9,$C41)</f>
        <v>0</v>
      </c>
      <c r="E41" s="12" t="n">
        <f aca="false">COUNTIFS('تفاصيل الفرص'!$B$2:$B$9,$B41,'تفاصيل الفرص'!$D$2:$D$9,$C41,'تفاصيل الفرص'!$X$2:$X$9,0)</f>
        <v>0</v>
      </c>
      <c r="F41" s="12" t="n">
        <f aca="false">COUNTIFS('سجل الأكشنات'!$B$2:$B$12,$B41,'سجل الأكشنات'!$D$2:$D$12,$C41)</f>
        <v>0</v>
      </c>
      <c r="G41" s="12" t="n">
        <f aca="false">COUNTIFS('سجل الأكشنات'!$B$2:$B$12,$B41,'سجل الأكشنات'!$D$2:$D$12,$C41,'سجل الأكشنات'!$H$2:$H$12,"تفصيلي")</f>
        <v>0</v>
      </c>
      <c r="H41" s="12" t="n">
        <f aca="false">F41-G41</f>
        <v>0</v>
      </c>
      <c r="I41" s="12" t="str">
        <f aca="false">IF($B41&gt;"2026-08-01","لا توجد بيانات بعد",IF(AND(D41=0,F41=0),"بدون نشاط","نشِط"))</f>
        <v>لا توجد بيانات بعد</v>
      </c>
    </row>
    <row r="42" customFormat="false" ht="15" hidden="false" customHeight="false" outlineLevel="0" collapsed="false">
      <c r="A42" s="12" t="s">
        <v>45</v>
      </c>
      <c r="B42" s="12" t="s">
        <v>57</v>
      </c>
      <c r="C42" s="13" t="s">
        <v>22</v>
      </c>
      <c r="D42" s="12" t="n">
        <f aca="false">COUNTIFS('تفاصيل الفرص'!$B$2:$B$9,$B42,'تفاصيل الفرص'!$D$2:$D$9,$C42)</f>
        <v>0</v>
      </c>
      <c r="E42" s="12" t="n">
        <f aca="false">COUNTIFS('تفاصيل الفرص'!$B$2:$B$9,$B42,'تفاصيل الفرص'!$D$2:$D$9,$C42,'تفاصيل الفرص'!$X$2:$X$9,0)</f>
        <v>0</v>
      </c>
      <c r="F42" s="12" t="n">
        <f aca="false">COUNTIFS('سجل الأكشنات'!$B$2:$B$12,$B42,'سجل الأكشنات'!$D$2:$D$12,$C42)</f>
        <v>0</v>
      </c>
      <c r="G42" s="12" t="n">
        <f aca="false">COUNTIFS('سجل الأكشنات'!$B$2:$B$12,$B42,'سجل الأكشنات'!$D$2:$D$12,$C42,'سجل الأكشنات'!$H$2:$H$12,"تفصيلي")</f>
        <v>0</v>
      </c>
      <c r="H42" s="12" t="n">
        <f aca="false">F42-G42</f>
        <v>0</v>
      </c>
      <c r="I42" s="12" t="str">
        <f aca="false">IF($B42&gt;"2026-08-01","لا توجد بيانات بعد",IF(AND(D42=0,F42=0),"بدون نشاط","نشِط"))</f>
        <v>لا توجد بيانات بعد</v>
      </c>
    </row>
    <row r="43" customFormat="false" ht="15" hidden="false" customHeight="false" outlineLevel="0" collapsed="false">
      <c r="A43" s="12" t="s">
        <v>45</v>
      </c>
      <c r="B43" s="12" t="s">
        <v>57</v>
      </c>
      <c r="C43" s="13" t="s">
        <v>24</v>
      </c>
      <c r="D43" s="12" t="n">
        <f aca="false">COUNTIFS('تفاصيل الفرص'!$B$2:$B$9,$B43,'تفاصيل الفرص'!$D$2:$D$9,$C43)</f>
        <v>0</v>
      </c>
      <c r="E43" s="12" t="n">
        <f aca="false">COUNTIFS('تفاصيل الفرص'!$B$2:$B$9,$B43,'تفاصيل الفرص'!$D$2:$D$9,$C43,'تفاصيل الفرص'!$X$2:$X$9,0)</f>
        <v>0</v>
      </c>
      <c r="F43" s="12" t="n">
        <f aca="false">COUNTIFS('سجل الأكشنات'!$B$2:$B$12,$B43,'سجل الأكشنات'!$D$2:$D$12,$C43)</f>
        <v>0</v>
      </c>
      <c r="G43" s="12" t="n">
        <f aca="false">COUNTIFS('سجل الأكشنات'!$B$2:$B$12,$B43,'سجل الأكشنات'!$D$2:$D$12,$C43,'سجل الأكشنات'!$H$2:$H$12,"تفصيلي")</f>
        <v>0</v>
      </c>
      <c r="H43" s="12" t="n">
        <f aca="false">F43-G43</f>
        <v>0</v>
      </c>
      <c r="I43" s="12" t="str">
        <f aca="false">IF($B43&gt;"2026-08-01","لا توجد بيانات بعد",IF(AND(D43=0,F43=0),"بدون نشاط","نشِط"))</f>
        <v>لا توجد بيانات بعد</v>
      </c>
    </row>
    <row r="44" customFormat="false" ht="15" hidden="false" customHeight="false" outlineLevel="0" collapsed="false">
      <c r="A44" s="5" t="s">
        <v>47</v>
      </c>
      <c r="B44" s="5" t="s">
        <v>58</v>
      </c>
      <c r="C44" s="4" t="s">
        <v>18</v>
      </c>
      <c r="D44" s="5" t="n">
        <f aca="false">COUNTIFS('تفاصيل الفرص'!$B$2:$B$9,$B44,'تفاصيل الفرص'!$D$2:$D$9,$C44)</f>
        <v>0</v>
      </c>
      <c r="E44" s="5" t="n">
        <f aca="false">COUNTIFS('تفاصيل الفرص'!$B$2:$B$9,$B44,'تفاصيل الفرص'!$D$2:$D$9,$C44,'تفاصيل الفرص'!$X$2:$X$9,0)</f>
        <v>0</v>
      </c>
      <c r="F44" s="5" t="n">
        <f aca="false">COUNTIFS('سجل الأكشنات'!$B$2:$B$12,$B44,'سجل الأكشنات'!$D$2:$D$12,$C44)</f>
        <v>0</v>
      </c>
      <c r="G44" s="5" t="n">
        <f aca="false">COUNTIFS('سجل الأكشنات'!$B$2:$B$12,$B44,'سجل الأكشنات'!$D$2:$D$12,$C44,'سجل الأكشنات'!$H$2:$H$12,"تفصيلي")</f>
        <v>0</v>
      </c>
      <c r="H44" s="5" t="n">
        <f aca="false">F44-G44</f>
        <v>0</v>
      </c>
      <c r="I44" s="5" t="str">
        <f aca="false">IF($B44&gt;"2026-08-01","لا توجد بيانات بعد",IF(AND(D44=0,F44=0),"بدون نشاط","نشِط"))</f>
        <v>لا توجد بيانات بعد</v>
      </c>
    </row>
    <row r="45" customFormat="false" ht="15" hidden="false" customHeight="false" outlineLevel="0" collapsed="false">
      <c r="A45" s="5" t="s">
        <v>47</v>
      </c>
      <c r="B45" s="5" t="s">
        <v>58</v>
      </c>
      <c r="C45" s="4" t="s">
        <v>20</v>
      </c>
      <c r="D45" s="5" t="n">
        <f aca="false">COUNTIFS('تفاصيل الفرص'!$B$2:$B$9,$B45,'تفاصيل الفرص'!$D$2:$D$9,$C45)</f>
        <v>0</v>
      </c>
      <c r="E45" s="5" t="n">
        <f aca="false">COUNTIFS('تفاصيل الفرص'!$B$2:$B$9,$B45,'تفاصيل الفرص'!$D$2:$D$9,$C45,'تفاصيل الفرص'!$X$2:$X$9,0)</f>
        <v>0</v>
      </c>
      <c r="F45" s="5" t="n">
        <f aca="false">COUNTIFS('سجل الأكشنات'!$B$2:$B$12,$B45,'سجل الأكشنات'!$D$2:$D$12,$C45)</f>
        <v>0</v>
      </c>
      <c r="G45" s="5" t="n">
        <f aca="false">COUNTIFS('سجل الأكشنات'!$B$2:$B$12,$B45,'سجل الأكشنات'!$D$2:$D$12,$C45,'سجل الأكشنات'!$H$2:$H$12,"تفصيلي")</f>
        <v>0</v>
      </c>
      <c r="H45" s="5" t="n">
        <f aca="false">F45-G45</f>
        <v>0</v>
      </c>
      <c r="I45" s="5" t="str">
        <f aca="false">IF($B45&gt;"2026-08-01","لا توجد بيانات بعد",IF(AND(D45=0,F45=0),"بدون نشاط","نشِط"))</f>
        <v>لا توجد بيانات بعد</v>
      </c>
    </row>
    <row r="46" customFormat="false" ht="15" hidden="false" customHeight="false" outlineLevel="0" collapsed="false">
      <c r="A46" s="5" t="s">
        <v>47</v>
      </c>
      <c r="B46" s="5" t="s">
        <v>58</v>
      </c>
      <c r="C46" s="4" t="s">
        <v>22</v>
      </c>
      <c r="D46" s="5" t="n">
        <f aca="false">COUNTIFS('تفاصيل الفرص'!$B$2:$B$9,$B46,'تفاصيل الفرص'!$D$2:$D$9,$C46)</f>
        <v>0</v>
      </c>
      <c r="E46" s="5" t="n">
        <f aca="false">COUNTIFS('تفاصيل الفرص'!$B$2:$B$9,$B46,'تفاصيل الفرص'!$D$2:$D$9,$C46,'تفاصيل الفرص'!$X$2:$X$9,0)</f>
        <v>0</v>
      </c>
      <c r="F46" s="5" t="n">
        <f aca="false">COUNTIFS('سجل الأكشنات'!$B$2:$B$12,$B46,'سجل الأكشنات'!$D$2:$D$12,$C46)</f>
        <v>0</v>
      </c>
      <c r="G46" s="5" t="n">
        <f aca="false">COUNTIFS('سجل الأكشنات'!$B$2:$B$12,$B46,'سجل الأكشنات'!$D$2:$D$12,$C46,'سجل الأكشنات'!$H$2:$H$12,"تفصيلي")</f>
        <v>0</v>
      </c>
      <c r="H46" s="5" t="n">
        <f aca="false">F46-G46</f>
        <v>0</v>
      </c>
      <c r="I46" s="5" t="str">
        <f aca="false">IF($B46&gt;"2026-08-01","لا توجد بيانات بعد",IF(AND(D46=0,F46=0),"بدون نشاط","نشِط"))</f>
        <v>لا توجد بيانات بعد</v>
      </c>
    </row>
    <row r="47" customFormat="false" ht="15" hidden="false" customHeight="false" outlineLevel="0" collapsed="false">
      <c r="A47" s="5" t="s">
        <v>47</v>
      </c>
      <c r="B47" s="5" t="s">
        <v>58</v>
      </c>
      <c r="C47" s="4" t="s">
        <v>24</v>
      </c>
      <c r="D47" s="5" t="n">
        <f aca="false">COUNTIFS('تفاصيل الفرص'!$B$2:$B$9,$B47,'تفاصيل الفرص'!$D$2:$D$9,$C47)</f>
        <v>0</v>
      </c>
      <c r="E47" s="5" t="n">
        <f aca="false">COUNTIFS('تفاصيل الفرص'!$B$2:$B$9,$B47,'تفاصيل الفرص'!$D$2:$D$9,$C47,'تفاصيل الفرص'!$X$2:$X$9,0)</f>
        <v>0</v>
      </c>
      <c r="F47" s="5" t="n">
        <f aca="false">COUNTIFS('سجل الأكشنات'!$B$2:$B$12,$B47,'سجل الأكشنات'!$D$2:$D$12,$C47)</f>
        <v>0</v>
      </c>
      <c r="G47" s="5" t="n">
        <f aca="false">COUNTIFS('سجل الأكشنات'!$B$2:$B$12,$B47,'سجل الأكشنات'!$D$2:$D$12,$C47,'سجل الأكشنات'!$H$2:$H$12,"تفصيلي")</f>
        <v>0</v>
      </c>
      <c r="H47" s="5" t="n">
        <f aca="false">F47-G47</f>
        <v>0</v>
      </c>
      <c r="I47" s="5" t="str">
        <f aca="false">IF($B47&gt;"2026-08-01","لا توجد بيانات بعد",IF(AND(D47=0,F47=0),"بدون نشاط","نشِط"))</f>
        <v>لا توجد بيانات بعد</v>
      </c>
    </row>
    <row r="48" customFormat="false" ht="15" hidden="false" customHeight="false" outlineLevel="0" collapsed="false">
      <c r="A48" s="12" t="s">
        <v>49</v>
      </c>
      <c r="B48" s="12" t="s">
        <v>59</v>
      </c>
      <c r="C48" s="13" t="s">
        <v>18</v>
      </c>
      <c r="D48" s="12" t="n">
        <f aca="false">COUNTIFS('تفاصيل الفرص'!$B$2:$B$9,$B48,'تفاصيل الفرص'!$D$2:$D$9,$C48)</f>
        <v>0</v>
      </c>
      <c r="E48" s="12" t="n">
        <f aca="false">COUNTIFS('تفاصيل الفرص'!$B$2:$B$9,$B48,'تفاصيل الفرص'!$D$2:$D$9,$C48,'تفاصيل الفرص'!$X$2:$X$9,0)</f>
        <v>0</v>
      </c>
      <c r="F48" s="12" t="n">
        <f aca="false">COUNTIFS('سجل الأكشنات'!$B$2:$B$12,$B48,'سجل الأكشنات'!$D$2:$D$12,$C48)</f>
        <v>0</v>
      </c>
      <c r="G48" s="12" t="n">
        <f aca="false">COUNTIFS('سجل الأكشنات'!$B$2:$B$12,$B48,'سجل الأكشنات'!$D$2:$D$12,$C48,'سجل الأكشنات'!$H$2:$H$12,"تفصيلي")</f>
        <v>0</v>
      </c>
      <c r="H48" s="12" t="n">
        <f aca="false">F48-G48</f>
        <v>0</v>
      </c>
      <c r="I48" s="12" t="str">
        <f aca="false">IF($B48&gt;"2026-08-01","لا توجد بيانات بعد",IF(AND(D48=0,F48=0),"بدون نشاط","نشِط"))</f>
        <v>لا توجد بيانات بعد</v>
      </c>
    </row>
    <row r="49" customFormat="false" ht="15" hidden="false" customHeight="false" outlineLevel="0" collapsed="false">
      <c r="A49" s="12" t="s">
        <v>49</v>
      </c>
      <c r="B49" s="12" t="s">
        <v>59</v>
      </c>
      <c r="C49" s="13" t="s">
        <v>20</v>
      </c>
      <c r="D49" s="12" t="n">
        <f aca="false">COUNTIFS('تفاصيل الفرص'!$B$2:$B$9,$B49,'تفاصيل الفرص'!$D$2:$D$9,$C49)</f>
        <v>0</v>
      </c>
      <c r="E49" s="12" t="n">
        <f aca="false">COUNTIFS('تفاصيل الفرص'!$B$2:$B$9,$B49,'تفاصيل الفرص'!$D$2:$D$9,$C49,'تفاصيل الفرص'!$X$2:$X$9,0)</f>
        <v>0</v>
      </c>
      <c r="F49" s="12" t="n">
        <f aca="false">COUNTIFS('سجل الأكشنات'!$B$2:$B$12,$B49,'سجل الأكشنات'!$D$2:$D$12,$C49)</f>
        <v>0</v>
      </c>
      <c r="G49" s="12" t="n">
        <f aca="false">COUNTIFS('سجل الأكشنات'!$B$2:$B$12,$B49,'سجل الأكشنات'!$D$2:$D$12,$C49,'سجل الأكشنات'!$H$2:$H$12,"تفصيلي")</f>
        <v>0</v>
      </c>
      <c r="H49" s="12" t="n">
        <f aca="false">F49-G49</f>
        <v>0</v>
      </c>
      <c r="I49" s="12" t="str">
        <f aca="false">IF($B49&gt;"2026-08-01","لا توجد بيانات بعد",IF(AND(D49=0,F49=0),"بدون نشاط","نشِط"))</f>
        <v>لا توجد بيانات بعد</v>
      </c>
    </row>
    <row r="50" customFormat="false" ht="15" hidden="false" customHeight="false" outlineLevel="0" collapsed="false">
      <c r="A50" s="12" t="s">
        <v>49</v>
      </c>
      <c r="B50" s="12" t="s">
        <v>59</v>
      </c>
      <c r="C50" s="13" t="s">
        <v>22</v>
      </c>
      <c r="D50" s="12" t="n">
        <f aca="false">COUNTIFS('تفاصيل الفرص'!$B$2:$B$9,$B50,'تفاصيل الفرص'!$D$2:$D$9,$C50)</f>
        <v>0</v>
      </c>
      <c r="E50" s="12" t="n">
        <f aca="false">COUNTIFS('تفاصيل الفرص'!$B$2:$B$9,$B50,'تفاصيل الفرص'!$D$2:$D$9,$C50,'تفاصيل الفرص'!$X$2:$X$9,0)</f>
        <v>0</v>
      </c>
      <c r="F50" s="12" t="n">
        <f aca="false">COUNTIFS('سجل الأكشنات'!$B$2:$B$12,$B50,'سجل الأكشنات'!$D$2:$D$12,$C50)</f>
        <v>0</v>
      </c>
      <c r="G50" s="12" t="n">
        <f aca="false">COUNTIFS('سجل الأكشنات'!$B$2:$B$12,$B50,'سجل الأكشنات'!$D$2:$D$12,$C50,'سجل الأكشنات'!$H$2:$H$12,"تفصيلي")</f>
        <v>0</v>
      </c>
      <c r="H50" s="12" t="n">
        <f aca="false">F50-G50</f>
        <v>0</v>
      </c>
      <c r="I50" s="12" t="str">
        <f aca="false">IF($B50&gt;"2026-08-01","لا توجد بيانات بعد",IF(AND(D50=0,F50=0),"بدون نشاط","نشِط"))</f>
        <v>لا توجد بيانات بعد</v>
      </c>
    </row>
    <row r="51" customFormat="false" ht="15" hidden="false" customHeight="false" outlineLevel="0" collapsed="false">
      <c r="A51" s="12" t="s">
        <v>49</v>
      </c>
      <c r="B51" s="12" t="s">
        <v>59</v>
      </c>
      <c r="C51" s="13" t="s">
        <v>24</v>
      </c>
      <c r="D51" s="12" t="n">
        <f aca="false">COUNTIFS('تفاصيل الفرص'!$B$2:$B$9,$B51,'تفاصيل الفرص'!$D$2:$D$9,$C51)</f>
        <v>0</v>
      </c>
      <c r="E51" s="12" t="n">
        <f aca="false">COUNTIFS('تفاصيل الفرص'!$B$2:$B$9,$B51,'تفاصيل الفرص'!$D$2:$D$9,$C51,'تفاصيل الفرص'!$X$2:$X$9,0)</f>
        <v>0</v>
      </c>
      <c r="F51" s="12" t="n">
        <f aca="false">COUNTIFS('سجل الأكشنات'!$B$2:$B$12,$B51,'سجل الأكشنات'!$D$2:$D$12,$C51)</f>
        <v>0</v>
      </c>
      <c r="G51" s="12" t="n">
        <f aca="false">COUNTIFS('سجل الأكشنات'!$B$2:$B$12,$B51,'سجل الأكشنات'!$D$2:$D$12,$C51,'سجل الأكشنات'!$H$2:$H$12,"تفصيلي")</f>
        <v>0</v>
      </c>
      <c r="H51" s="12" t="n">
        <f aca="false">F51-G51</f>
        <v>0</v>
      </c>
      <c r="I51" s="12" t="str">
        <f aca="false">IF($B51&gt;"2026-08-01","لا توجد بيانات بعد",IF(AND(D51=0,F51=0),"بدون نشاط","نشِط"))</f>
        <v>لا توجد بيانات بعد</v>
      </c>
    </row>
    <row r="52" customFormat="false" ht="15" hidden="false" customHeight="false" outlineLevel="0" collapsed="false">
      <c r="A52" s="5" t="s">
        <v>51</v>
      </c>
      <c r="B52" s="5" t="s">
        <v>60</v>
      </c>
      <c r="C52" s="4" t="s">
        <v>18</v>
      </c>
      <c r="D52" s="5" t="n">
        <f aca="false">COUNTIFS('تفاصيل الفرص'!$B$2:$B$9,$B52,'تفاصيل الفرص'!$D$2:$D$9,$C52)</f>
        <v>0</v>
      </c>
      <c r="E52" s="5" t="n">
        <f aca="false">COUNTIFS('تفاصيل الفرص'!$B$2:$B$9,$B52,'تفاصيل الفرص'!$D$2:$D$9,$C52,'تفاصيل الفرص'!$X$2:$X$9,0)</f>
        <v>0</v>
      </c>
      <c r="F52" s="5" t="n">
        <f aca="false">COUNTIFS('سجل الأكشنات'!$B$2:$B$12,$B52,'سجل الأكشنات'!$D$2:$D$12,$C52)</f>
        <v>0</v>
      </c>
      <c r="G52" s="5" t="n">
        <f aca="false">COUNTIFS('سجل الأكشنات'!$B$2:$B$12,$B52,'سجل الأكشنات'!$D$2:$D$12,$C52,'سجل الأكشنات'!$H$2:$H$12,"تفصيلي")</f>
        <v>0</v>
      </c>
      <c r="H52" s="5" t="n">
        <f aca="false">F52-G52</f>
        <v>0</v>
      </c>
      <c r="I52" s="5" t="str">
        <f aca="false">IF($B52&gt;"2026-08-01","لا توجد بيانات بعد",IF(AND(D52=0,F52=0),"بدون نشاط","نشِط"))</f>
        <v>لا توجد بيانات بعد</v>
      </c>
    </row>
    <row r="53" customFormat="false" ht="15" hidden="false" customHeight="false" outlineLevel="0" collapsed="false">
      <c r="A53" s="5" t="s">
        <v>51</v>
      </c>
      <c r="B53" s="5" t="s">
        <v>60</v>
      </c>
      <c r="C53" s="4" t="s">
        <v>20</v>
      </c>
      <c r="D53" s="5" t="n">
        <f aca="false">COUNTIFS('تفاصيل الفرص'!$B$2:$B$9,$B53,'تفاصيل الفرص'!$D$2:$D$9,$C53)</f>
        <v>0</v>
      </c>
      <c r="E53" s="5" t="n">
        <f aca="false">COUNTIFS('تفاصيل الفرص'!$B$2:$B$9,$B53,'تفاصيل الفرص'!$D$2:$D$9,$C53,'تفاصيل الفرص'!$X$2:$X$9,0)</f>
        <v>0</v>
      </c>
      <c r="F53" s="5" t="n">
        <f aca="false">COUNTIFS('سجل الأكشنات'!$B$2:$B$12,$B53,'سجل الأكشنات'!$D$2:$D$12,$C53)</f>
        <v>0</v>
      </c>
      <c r="G53" s="5" t="n">
        <f aca="false">COUNTIFS('سجل الأكشنات'!$B$2:$B$12,$B53,'سجل الأكشنات'!$D$2:$D$12,$C53,'سجل الأكشنات'!$H$2:$H$12,"تفصيلي")</f>
        <v>0</v>
      </c>
      <c r="H53" s="5" t="n">
        <f aca="false">F53-G53</f>
        <v>0</v>
      </c>
      <c r="I53" s="5" t="str">
        <f aca="false">IF($B53&gt;"2026-08-01","لا توجد بيانات بعد",IF(AND(D53=0,F53=0),"بدون نشاط","نشِط"))</f>
        <v>لا توجد بيانات بعد</v>
      </c>
    </row>
    <row r="54" customFormat="false" ht="15" hidden="false" customHeight="false" outlineLevel="0" collapsed="false">
      <c r="A54" s="5" t="s">
        <v>51</v>
      </c>
      <c r="B54" s="5" t="s">
        <v>60</v>
      </c>
      <c r="C54" s="4" t="s">
        <v>22</v>
      </c>
      <c r="D54" s="5" t="n">
        <f aca="false">COUNTIFS('تفاصيل الفرص'!$B$2:$B$9,$B54,'تفاصيل الفرص'!$D$2:$D$9,$C54)</f>
        <v>0</v>
      </c>
      <c r="E54" s="5" t="n">
        <f aca="false">COUNTIFS('تفاصيل الفرص'!$B$2:$B$9,$B54,'تفاصيل الفرص'!$D$2:$D$9,$C54,'تفاصيل الفرص'!$X$2:$X$9,0)</f>
        <v>0</v>
      </c>
      <c r="F54" s="5" t="n">
        <f aca="false">COUNTIFS('سجل الأكشنات'!$B$2:$B$12,$B54,'سجل الأكشنات'!$D$2:$D$12,$C54)</f>
        <v>0</v>
      </c>
      <c r="G54" s="5" t="n">
        <f aca="false">COUNTIFS('سجل الأكشنات'!$B$2:$B$12,$B54,'سجل الأكشنات'!$D$2:$D$12,$C54,'سجل الأكشنات'!$H$2:$H$12,"تفصيلي")</f>
        <v>0</v>
      </c>
      <c r="H54" s="5" t="n">
        <f aca="false">F54-G54</f>
        <v>0</v>
      </c>
      <c r="I54" s="5" t="str">
        <f aca="false">IF($B54&gt;"2026-08-01","لا توجد بيانات بعد",IF(AND(D54=0,F54=0),"بدون نشاط","نشِط"))</f>
        <v>لا توجد بيانات بعد</v>
      </c>
    </row>
    <row r="55" customFormat="false" ht="15" hidden="false" customHeight="false" outlineLevel="0" collapsed="false">
      <c r="A55" s="5" t="s">
        <v>51</v>
      </c>
      <c r="B55" s="5" t="s">
        <v>60</v>
      </c>
      <c r="C55" s="4" t="s">
        <v>24</v>
      </c>
      <c r="D55" s="5" t="n">
        <f aca="false">COUNTIFS('تفاصيل الفرص'!$B$2:$B$9,$B55,'تفاصيل الفرص'!$D$2:$D$9,$C55)</f>
        <v>0</v>
      </c>
      <c r="E55" s="5" t="n">
        <f aca="false">COUNTIFS('تفاصيل الفرص'!$B$2:$B$9,$B55,'تفاصيل الفرص'!$D$2:$D$9,$C55,'تفاصيل الفرص'!$X$2:$X$9,0)</f>
        <v>0</v>
      </c>
      <c r="F55" s="5" t="n">
        <f aca="false">COUNTIFS('سجل الأكشنات'!$B$2:$B$12,$B55,'سجل الأكشنات'!$D$2:$D$12,$C55)</f>
        <v>0</v>
      </c>
      <c r="G55" s="5" t="n">
        <f aca="false">COUNTIFS('سجل الأكشنات'!$B$2:$B$12,$B55,'سجل الأكشنات'!$D$2:$D$12,$C55,'سجل الأكشنات'!$H$2:$H$12,"تفصيلي")</f>
        <v>0</v>
      </c>
      <c r="H55" s="5" t="n">
        <f aca="false">F55-G55</f>
        <v>0</v>
      </c>
      <c r="I55" s="5" t="str">
        <f aca="false">IF($B55&gt;"2026-08-01","لا توجد بيانات بعد",IF(AND(D55=0,F55=0),"بدون نشاط","نشِط"))</f>
        <v>لا توجد بيانات بعد</v>
      </c>
    </row>
    <row r="56" customFormat="false" ht="15" hidden="false" customHeight="false" outlineLevel="0" collapsed="false">
      <c r="A56" s="12" t="s">
        <v>53</v>
      </c>
      <c r="B56" s="12" t="s">
        <v>61</v>
      </c>
      <c r="C56" s="13" t="s">
        <v>18</v>
      </c>
      <c r="D56" s="12" t="n">
        <f aca="false">COUNTIFS('تفاصيل الفرص'!$B$2:$B$9,$B56,'تفاصيل الفرص'!$D$2:$D$9,$C56)</f>
        <v>0</v>
      </c>
      <c r="E56" s="12" t="n">
        <f aca="false">COUNTIFS('تفاصيل الفرص'!$B$2:$B$9,$B56,'تفاصيل الفرص'!$D$2:$D$9,$C56,'تفاصيل الفرص'!$X$2:$X$9,0)</f>
        <v>0</v>
      </c>
      <c r="F56" s="12" t="n">
        <f aca="false">COUNTIFS('سجل الأكشنات'!$B$2:$B$12,$B56,'سجل الأكشنات'!$D$2:$D$12,$C56)</f>
        <v>0</v>
      </c>
      <c r="G56" s="12" t="n">
        <f aca="false">COUNTIFS('سجل الأكشنات'!$B$2:$B$12,$B56,'سجل الأكشنات'!$D$2:$D$12,$C56,'سجل الأكشنات'!$H$2:$H$12,"تفصيلي")</f>
        <v>0</v>
      </c>
      <c r="H56" s="12" t="n">
        <f aca="false">F56-G56</f>
        <v>0</v>
      </c>
      <c r="I56" s="12" t="str">
        <f aca="false">IF($B56&gt;"2026-08-01","لا توجد بيانات بعد",IF(AND(D56=0,F56=0),"بدون نشاط","نشِط"))</f>
        <v>لا توجد بيانات بعد</v>
      </c>
    </row>
    <row r="57" customFormat="false" ht="15" hidden="false" customHeight="false" outlineLevel="0" collapsed="false">
      <c r="A57" s="12" t="s">
        <v>53</v>
      </c>
      <c r="B57" s="12" t="s">
        <v>61</v>
      </c>
      <c r="C57" s="13" t="s">
        <v>20</v>
      </c>
      <c r="D57" s="12" t="n">
        <f aca="false">COUNTIFS('تفاصيل الفرص'!$B$2:$B$9,$B57,'تفاصيل الفرص'!$D$2:$D$9,$C57)</f>
        <v>0</v>
      </c>
      <c r="E57" s="12" t="n">
        <f aca="false">COUNTIFS('تفاصيل الفرص'!$B$2:$B$9,$B57,'تفاصيل الفرص'!$D$2:$D$9,$C57,'تفاصيل الفرص'!$X$2:$X$9,0)</f>
        <v>0</v>
      </c>
      <c r="F57" s="12" t="n">
        <f aca="false">COUNTIFS('سجل الأكشنات'!$B$2:$B$12,$B57,'سجل الأكشنات'!$D$2:$D$12,$C57)</f>
        <v>0</v>
      </c>
      <c r="G57" s="12" t="n">
        <f aca="false">COUNTIFS('سجل الأكشنات'!$B$2:$B$12,$B57,'سجل الأكشنات'!$D$2:$D$12,$C57,'سجل الأكشنات'!$H$2:$H$12,"تفصيلي")</f>
        <v>0</v>
      </c>
      <c r="H57" s="12" t="n">
        <f aca="false">F57-G57</f>
        <v>0</v>
      </c>
      <c r="I57" s="12" t="str">
        <f aca="false">IF($B57&gt;"2026-08-01","لا توجد بيانات بعد",IF(AND(D57=0,F57=0),"بدون نشاط","نشِط"))</f>
        <v>لا توجد بيانات بعد</v>
      </c>
    </row>
    <row r="58" customFormat="false" ht="15" hidden="false" customHeight="false" outlineLevel="0" collapsed="false">
      <c r="A58" s="12" t="s">
        <v>53</v>
      </c>
      <c r="B58" s="12" t="s">
        <v>61</v>
      </c>
      <c r="C58" s="13" t="s">
        <v>22</v>
      </c>
      <c r="D58" s="12" t="n">
        <f aca="false">COUNTIFS('تفاصيل الفرص'!$B$2:$B$9,$B58,'تفاصيل الفرص'!$D$2:$D$9,$C58)</f>
        <v>0</v>
      </c>
      <c r="E58" s="12" t="n">
        <f aca="false">COUNTIFS('تفاصيل الفرص'!$B$2:$B$9,$B58,'تفاصيل الفرص'!$D$2:$D$9,$C58,'تفاصيل الفرص'!$X$2:$X$9,0)</f>
        <v>0</v>
      </c>
      <c r="F58" s="12" t="n">
        <f aca="false">COUNTIFS('سجل الأكشنات'!$B$2:$B$12,$B58,'سجل الأكشنات'!$D$2:$D$12,$C58)</f>
        <v>0</v>
      </c>
      <c r="G58" s="12" t="n">
        <f aca="false">COUNTIFS('سجل الأكشنات'!$B$2:$B$12,$B58,'سجل الأكشنات'!$D$2:$D$12,$C58,'سجل الأكشنات'!$H$2:$H$12,"تفصيلي")</f>
        <v>0</v>
      </c>
      <c r="H58" s="12" t="n">
        <f aca="false">F58-G58</f>
        <v>0</v>
      </c>
      <c r="I58" s="12" t="str">
        <f aca="false">IF($B58&gt;"2026-08-01","لا توجد بيانات بعد",IF(AND(D58=0,F58=0),"بدون نشاط","نشِط"))</f>
        <v>لا توجد بيانات بعد</v>
      </c>
    </row>
    <row r="59" customFormat="false" ht="15" hidden="false" customHeight="false" outlineLevel="0" collapsed="false">
      <c r="A59" s="12" t="s">
        <v>53</v>
      </c>
      <c r="B59" s="12" t="s">
        <v>61</v>
      </c>
      <c r="C59" s="13" t="s">
        <v>24</v>
      </c>
      <c r="D59" s="12" t="n">
        <f aca="false">COUNTIFS('تفاصيل الفرص'!$B$2:$B$9,$B59,'تفاصيل الفرص'!$D$2:$D$9,$C59)</f>
        <v>0</v>
      </c>
      <c r="E59" s="12" t="n">
        <f aca="false">COUNTIFS('تفاصيل الفرص'!$B$2:$B$9,$B59,'تفاصيل الفرص'!$D$2:$D$9,$C59,'تفاصيل الفرص'!$X$2:$X$9,0)</f>
        <v>0</v>
      </c>
      <c r="F59" s="12" t="n">
        <f aca="false">COUNTIFS('سجل الأكشنات'!$B$2:$B$12,$B59,'سجل الأكشنات'!$D$2:$D$12,$C59)</f>
        <v>0</v>
      </c>
      <c r="G59" s="12" t="n">
        <f aca="false">COUNTIFS('سجل الأكشنات'!$B$2:$B$12,$B59,'سجل الأكشنات'!$D$2:$D$12,$C59,'سجل الأكشنات'!$H$2:$H$12,"تفصيلي")</f>
        <v>0</v>
      </c>
      <c r="H59" s="12" t="n">
        <f aca="false">F59-G59</f>
        <v>0</v>
      </c>
      <c r="I59" s="12" t="str">
        <f aca="false">IF($B59&gt;"2026-08-01","لا توجد بيانات بعد",IF(AND(D59=0,F59=0),"بدون نشاط","نشِط"))</f>
        <v>لا توجد بيانات بعد</v>
      </c>
    </row>
    <row r="60" customFormat="false" ht="15" hidden="false" customHeight="false" outlineLevel="0" collapsed="false">
      <c r="A60" s="5" t="s">
        <v>41</v>
      </c>
      <c r="B60" s="5" t="s">
        <v>62</v>
      </c>
      <c r="C60" s="4" t="s">
        <v>18</v>
      </c>
      <c r="D60" s="5" t="n">
        <f aca="false">COUNTIFS('تفاصيل الفرص'!$B$2:$B$9,$B60,'تفاصيل الفرص'!$D$2:$D$9,$C60)</f>
        <v>0</v>
      </c>
      <c r="E60" s="5" t="n">
        <f aca="false">COUNTIFS('تفاصيل الفرص'!$B$2:$B$9,$B60,'تفاصيل الفرص'!$D$2:$D$9,$C60,'تفاصيل الفرص'!$X$2:$X$9,0)</f>
        <v>0</v>
      </c>
      <c r="F60" s="5" t="n">
        <f aca="false">COUNTIFS('سجل الأكشنات'!$B$2:$B$12,$B60,'سجل الأكشنات'!$D$2:$D$12,$C60)</f>
        <v>0</v>
      </c>
      <c r="G60" s="5" t="n">
        <f aca="false">COUNTIFS('سجل الأكشنات'!$B$2:$B$12,$B60,'سجل الأكشنات'!$D$2:$D$12,$C60,'سجل الأكشنات'!$H$2:$H$12,"تفصيلي")</f>
        <v>0</v>
      </c>
      <c r="H60" s="5" t="n">
        <f aca="false">F60-G60</f>
        <v>0</v>
      </c>
      <c r="I60" s="5" t="str">
        <f aca="false">IF($B60&gt;"2026-08-01","لا توجد بيانات بعد",IF(AND(D60=0,F60=0),"بدون نشاط","نشِط"))</f>
        <v>لا توجد بيانات بعد</v>
      </c>
    </row>
    <row r="61" customFormat="false" ht="15" hidden="false" customHeight="false" outlineLevel="0" collapsed="false">
      <c r="A61" s="5" t="s">
        <v>41</v>
      </c>
      <c r="B61" s="5" t="s">
        <v>62</v>
      </c>
      <c r="C61" s="4" t="s">
        <v>20</v>
      </c>
      <c r="D61" s="5" t="n">
        <f aca="false">COUNTIFS('تفاصيل الفرص'!$B$2:$B$9,$B61,'تفاصيل الفرص'!$D$2:$D$9,$C61)</f>
        <v>0</v>
      </c>
      <c r="E61" s="5" t="n">
        <f aca="false">COUNTIFS('تفاصيل الفرص'!$B$2:$B$9,$B61,'تفاصيل الفرص'!$D$2:$D$9,$C61,'تفاصيل الفرص'!$X$2:$X$9,0)</f>
        <v>0</v>
      </c>
      <c r="F61" s="5" t="n">
        <f aca="false">COUNTIFS('سجل الأكشنات'!$B$2:$B$12,$B61,'سجل الأكشنات'!$D$2:$D$12,$C61)</f>
        <v>0</v>
      </c>
      <c r="G61" s="5" t="n">
        <f aca="false">COUNTIFS('سجل الأكشنات'!$B$2:$B$12,$B61,'سجل الأكشنات'!$D$2:$D$12,$C61,'سجل الأكشنات'!$H$2:$H$12,"تفصيلي")</f>
        <v>0</v>
      </c>
      <c r="H61" s="5" t="n">
        <f aca="false">F61-G61</f>
        <v>0</v>
      </c>
      <c r="I61" s="5" t="str">
        <f aca="false">IF($B61&gt;"2026-08-01","لا توجد بيانات بعد",IF(AND(D61=0,F61=0),"بدون نشاط","نشِط"))</f>
        <v>لا توجد بيانات بعد</v>
      </c>
    </row>
    <row r="62" customFormat="false" ht="15" hidden="false" customHeight="false" outlineLevel="0" collapsed="false">
      <c r="A62" s="5" t="s">
        <v>41</v>
      </c>
      <c r="B62" s="5" t="s">
        <v>62</v>
      </c>
      <c r="C62" s="4" t="s">
        <v>22</v>
      </c>
      <c r="D62" s="5" t="n">
        <f aca="false">COUNTIFS('تفاصيل الفرص'!$B$2:$B$9,$B62,'تفاصيل الفرص'!$D$2:$D$9,$C62)</f>
        <v>0</v>
      </c>
      <c r="E62" s="5" t="n">
        <f aca="false">COUNTIFS('تفاصيل الفرص'!$B$2:$B$9,$B62,'تفاصيل الفرص'!$D$2:$D$9,$C62,'تفاصيل الفرص'!$X$2:$X$9,0)</f>
        <v>0</v>
      </c>
      <c r="F62" s="5" t="n">
        <f aca="false">COUNTIFS('سجل الأكشنات'!$B$2:$B$12,$B62,'سجل الأكشنات'!$D$2:$D$12,$C62)</f>
        <v>0</v>
      </c>
      <c r="G62" s="5" t="n">
        <f aca="false">COUNTIFS('سجل الأكشنات'!$B$2:$B$12,$B62,'سجل الأكشنات'!$D$2:$D$12,$C62,'سجل الأكشنات'!$H$2:$H$12,"تفصيلي")</f>
        <v>0</v>
      </c>
      <c r="H62" s="5" t="n">
        <f aca="false">F62-G62</f>
        <v>0</v>
      </c>
      <c r="I62" s="5" t="str">
        <f aca="false">IF($B62&gt;"2026-08-01","لا توجد بيانات بعد",IF(AND(D62=0,F62=0),"بدون نشاط","نشِط"))</f>
        <v>لا توجد بيانات بعد</v>
      </c>
    </row>
    <row r="63" customFormat="false" ht="15" hidden="false" customHeight="false" outlineLevel="0" collapsed="false">
      <c r="A63" s="5" t="s">
        <v>41</v>
      </c>
      <c r="B63" s="5" t="s">
        <v>62</v>
      </c>
      <c r="C63" s="4" t="s">
        <v>24</v>
      </c>
      <c r="D63" s="5" t="n">
        <f aca="false">COUNTIFS('تفاصيل الفرص'!$B$2:$B$9,$B63,'تفاصيل الفرص'!$D$2:$D$9,$C63)</f>
        <v>0</v>
      </c>
      <c r="E63" s="5" t="n">
        <f aca="false">COUNTIFS('تفاصيل الفرص'!$B$2:$B$9,$B63,'تفاصيل الفرص'!$D$2:$D$9,$C63,'تفاصيل الفرص'!$X$2:$X$9,0)</f>
        <v>0</v>
      </c>
      <c r="F63" s="5" t="n">
        <f aca="false">COUNTIFS('سجل الأكشنات'!$B$2:$B$12,$B63,'سجل الأكشنات'!$D$2:$D$12,$C63)</f>
        <v>0</v>
      </c>
      <c r="G63" s="5" t="n">
        <f aca="false">COUNTIFS('سجل الأكشنات'!$B$2:$B$12,$B63,'سجل الأكشنات'!$D$2:$D$12,$C63,'سجل الأكشنات'!$H$2:$H$12,"تفصيلي")</f>
        <v>0</v>
      </c>
      <c r="H63" s="5" t="n">
        <f aca="false">F63-G63</f>
        <v>0</v>
      </c>
      <c r="I63" s="5" t="str">
        <f aca="false">IF($B63&gt;"2026-08-01","لا توجد بيانات بعد",IF(AND(D63=0,F63=0),"بدون نشاط","نشِط"))</f>
        <v>لا توجد بيانات بعد</v>
      </c>
    </row>
    <row r="64" customFormat="false" ht="15" hidden="false" customHeight="false" outlineLevel="0" collapsed="false">
      <c r="A64" s="12" t="s">
        <v>43</v>
      </c>
      <c r="B64" s="12" t="s">
        <v>63</v>
      </c>
      <c r="C64" s="13" t="s">
        <v>18</v>
      </c>
      <c r="D64" s="12" t="n">
        <f aca="false">COUNTIFS('تفاصيل الفرص'!$B$2:$B$9,$B64,'تفاصيل الفرص'!$D$2:$D$9,$C64)</f>
        <v>0</v>
      </c>
      <c r="E64" s="12" t="n">
        <f aca="false">COUNTIFS('تفاصيل الفرص'!$B$2:$B$9,$B64,'تفاصيل الفرص'!$D$2:$D$9,$C64,'تفاصيل الفرص'!$X$2:$X$9,0)</f>
        <v>0</v>
      </c>
      <c r="F64" s="12" t="n">
        <f aca="false">COUNTIFS('سجل الأكشنات'!$B$2:$B$12,$B64,'سجل الأكشنات'!$D$2:$D$12,$C64)</f>
        <v>0</v>
      </c>
      <c r="G64" s="12" t="n">
        <f aca="false">COUNTIFS('سجل الأكشنات'!$B$2:$B$12,$B64,'سجل الأكشنات'!$D$2:$D$12,$C64,'سجل الأكشنات'!$H$2:$H$12,"تفصيلي")</f>
        <v>0</v>
      </c>
      <c r="H64" s="12" t="n">
        <f aca="false">F64-G64</f>
        <v>0</v>
      </c>
      <c r="I64" s="12" t="str">
        <f aca="false">IF($B64&gt;"2026-08-01","لا توجد بيانات بعد",IF(AND(D64=0,F64=0),"بدون نشاط","نشِط"))</f>
        <v>لا توجد بيانات بعد</v>
      </c>
    </row>
    <row r="65" customFormat="false" ht="15" hidden="false" customHeight="false" outlineLevel="0" collapsed="false">
      <c r="A65" s="12" t="s">
        <v>43</v>
      </c>
      <c r="B65" s="12" t="s">
        <v>63</v>
      </c>
      <c r="C65" s="13" t="s">
        <v>20</v>
      </c>
      <c r="D65" s="12" t="n">
        <f aca="false">COUNTIFS('تفاصيل الفرص'!$B$2:$B$9,$B65,'تفاصيل الفرص'!$D$2:$D$9,$C65)</f>
        <v>0</v>
      </c>
      <c r="E65" s="12" t="n">
        <f aca="false">COUNTIFS('تفاصيل الفرص'!$B$2:$B$9,$B65,'تفاصيل الفرص'!$D$2:$D$9,$C65,'تفاصيل الفرص'!$X$2:$X$9,0)</f>
        <v>0</v>
      </c>
      <c r="F65" s="12" t="n">
        <f aca="false">COUNTIFS('سجل الأكشنات'!$B$2:$B$12,$B65,'سجل الأكشنات'!$D$2:$D$12,$C65)</f>
        <v>0</v>
      </c>
      <c r="G65" s="12" t="n">
        <f aca="false">COUNTIFS('سجل الأكشنات'!$B$2:$B$12,$B65,'سجل الأكشنات'!$D$2:$D$12,$C65,'سجل الأكشنات'!$H$2:$H$12,"تفصيلي")</f>
        <v>0</v>
      </c>
      <c r="H65" s="12" t="n">
        <f aca="false">F65-G65</f>
        <v>0</v>
      </c>
      <c r="I65" s="12" t="str">
        <f aca="false">IF($B65&gt;"2026-08-01","لا توجد بيانات بعد",IF(AND(D65=0,F65=0),"بدون نشاط","نشِط"))</f>
        <v>لا توجد بيانات بعد</v>
      </c>
    </row>
    <row r="66" customFormat="false" ht="15" hidden="false" customHeight="false" outlineLevel="0" collapsed="false">
      <c r="A66" s="12" t="s">
        <v>43</v>
      </c>
      <c r="B66" s="12" t="s">
        <v>63</v>
      </c>
      <c r="C66" s="13" t="s">
        <v>22</v>
      </c>
      <c r="D66" s="12" t="n">
        <f aca="false">COUNTIFS('تفاصيل الفرص'!$B$2:$B$9,$B66,'تفاصيل الفرص'!$D$2:$D$9,$C66)</f>
        <v>0</v>
      </c>
      <c r="E66" s="12" t="n">
        <f aca="false">COUNTIFS('تفاصيل الفرص'!$B$2:$B$9,$B66,'تفاصيل الفرص'!$D$2:$D$9,$C66,'تفاصيل الفرص'!$X$2:$X$9,0)</f>
        <v>0</v>
      </c>
      <c r="F66" s="12" t="n">
        <f aca="false">COUNTIFS('سجل الأكشنات'!$B$2:$B$12,$B66,'سجل الأكشنات'!$D$2:$D$12,$C66)</f>
        <v>0</v>
      </c>
      <c r="G66" s="12" t="n">
        <f aca="false">COUNTIFS('سجل الأكشنات'!$B$2:$B$12,$B66,'سجل الأكشنات'!$D$2:$D$12,$C66,'سجل الأكشنات'!$H$2:$H$12,"تفصيلي")</f>
        <v>0</v>
      </c>
      <c r="H66" s="12" t="n">
        <f aca="false">F66-G66</f>
        <v>0</v>
      </c>
      <c r="I66" s="12" t="str">
        <f aca="false">IF($B66&gt;"2026-08-01","لا توجد بيانات بعد",IF(AND(D66=0,F66=0),"بدون نشاط","نشِط"))</f>
        <v>لا توجد بيانات بعد</v>
      </c>
    </row>
    <row r="67" customFormat="false" ht="15" hidden="false" customHeight="false" outlineLevel="0" collapsed="false">
      <c r="A67" s="12" t="s">
        <v>43</v>
      </c>
      <c r="B67" s="12" t="s">
        <v>63</v>
      </c>
      <c r="C67" s="13" t="s">
        <v>24</v>
      </c>
      <c r="D67" s="12" t="n">
        <f aca="false">COUNTIFS('تفاصيل الفرص'!$B$2:$B$9,$B67,'تفاصيل الفرص'!$D$2:$D$9,$C67)</f>
        <v>0</v>
      </c>
      <c r="E67" s="12" t="n">
        <f aca="false">COUNTIFS('تفاصيل الفرص'!$B$2:$B$9,$B67,'تفاصيل الفرص'!$D$2:$D$9,$C67,'تفاصيل الفرص'!$X$2:$X$9,0)</f>
        <v>0</v>
      </c>
      <c r="F67" s="12" t="n">
        <f aca="false">COUNTIFS('سجل الأكشنات'!$B$2:$B$12,$B67,'سجل الأكشنات'!$D$2:$D$12,$C67)</f>
        <v>0</v>
      </c>
      <c r="G67" s="12" t="n">
        <f aca="false">COUNTIFS('سجل الأكشنات'!$B$2:$B$12,$B67,'سجل الأكشنات'!$D$2:$D$12,$C67,'سجل الأكشنات'!$H$2:$H$12,"تفصيلي")</f>
        <v>0</v>
      </c>
      <c r="H67" s="12" t="n">
        <f aca="false">F67-G67</f>
        <v>0</v>
      </c>
      <c r="I67" s="12" t="str">
        <f aca="false">IF($B67&gt;"2026-08-01","لا توجد بيانات بعد",IF(AND(D67=0,F67=0),"بدون نشاط","نشِط"))</f>
        <v>لا توجد بيانات بعد</v>
      </c>
    </row>
    <row r="68" customFormat="false" ht="15" hidden="false" customHeight="false" outlineLevel="0" collapsed="false">
      <c r="A68" s="5" t="s">
        <v>45</v>
      </c>
      <c r="B68" s="5" t="s">
        <v>64</v>
      </c>
      <c r="C68" s="4" t="s">
        <v>18</v>
      </c>
      <c r="D68" s="5" t="n">
        <f aca="false">COUNTIFS('تفاصيل الفرص'!$B$2:$B$9,$B68,'تفاصيل الفرص'!$D$2:$D$9,$C68)</f>
        <v>0</v>
      </c>
      <c r="E68" s="5" t="n">
        <f aca="false">COUNTIFS('تفاصيل الفرص'!$B$2:$B$9,$B68,'تفاصيل الفرص'!$D$2:$D$9,$C68,'تفاصيل الفرص'!$X$2:$X$9,0)</f>
        <v>0</v>
      </c>
      <c r="F68" s="5" t="n">
        <f aca="false">COUNTIFS('سجل الأكشنات'!$B$2:$B$12,$B68,'سجل الأكشنات'!$D$2:$D$12,$C68)</f>
        <v>0</v>
      </c>
      <c r="G68" s="5" t="n">
        <f aca="false">COUNTIFS('سجل الأكشنات'!$B$2:$B$12,$B68,'سجل الأكشنات'!$D$2:$D$12,$C68,'سجل الأكشنات'!$H$2:$H$12,"تفصيلي")</f>
        <v>0</v>
      </c>
      <c r="H68" s="5" t="n">
        <f aca="false">F68-G68</f>
        <v>0</v>
      </c>
      <c r="I68" s="5" t="str">
        <f aca="false">IF($B68&gt;"2026-08-01","لا توجد بيانات بعد",IF(AND(D68=0,F68=0),"بدون نشاط","نشِط"))</f>
        <v>لا توجد بيانات بعد</v>
      </c>
    </row>
    <row r="69" customFormat="false" ht="15" hidden="false" customHeight="false" outlineLevel="0" collapsed="false">
      <c r="A69" s="5" t="s">
        <v>45</v>
      </c>
      <c r="B69" s="5" t="s">
        <v>64</v>
      </c>
      <c r="C69" s="4" t="s">
        <v>20</v>
      </c>
      <c r="D69" s="5" t="n">
        <f aca="false">COUNTIFS('تفاصيل الفرص'!$B$2:$B$9,$B69,'تفاصيل الفرص'!$D$2:$D$9,$C69)</f>
        <v>0</v>
      </c>
      <c r="E69" s="5" t="n">
        <f aca="false">COUNTIFS('تفاصيل الفرص'!$B$2:$B$9,$B69,'تفاصيل الفرص'!$D$2:$D$9,$C69,'تفاصيل الفرص'!$X$2:$X$9,0)</f>
        <v>0</v>
      </c>
      <c r="F69" s="5" t="n">
        <f aca="false">COUNTIFS('سجل الأكشنات'!$B$2:$B$12,$B69,'سجل الأكشنات'!$D$2:$D$12,$C69)</f>
        <v>0</v>
      </c>
      <c r="G69" s="5" t="n">
        <f aca="false">COUNTIFS('سجل الأكشنات'!$B$2:$B$12,$B69,'سجل الأكشنات'!$D$2:$D$12,$C69,'سجل الأكشنات'!$H$2:$H$12,"تفصيلي")</f>
        <v>0</v>
      </c>
      <c r="H69" s="5" t="n">
        <f aca="false">F69-G69</f>
        <v>0</v>
      </c>
      <c r="I69" s="5" t="str">
        <f aca="false">IF($B69&gt;"2026-08-01","لا توجد بيانات بعد",IF(AND(D69=0,F69=0),"بدون نشاط","نشِط"))</f>
        <v>لا توجد بيانات بعد</v>
      </c>
    </row>
    <row r="70" customFormat="false" ht="15" hidden="false" customHeight="false" outlineLevel="0" collapsed="false">
      <c r="A70" s="5" t="s">
        <v>45</v>
      </c>
      <c r="B70" s="5" t="s">
        <v>64</v>
      </c>
      <c r="C70" s="4" t="s">
        <v>22</v>
      </c>
      <c r="D70" s="5" t="n">
        <f aca="false">COUNTIFS('تفاصيل الفرص'!$B$2:$B$9,$B70,'تفاصيل الفرص'!$D$2:$D$9,$C70)</f>
        <v>0</v>
      </c>
      <c r="E70" s="5" t="n">
        <f aca="false">COUNTIFS('تفاصيل الفرص'!$B$2:$B$9,$B70,'تفاصيل الفرص'!$D$2:$D$9,$C70,'تفاصيل الفرص'!$X$2:$X$9,0)</f>
        <v>0</v>
      </c>
      <c r="F70" s="5" t="n">
        <f aca="false">COUNTIFS('سجل الأكشنات'!$B$2:$B$12,$B70,'سجل الأكشنات'!$D$2:$D$12,$C70)</f>
        <v>0</v>
      </c>
      <c r="G70" s="5" t="n">
        <f aca="false">COUNTIFS('سجل الأكشنات'!$B$2:$B$12,$B70,'سجل الأكشنات'!$D$2:$D$12,$C70,'سجل الأكشنات'!$H$2:$H$12,"تفصيلي")</f>
        <v>0</v>
      </c>
      <c r="H70" s="5" t="n">
        <f aca="false">F70-G70</f>
        <v>0</v>
      </c>
      <c r="I70" s="5" t="str">
        <f aca="false">IF($B70&gt;"2026-08-01","لا توجد بيانات بعد",IF(AND(D70=0,F70=0),"بدون نشاط","نشِط"))</f>
        <v>لا توجد بيانات بعد</v>
      </c>
    </row>
    <row r="71" customFormat="false" ht="15" hidden="false" customHeight="false" outlineLevel="0" collapsed="false">
      <c r="A71" s="5" t="s">
        <v>45</v>
      </c>
      <c r="B71" s="5" t="s">
        <v>64</v>
      </c>
      <c r="C71" s="4" t="s">
        <v>24</v>
      </c>
      <c r="D71" s="5" t="n">
        <f aca="false">COUNTIFS('تفاصيل الفرص'!$B$2:$B$9,$B71,'تفاصيل الفرص'!$D$2:$D$9,$C71)</f>
        <v>0</v>
      </c>
      <c r="E71" s="5" t="n">
        <f aca="false">COUNTIFS('تفاصيل الفرص'!$B$2:$B$9,$B71,'تفاصيل الفرص'!$D$2:$D$9,$C71,'تفاصيل الفرص'!$X$2:$X$9,0)</f>
        <v>0</v>
      </c>
      <c r="F71" s="5" t="n">
        <f aca="false">COUNTIFS('سجل الأكشنات'!$B$2:$B$12,$B71,'سجل الأكشنات'!$D$2:$D$12,$C71)</f>
        <v>0</v>
      </c>
      <c r="G71" s="5" t="n">
        <f aca="false">COUNTIFS('سجل الأكشنات'!$B$2:$B$12,$B71,'سجل الأكشنات'!$D$2:$D$12,$C71,'سجل الأكشنات'!$H$2:$H$12,"تفصيلي")</f>
        <v>0</v>
      </c>
      <c r="H71" s="5" t="n">
        <f aca="false">F71-G71</f>
        <v>0</v>
      </c>
      <c r="I71" s="5" t="str">
        <f aca="false">IF($B71&gt;"2026-08-01","لا توجد بيانات بعد",IF(AND(D71=0,F71=0),"بدون نشاط","نشِط"))</f>
        <v>لا توجد بيانات بعد</v>
      </c>
    </row>
    <row r="72" customFormat="false" ht="15" hidden="false" customHeight="false" outlineLevel="0" collapsed="false">
      <c r="A72" s="12" t="s">
        <v>47</v>
      </c>
      <c r="B72" s="12" t="s">
        <v>65</v>
      </c>
      <c r="C72" s="13" t="s">
        <v>18</v>
      </c>
      <c r="D72" s="12" t="n">
        <f aca="false">COUNTIFS('تفاصيل الفرص'!$B$2:$B$9,$B72,'تفاصيل الفرص'!$D$2:$D$9,$C72)</f>
        <v>0</v>
      </c>
      <c r="E72" s="12" t="n">
        <f aca="false">COUNTIFS('تفاصيل الفرص'!$B$2:$B$9,$B72,'تفاصيل الفرص'!$D$2:$D$9,$C72,'تفاصيل الفرص'!$X$2:$X$9,0)</f>
        <v>0</v>
      </c>
      <c r="F72" s="12" t="n">
        <f aca="false">COUNTIFS('سجل الأكشنات'!$B$2:$B$12,$B72,'سجل الأكشنات'!$D$2:$D$12,$C72)</f>
        <v>0</v>
      </c>
      <c r="G72" s="12" t="n">
        <f aca="false">COUNTIFS('سجل الأكشنات'!$B$2:$B$12,$B72,'سجل الأكشنات'!$D$2:$D$12,$C72,'سجل الأكشنات'!$H$2:$H$12,"تفصيلي")</f>
        <v>0</v>
      </c>
      <c r="H72" s="12" t="n">
        <f aca="false">F72-G72</f>
        <v>0</v>
      </c>
      <c r="I72" s="12" t="str">
        <f aca="false">IF($B72&gt;"2026-08-01","لا توجد بيانات بعد",IF(AND(D72=0,F72=0),"بدون نشاط","نشِط"))</f>
        <v>لا توجد بيانات بعد</v>
      </c>
    </row>
    <row r="73" customFormat="false" ht="15" hidden="false" customHeight="false" outlineLevel="0" collapsed="false">
      <c r="A73" s="12" t="s">
        <v>47</v>
      </c>
      <c r="B73" s="12" t="s">
        <v>65</v>
      </c>
      <c r="C73" s="13" t="s">
        <v>20</v>
      </c>
      <c r="D73" s="12" t="n">
        <f aca="false">COUNTIFS('تفاصيل الفرص'!$B$2:$B$9,$B73,'تفاصيل الفرص'!$D$2:$D$9,$C73)</f>
        <v>0</v>
      </c>
      <c r="E73" s="12" t="n">
        <f aca="false">COUNTIFS('تفاصيل الفرص'!$B$2:$B$9,$B73,'تفاصيل الفرص'!$D$2:$D$9,$C73,'تفاصيل الفرص'!$X$2:$X$9,0)</f>
        <v>0</v>
      </c>
      <c r="F73" s="12" t="n">
        <f aca="false">COUNTIFS('سجل الأكشنات'!$B$2:$B$12,$B73,'سجل الأكشنات'!$D$2:$D$12,$C73)</f>
        <v>0</v>
      </c>
      <c r="G73" s="12" t="n">
        <f aca="false">COUNTIFS('سجل الأكشنات'!$B$2:$B$12,$B73,'سجل الأكشنات'!$D$2:$D$12,$C73,'سجل الأكشنات'!$H$2:$H$12,"تفصيلي")</f>
        <v>0</v>
      </c>
      <c r="H73" s="12" t="n">
        <f aca="false">F73-G73</f>
        <v>0</v>
      </c>
      <c r="I73" s="12" t="str">
        <f aca="false">IF($B73&gt;"2026-08-01","لا توجد بيانات بعد",IF(AND(D73=0,F73=0),"بدون نشاط","نشِط"))</f>
        <v>لا توجد بيانات بعد</v>
      </c>
    </row>
    <row r="74" customFormat="false" ht="15" hidden="false" customHeight="false" outlineLevel="0" collapsed="false">
      <c r="A74" s="12" t="s">
        <v>47</v>
      </c>
      <c r="B74" s="12" t="s">
        <v>65</v>
      </c>
      <c r="C74" s="13" t="s">
        <v>22</v>
      </c>
      <c r="D74" s="12" t="n">
        <f aca="false">COUNTIFS('تفاصيل الفرص'!$B$2:$B$9,$B74,'تفاصيل الفرص'!$D$2:$D$9,$C74)</f>
        <v>0</v>
      </c>
      <c r="E74" s="12" t="n">
        <f aca="false">COUNTIFS('تفاصيل الفرص'!$B$2:$B$9,$B74,'تفاصيل الفرص'!$D$2:$D$9,$C74,'تفاصيل الفرص'!$X$2:$X$9,0)</f>
        <v>0</v>
      </c>
      <c r="F74" s="12" t="n">
        <f aca="false">COUNTIFS('سجل الأكشنات'!$B$2:$B$12,$B74,'سجل الأكشنات'!$D$2:$D$12,$C74)</f>
        <v>0</v>
      </c>
      <c r="G74" s="12" t="n">
        <f aca="false">COUNTIFS('سجل الأكشنات'!$B$2:$B$12,$B74,'سجل الأكشنات'!$D$2:$D$12,$C74,'سجل الأكشنات'!$H$2:$H$12,"تفصيلي")</f>
        <v>0</v>
      </c>
      <c r="H74" s="12" t="n">
        <f aca="false">F74-G74</f>
        <v>0</v>
      </c>
      <c r="I74" s="12" t="str">
        <f aca="false">IF($B74&gt;"2026-08-01","لا توجد بيانات بعد",IF(AND(D74=0,F74=0),"بدون نشاط","نشِط"))</f>
        <v>لا توجد بيانات بعد</v>
      </c>
    </row>
    <row r="75" customFormat="false" ht="15" hidden="false" customHeight="false" outlineLevel="0" collapsed="false">
      <c r="A75" s="12" t="s">
        <v>47</v>
      </c>
      <c r="B75" s="12" t="s">
        <v>65</v>
      </c>
      <c r="C75" s="13" t="s">
        <v>24</v>
      </c>
      <c r="D75" s="12" t="n">
        <f aca="false">COUNTIFS('تفاصيل الفرص'!$B$2:$B$9,$B75,'تفاصيل الفرص'!$D$2:$D$9,$C75)</f>
        <v>0</v>
      </c>
      <c r="E75" s="12" t="n">
        <f aca="false">COUNTIFS('تفاصيل الفرص'!$B$2:$B$9,$B75,'تفاصيل الفرص'!$D$2:$D$9,$C75,'تفاصيل الفرص'!$X$2:$X$9,0)</f>
        <v>0</v>
      </c>
      <c r="F75" s="12" t="n">
        <f aca="false">COUNTIFS('سجل الأكشنات'!$B$2:$B$12,$B75,'سجل الأكشنات'!$D$2:$D$12,$C75)</f>
        <v>0</v>
      </c>
      <c r="G75" s="12" t="n">
        <f aca="false">COUNTIFS('سجل الأكشنات'!$B$2:$B$12,$B75,'سجل الأكشنات'!$D$2:$D$12,$C75,'سجل الأكشنات'!$H$2:$H$12,"تفصيلي")</f>
        <v>0</v>
      </c>
      <c r="H75" s="12" t="n">
        <f aca="false">F75-G75</f>
        <v>0</v>
      </c>
      <c r="I75" s="12" t="str">
        <f aca="false">IF($B75&gt;"2026-08-01","لا توجد بيانات بعد",IF(AND(D75=0,F75=0),"بدون نشاط","نشِط"))</f>
        <v>لا توجد بيانات بعد</v>
      </c>
    </row>
    <row r="76" customFormat="false" ht="15" hidden="false" customHeight="false" outlineLevel="0" collapsed="false">
      <c r="A76" s="5" t="s">
        <v>49</v>
      </c>
      <c r="B76" s="5" t="s">
        <v>66</v>
      </c>
      <c r="C76" s="4" t="s">
        <v>18</v>
      </c>
      <c r="D76" s="5" t="n">
        <f aca="false">COUNTIFS('تفاصيل الفرص'!$B$2:$B$9,$B76,'تفاصيل الفرص'!$D$2:$D$9,$C76)</f>
        <v>0</v>
      </c>
      <c r="E76" s="5" t="n">
        <f aca="false">COUNTIFS('تفاصيل الفرص'!$B$2:$B$9,$B76,'تفاصيل الفرص'!$D$2:$D$9,$C76,'تفاصيل الفرص'!$X$2:$X$9,0)</f>
        <v>0</v>
      </c>
      <c r="F76" s="5" t="n">
        <f aca="false">COUNTIFS('سجل الأكشنات'!$B$2:$B$12,$B76,'سجل الأكشنات'!$D$2:$D$12,$C76)</f>
        <v>0</v>
      </c>
      <c r="G76" s="5" t="n">
        <f aca="false">COUNTIFS('سجل الأكشنات'!$B$2:$B$12,$B76,'سجل الأكشنات'!$D$2:$D$12,$C76,'سجل الأكشنات'!$H$2:$H$12,"تفصيلي")</f>
        <v>0</v>
      </c>
      <c r="H76" s="5" t="n">
        <f aca="false">F76-G76</f>
        <v>0</v>
      </c>
      <c r="I76" s="5" t="str">
        <f aca="false">IF($B76&gt;"2026-08-01","لا توجد بيانات بعد",IF(AND(D76=0,F76=0),"بدون نشاط","نشِط"))</f>
        <v>لا توجد بيانات بعد</v>
      </c>
    </row>
    <row r="77" customFormat="false" ht="15" hidden="false" customHeight="false" outlineLevel="0" collapsed="false">
      <c r="A77" s="5" t="s">
        <v>49</v>
      </c>
      <c r="B77" s="5" t="s">
        <v>66</v>
      </c>
      <c r="C77" s="4" t="s">
        <v>20</v>
      </c>
      <c r="D77" s="5" t="n">
        <f aca="false">COUNTIFS('تفاصيل الفرص'!$B$2:$B$9,$B77,'تفاصيل الفرص'!$D$2:$D$9,$C77)</f>
        <v>0</v>
      </c>
      <c r="E77" s="5" t="n">
        <f aca="false">COUNTIFS('تفاصيل الفرص'!$B$2:$B$9,$B77,'تفاصيل الفرص'!$D$2:$D$9,$C77,'تفاصيل الفرص'!$X$2:$X$9,0)</f>
        <v>0</v>
      </c>
      <c r="F77" s="5" t="n">
        <f aca="false">COUNTIFS('سجل الأكشنات'!$B$2:$B$12,$B77,'سجل الأكشنات'!$D$2:$D$12,$C77)</f>
        <v>0</v>
      </c>
      <c r="G77" s="5" t="n">
        <f aca="false">COUNTIFS('سجل الأكشنات'!$B$2:$B$12,$B77,'سجل الأكشنات'!$D$2:$D$12,$C77,'سجل الأكشنات'!$H$2:$H$12,"تفصيلي")</f>
        <v>0</v>
      </c>
      <c r="H77" s="5" t="n">
        <f aca="false">F77-G77</f>
        <v>0</v>
      </c>
      <c r="I77" s="5" t="str">
        <f aca="false">IF($B77&gt;"2026-08-01","لا توجد بيانات بعد",IF(AND(D77=0,F77=0),"بدون نشاط","نشِط"))</f>
        <v>لا توجد بيانات بعد</v>
      </c>
    </row>
    <row r="78" customFormat="false" ht="15" hidden="false" customHeight="false" outlineLevel="0" collapsed="false">
      <c r="A78" s="5" t="s">
        <v>49</v>
      </c>
      <c r="B78" s="5" t="s">
        <v>66</v>
      </c>
      <c r="C78" s="4" t="s">
        <v>22</v>
      </c>
      <c r="D78" s="5" t="n">
        <f aca="false">COUNTIFS('تفاصيل الفرص'!$B$2:$B$9,$B78,'تفاصيل الفرص'!$D$2:$D$9,$C78)</f>
        <v>0</v>
      </c>
      <c r="E78" s="5" t="n">
        <f aca="false">COUNTIFS('تفاصيل الفرص'!$B$2:$B$9,$B78,'تفاصيل الفرص'!$D$2:$D$9,$C78,'تفاصيل الفرص'!$X$2:$X$9,0)</f>
        <v>0</v>
      </c>
      <c r="F78" s="5" t="n">
        <f aca="false">COUNTIFS('سجل الأكشنات'!$B$2:$B$12,$B78,'سجل الأكشنات'!$D$2:$D$12,$C78)</f>
        <v>0</v>
      </c>
      <c r="G78" s="5" t="n">
        <f aca="false">COUNTIFS('سجل الأكشنات'!$B$2:$B$12,$B78,'سجل الأكشنات'!$D$2:$D$12,$C78,'سجل الأكشنات'!$H$2:$H$12,"تفصيلي")</f>
        <v>0</v>
      </c>
      <c r="H78" s="5" t="n">
        <f aca="false">F78-G78</f>
        <v>0</v>
      </c>
      <c r="I78" s="5" t="str">
        <f aca="false">IF($B78&gt;"2026-08-01","لا توجد بيانات بعد",IF(AND(D78=0,F78=0),"بدون نشاط","نشِط"))</f>
        <v>لا توجد بيانات بعد</v>
      </c>
    </row>
    <row r="79" customFormat="false" ht="15" hidden="false" customHeight="false" outlineLevel="0" collapsed="false">
      <c r="A79" s="5" t="s">
        <v>49</v>
      </c>
      <c r="B79" s="5" t="s">
        <v>66</v>
      </c>
      <c r="C79" s="4" t="s">
        <v>24</v>
      </c>
      <c r="D79" s="5" t="n">
        <f aca="false">COUNTIFS('تفاصيل الفرص'!$B$2:$B$9,$B79,'تفاصيل الفرص'!$D$2:$D$9,$C79)</f>
        <v>0</v>
      </c>
      <c r="E79" s="5" t="n">
        <f aca="false">COUNTIFS('تفاصيل الفرص'!$B$2:$B$9,$B79,'تفاصيل الفرص'!$D$2:$D$9,$C79,'تفاصيل الفرص'!$X$2:$X$9,0)</f>
        <v>0</v>
      </c>
      <c r="F79" s="5" t="n">
        <f aca="false">COUNTIFS('سجل الأكشنات'!$B$2:$B$12,$B79,'سجل الأكشنات'!$D$2:$D$12,$C79)</f>
        <v>0</v>
      </c>
      <c r="G79" s="5" t="n">
        <f aca="false">COUNTIFS('سجل الأكشنات'!$B$2:$B$12,$B79,'سجل الأكشنات'!$D$2:$D$12,$C79,'سجل الأكشنات'!$H$2:$H$12,"تفصيلي")</f>
        <v>0</v>
      </c>
      <c r="H79" s="5" t="n">
        <f aca="false">F79-G79</f>
        <v>0</v>
      </c>
      <c r="I79" s="5" t="str">
        <f aca="false">IF($B79&gt;"2026-08-01","لا توجد بيانات بعد",IF(AND(D79=0,F79=0),"بدون نشاط","نشِط"))</f>
        <v>لا توجد بيانات بعد</v>
      </c>
    </row>
    <row r="80" customFormat="false" ht="15" hidden="false" customHeight="false" outlineLevel="0" collapsed="false">
      <c r="A80" s="12" t="s">
        <v>51</v>
      </c>
      <c r="B80" s="12" t="s">
        <v>67</v>
      </c>
      <c r="C80" s="13" t="s">
        <v>18</v>
      </c>
      <c r="D80" s="12" t="n">
        <f aca="false">COUNTIFS('تفاصيل الفرص'!$B$2:$B$9,$B80,'تفاصيل الفرص'!$D$2:$D$9,$C80)</f>
        <v>0</v>
      </c>
      <c r="E80" s="12" t="n">
        <f aca="false">COUNTIFS('تفاصيل الفرص'!$B$2:$B$9,$B80,'تفاصيل الفرص'!$D$2:$D$9,$C80,'تفاصيل الفرص'!$X$2:$X$9,0)</f>
        <v>0</v>
      </c>
      <c r="F80" s="12" t="n">
        <f aca="false">COUNTIFS('سجل الأكشنات'!$B$2:$B$12,$B80,'سجل الأكشنات'!$D$2:$D$12,$C80)</f>
        <v>0</v>
      </c>
      <c r="G80" s="12" t="n">
        <f aca="false">COUNTIFS('سجل الأكشنات'!$B$2:$B$12,$B80,'سجل الأكشنات'!$D$2:$D$12,$C80,'سجل الأكشنات'!$H$2:$H$12,"تفصيلي")</f>
        <v>0</v>
      </c>
      <c r="H80" s="12" t="n">
        <f aca="false">F80-G80</f>
        <v>0</v>
      </c>
      <c r="I80" s="12" t="str">
        <f aca="false">IF($B80&gt;"2026-08-01","لا توجد بيانات بعد",IF(AND(D80=0,F80=0),"بدون نشاط","نشِط"))</f>
        <v>لا توجد بيانات بعد</v>
      </c>
    </row>
    <row r="81" customFormat="false" ht="15" hidden="false" customHeight="false" outlineLevel="0" collapsed="false">
      <c r="A81" s="12" t="s">
        <v>51</v>
      </c>
      <c r="B81" s="12" t="s">
        <v>67</v>
      </c>
      <c r="C81" s="13" t="s">
        <v>20</v>
      </c>
      <c r="D81" s="12" t="n">
        <f aca="false">COUNTIFS('تفاصيل الفرص'!$B$2:$B$9,$B81,'تفاصيل الفرص'!$D$2:$D$9,$C81)</f>
        <v>0</v>
      </c>
      <c r="E81" s="12" t="n">
        <f aca="false">COUNTIFS('تفاصيل الفرص'!$B$2:$B$9,$B81,'تفاصيل الفرص'!$D$2:$D$9,$C81,'تفاصيل الفرص'!$X$2:$X$9,0)</f>
        <v>0</v>
      </c>
      <c r="F81" s="12" t="n">
        <f aca="false">COUNTIFS('سجل الأكشنات'!$B$2:$B$12,$B81,'سجل الأكشنات'!$D$2:$D$12,$C81)</f>
        <v>0</v>
      </c>
      <c r="G81" s="12" t="n">
        <f aca="false">COUNTIFS('سجل الأكشنات'!$B$2:$B$12,$B81,'سجل الأكشنات'!$D$2:$D$12,$C81,'سجل الأكشنات'!$H$2:$H$12,"تفصيلي")</f>
        <v>0</v>
      </c>
      <c r="H81" s="12" t="n">
        <f aca="false">F81-G81</f>
        <v>0</v>
      </c>
      <c r="I81" s="12" t="str">
        <f aca="false">IF($B81&gt;"2026-08-01","لا توجد بيانات بعد",IF(AND(D81=0,F81=0),"بدون نشاط","نشِط"))</f>
        <v>لا توجد بيانات بعد</v>
      </c>
    </row>
    <row r="82" customFormat="false" ht="15" hidden="false" customHeight="false" outlineLevel="0" collapsed="false">
      <c r="A82" s="12" t="s">
        <v>51</v>
      </c>
      <c r="B82" s="12" t="s">
        <v>67</v>
      </c>
      <c r="C82" s="13" t="s">
        <v>22</v>
      </c>
      <c r="D82" s="12" t="n">
        <f aca="false">COUNTIFS('تفاصيل الفرص'!$B$2:$B$9,$B82,'تفاصيل الفرص'!$D$2:$D$9,$C82)</f>
        <v>0</v>
      </c>
      <c r="E82" s="12" t="n">
        <f aca="false">COUNTIFS('تفاصيل الفرص'!$B$2:$B$9,$B82,'تفاصيل الفرص'!$D$2:$D$9,$C82,'تفاصيل الفرص'!$X$2:$X$9,0)</f>
        <v>0</v>
      </c>
      <c r="F82" s="12" t="n">
        <f aca="false">COUNTIFS('سجل الأكشنات'!$B$2:$B$12,$B82,'سجل الأكشنات'!$D$2:$D$12,$C82)</f>
        <v>0</v>
      </c>
      <c r="G82" s="12" t="n">
        <f aca="false">COUNTIFS('سجل الأكشنات'!$B$2:$B$12,$B82,'سجل الأكشنات'!$D$2:$D$12,$C82,'سجل الأكشنات'!$H$2:$H$12,"تفصيلي")</f>
        <v>0</v>
      </c>
      <c r="H82" s="12" t="n">
        <f aca="false">F82-G82</f>
        <v>0</v>
      </c>
      <c r="I82" s="12" t="str">
        <f aca="false">IF($B82&gt;"2026-08-01","لا توجد بيانات بعد",IF(AND(D82=0,F82=0),"بدون نشاط","نشِط"))</f>
        <v>لا توجد بيانات بعد</v>
      </c>
    </row>
    <row r="83" customFormat="false" ht="15" hidden="false" customHeight="false" outlineLevel="0" collapsed="false">
      <c r="A83" s="12" t="s">
        <v>51</v>
      </c>
      <c r="B83" s="12" t="s">
        <v>67</v>
      </c>
      <c r="C83" s="13" t="s">
        <v>24</v>
      </c>
      <c r="D83" s="12" t="n">
        <f aca="false">COUNTIFS('تفاصيل الفرص'!$B$2:$B$9,$B83,'تفاصيل الفرص'!$D$2:$D$9,$C83)</f>
        <v>0</v>
      </c>
      <c r="E83" s="12" t="n">
        <f aca="false">COUNTIFS('تفاصيل الفرص'!$B$2:$B$9,$B83,'تفاصيل الفرص'!$D$2:$D$9,$C83,'تفاصيل الفرص'!$X$2:$X$9,0)</f>
        <v>0</v>
      </c>
      <c r="F83" s="12" t="n">
        <f aca="false">COUNTIFS('سجل الأكشنات'!$B$2:$B$12,$B83,'سجل الأكشنات'!$D$2:$D$12,$C83)</f>
        <v>0</v>
      </c>
      <c r="G83" s="12" t="n">
        <f aca="false">COUNTIFS('سجل الأكشنات'!$B$2:$B$12,$B83,'سجل الأكشنات'!$D$2:$D$12,$C83,'سجل الأكشنات'!$H$2:$H$12,"تفصيلي")</f>
        <v>0</v>
      </c>
      <c r="H83" s="12" t="n">
        <f aca="false">F83-G83</f>
        <v>0</v>
      </c>
      <c r="I83" s="12" t="str">
        <f aca="false">IF($B83&gt;"2026-08-01","لا توجد بيانات بعد",IF(AND(D83=0,F83=0),"بدون نشاط","نشِط"))</f>
        <v>لا توجد بيانات بعد</v>
      </c>
    </row>
    <row r="84" customFormat="false" ht="15" hidden="false" customHeight="false" outlineLevel="0" collapsed="false">
      <c r="A84" s="5" t="s">
        <v>53</v>
      </c>
      <c r="B84" s="5" t="s">
        <v>68</v>
      </c>
      <c r="C84" s="4" t="s">
        <v>18</v>
      </c>
      <c r="D84" s="5" t="n">
        <f aca="false">COUNTIFS('تفاصيل الفرص'!$B$2:$B$9,$B84,'تفاصيل الفرص'!$D$2:$D$9,$C84)</f>
        <v>0</v>
      </c>
      <c r="E84" s="5" t="n">
        <f aca="false">COUNTIFS('تفاصيل الفرص'!$B$2:$B$9,$B84,'تفاصيل الفرص'!$D$2:$D$9,$C84,'تفاصيل الفرص'!$X$2:$X$9,0)</f>
        <v>0</v>
      </c>
      <c r="F84" s="5" t="n">
        <f aca="false">COUNTIFS('سجل الأكشنات'!$B$2:$B$12,$B84,'سجل الأكشنات'!$D$2:$D$12,$C84)</f>
        <v>0</v>
      </c>
      <c r="G84" s="5" t="n">
        <f aca="false">COUNTIFS('سجل الأكشنات'!$B$2:$B$12,$B84,'سجل الأكشنات'!$D$2:$D$12,$C84,'سجل الأكشنات'!$H$2:$H$12,"تفصيلي")</f>
        <v>0</v>
      </c>
      <c r="H84" s="5" t="n">
        <f aca="false">F84-G84</f>
        <v>0</v>
      </c>
      <c r="I84" s="5" t="str">
        <f aca="false">IF($B84&gt;"2026-08-01","لا توجد بيانات بعد",IF(AND(D84=0,F84=0),"بدون نشاط","نشِط"))</f>
        <v>لا توجد بيانات بعد</v>
      </c>
    </row>
    <row r="85" customFormat="false" ht="15" hidden="false" customHeight="false" outlineLevel="0" collapsed="false">
      <c r="A85" s="5" t="s">
        <v>53</v>
      </c>
      <c r="B85" s="5" t="s">
        <v>68</v>
      </c>
      <c r="C85" s="4" t="s">
        <v>20</v>
      </c>
      <c r="D85" s="5" t="n">
        <f aca="false">COUNTIFS('تفاصيل الفرص'!$B$2:$B$9,$B85,'تفاصيل الفرص'!$D$2:$D$9,$C85)</f>
        <v>0</v>
      </c>
      <c r="E85" s="5" t="n">
        <f aca="false">COUNTIFS('تفاصيل الفرص'!$B$2:$B$9,$B85,'تفاصيل الفرص'!$D$2:$D$9,$C85,'تفاصيل الفرص'!$X$2:$X$9,0)</f>
        <v>0</v>
      </c>
      <c r="F85" s="5" t="n">
        <f aca="false">COUNTIFS('سجل الأكشنات'!$B$2:$B$12,$B85,'سجل الأكشنات'!$D$2:$D$12,$C85)</f>
        <v>0</v>
      </c>
      <c r="G85" s="5" t="n">
        <f aca="false">COUNTIFS('سجل الأكشنات'!$B$2:$B$12,$B85,'سجل الأكشنات'!$D$2:$D$12,$C85,'سجل الأكشنات'!$H$2:$H$12,"تفصيلي")</f>
        <v>0</v>
      </c>
      <c r="H85" s="5" t="n">
        <f aca="false">F85-G85</f>
        <v>0</v>
      </c>
      <c r="I85" s="5" t="str">
        <f aca="false">IF($B85&gt;"2026-08-01","لا توجد بيانات بعد",IF(AND(D85=0,F85=0),"بدون نشاط","نشِط"))</f>
        <v>لا توجد بيانات بعد</v>
      </c>
    </row>
    <row r="86" customFormat="false" ht="15" hidden="false" customHeight="false" outlineLevel="0" collapsed="false">
      <c r="A86" s="5" t="s">
        <v>53</v>
      </c>
      <c r="B86" s="5" t="s">
        <v>68</v>
      </c>
      <c r="C86" s="4" t="s">
        <v>22</v>
      </c>
      <c r="D86" s="5" t="n">
        <f aca="false">COUNTIFS('تفاصيل الفرص'!$B$2:$B$9,$B86,'تفاصيل الفرص'!$D$2:$D$9,$C86)</f>
        <v>0</v>
      </c>
      <c r="E86" s="5" t="n">
        <f aca="false">COUNTIFS('تفاصيل الفرص'!$B$2:$B$9,$B86,'تفاصيل الفرص'!$D$2:$D$9,$C86,'تفاصيل الفرص'!$X$2:$X$9,0)</f>
        <v>0</v>
      </c>
      <c r="F86" s="5" t="n">
        <f aca="false">COUNTIFS('سجل الأكشنات'!$B$2:$B$12,$B86,'سجل الأكشنات'!$D$2:$D$12,$C86)</f>
        <v>0</v>
      </c>
      <c r="G86" s="5" t="n">
        <f aca="false">COUNTIFS('سجل الأكشنات'!$B$2:$B$12,$B86,'سجل الأكشنات'!$D$2:$D$12,$C86,'سجل الأكشنات'!$H$2:$H$12,"تفصيلي")</f>
        <v>0</v>
      </c>
      <c r="H86" s="5" t="n">
        <f aca="false">F86-G86</f>
        <v>0</v>
      </c>
      <c r="I86" s="5" t="str">
        <f aca="false">IF($B86&gt;"2026-08-01","لا توجد بيانات بعد",IF(AND(D86=0,F86=0),"بدون نشاط","نشِط"))</f>
        <v>لا توجد بيانات بعد</v>
      </c>
    </row>
    <row r="87" customFormat="false" ht="15" hidden="false" customHeight="false" outlineLevel="0" collapsed="false">
      <c r="A87" s="5" t="s">
        <v>53</v>
      </c>
      <c r="B87" s="5" t="s">
        <v>68</v>
      </c>
      <c r="C87" s="4" t="s">
        <v>24</v>
      </c>
      <c r="D87" s="5" t="n">
        <f aca="false">COUNTIFS('تفاصيل الفرص'!$B$2:$B$9,$B87,'تفاصيل الفرص'!$D$2:$D$9,$C87)</f>
        <v>0</v>
      </c>
      <c r="E87" s="5" t="n">
        <f aca="false">COUNTIFS('تفاصيل الفرص'!$B$2:$B$9,$B87,'تفاصيل الفرص'!$D$2:$D$9,$C87,'تفاصيل الفرص'!$X$2:$X$9,0)</f>
        <v>0</v>
      </c>
      <c r="F87" s="5" t="n">
        <f aca="false">COUNTIFS('سجل الأكشنات'!$B$2:$B$12,$B87,'سجل الأكشنات'!$D$2:$D$12,$C87)</f>
        <v>0</v>
      </c>
      <c r="G87" s="5" t="n">
        <f aca="false">COUNTIFS('سجل الأكشنات'!$B$2:$B$12,$B87,'سجل الأكشنات'!$D$2:$D$12,$C87,'سجل الأكشنات'!$H$2:$H$12,"تفصيلي")</f>
        <v>0</v>
      </c>
      <c r="H87" s="5" t="n">
        <f aca="false">F87-G87</f>
        <v>0</v>
      </c>
      <c r="I87" s="5" t="str">
        <f aca="false">IF($B87&gt;"2026-08-01","لا توجد بيانات بعد",IF(AND(D87=0,F87=0),"بدون نشاط","نشِط"))</f>
        <v>لا توجد بيانات بعد</v>
      </c>
    </row>
    <row r="88" customFormat="false" ht="15" hidden="false" customHeight="false" outlineLevel="0" collapsed="false">
      <c r="A88" s="12" t="s">
        <v>41</v>
      </c>
      <c r="B88" s="12" t="s">
        <v>69</v>
      </c>
      <c r="C88" s="13" t="s">
        <v>18</v>
      </c>
      <c r="D88" s="12" t="n">
        <f aca="false">COUNTIFS('تفاصيل الفرص'!$B$2:$B$9,$B88,'تفاصيل الفرص'!$D$2:$D$9,$C88)</f>
        <v>0</v>
      </c>
      <c r="E88" s="12" t="n">
        <f aca="false">COUNTIFS('تفاصيل الفرص'!$B$2:$B$9,$B88,'تفاصيل الفرص'!$D$2:$D$9,$C88,'تفاصيل الفرص'!$X$2:$X$9,0)</f>
        <v>0</v>
      </c>
      <c r="F88" s="12" t="n">
        <f aca="false">COUNTIFS('سجل الأكشنات'!$B$2:$B$12,$B88,'سجل الأكشنات'!$D$2:$D$12,$C88)</f>
        <v>0</v>
      </c>
      <c r="G88" s="12" t="n">
        <f aca="false">COUNTIFS('سجل الأكشنات'!$B$2:$B$12,$B88,'سجل الأكشنات'!$D$2:$D$12,$C88,'سجل الأكشنات'!$H$2:$H$12,"تفصيلي")</f>
        <v>0</v>
      </c>
      <c r="H88" s="12" t="n">
        <f aca="false">F88-G88</f>
        <v>0</v>
      </c>
      <c r="I88" s="12" t="str">
        <f aca="false">IF($B88&gt;"2026-08-01","لا توجد بيانات بعد",IF(AND(D88=0,F88=0),"بدون نشاط","نشِط"))</f>
        <v>لا توجد بيانات بعد</v>
      </c>
    </row>
    <row r="89" customFormat="false" ht="15" hidden="false" customHeight="false" outlineLevel="0" collapsed="false">
      <c r="A89" s="12" t="s">
        <v>41</v>
      </c>
      <c r="B89" s="12" t="s">
        <v>69</v>
      </c>
      <c r="C89" s="13" t="s">
        <v>20</v>
      </c>
      <c r="D89" s="12" t="n">
        <f aca="false">COUNTIFS('تفاصيل الفرص'!$B$2:$B$9,$B89,'تفاصيل الفرص'!$D$2:$D$9,$C89)</f>
        <v>0</v>
      </c>
      <c r="E89" s="12" t="n">
        <f aca="false">COUNTIFS('تفاصيل الفرص'!$B$2:$B$9,$B89,'تفاصيل الفرص'!$D$2:$D$9,$C89,'تفاصيل الفرص'!$X$2:$X$9,0)</f>
        <v>0</v>
      </c>
      <c r="F89" s="12" t="n">
        <f aca="false">COUNTIFS('سجل الأكشنات'!$B$2:$B$12,$B89,'سجل الأكشنات'!$D$2:$D$12,$C89)</f>
        <v>0</v>
      </c>
      <c r="G89" s="12" t="n">
        <f aca="false">COUNTIFS('سجل الأكشنات'!$B$2:$B$12,$B89,'سجل الأكشنات'!$D$2:$D$12,$C89,'سجل الأكشنات'!$H$2:$H$12,"تفصيلي")</f>
        <v>0</v>
      </c>
      <c r="H89" s="12" t="n">
        <f aca="false">F89-G89</f>
        <v>0</v>
      </c>
      <c r="I89" s="12" t="str">
        <f aca="false">IF($B89&gt;"2026-08-01","لا توجد بيانات بعد",IF(AND(D89=0,F89=0),"بدون نشاط","نشِط"))</f>
        <v>لا توجد بيانات بعد</v>
      </c>
    </row>
    <row r="90" customFormat="false" ht="15" hidden="false" customHeight="false" outlineLevel="0" collapsed="false">
      <c r="A90" s="12" t="s">
        <v>41</v>
      </c>
      <c r="B90" s="12" t="s">
        <v>69</v>
      </c>
      <c r="C90" s="13" t="s">
        <v>22</v>
      </c>
      <c r="D90" s="12" t="n">
        <f aca="false">COUNTIFS('تفاصيل الفرص'!$B$2:$B$9,$B90,'تفاصيل الفرص'!$D$2:$D$9,$C90)</f>
        <v>0</v>
      </c>
      <c r="E90" s="12" t="n">
        <f aca="false">COUNTIFS('تفاصيل الفرص'!$B$2:$B$9,$B90,'تفاصيل الفرص'!$D$2:$D$9,$C90,'تفاصيل الفرص'!$X$2:$X$9,0)</f>
        <v>0</v>
      </c>
      <c r="F90" s="12" t="n">
        <f aca="false">COUNTIFS('سجل الأكشنات'!$B$2:$B$12,$B90,'سجل الأكشنات'!$D$2:$D$12,$C90)</f>
        <v>0</v>
      </c>
      <c r="G90" s="12" t="n">
        <f aca="false">COUNTIFS('سجل الأكشنات'!$B$2:$B$12,$B90,'سجل الأكشنات'!$D$2:$D$12,$C90,'سجل الأكشنات'!$H$2:$H$12,"تفصيلي")</f>
        <v>0</v>
      </c>
      <c r="H90" s="12" t="n">
        <f aca="false">F90-G90</f>
        <v>0</v>
      </c>
      <c r="I90" s="12" t="str">
        <f aca="false">IF($B90&gt;"2026-08-01","لا توجد بيانات بعد",IF(AND(D90=0,F90=0),"بدون نشاط","نشِط"))</f>
        <v>لا توجد بيانات بعد</v>
      </c>
    </row>
    <row r="91" customFormat="false" ht="15" hidden="false" customHeight="false" outlineLevel="0" collapsed="false">
      <c r="A91" s="12" t="s">
        <v>41</v>
      </c>
      <c r="B91" s="12" t="s">
        <v>69</v>
      </c>
      <c r="C91" s="13" t="s">
        <v>24</v>
      </c>
      <c r="D91" s="12" t="n">
        <f aca="false">COUNTIFS('تفاصيل الفرص'!$B$2:$B$9,$B91,'تفاصيل الفرص'!$D$2:$D$9,$C91)</f>
        <v>0</v>
      </c>
      <c r="E91" s="12" t="n">
        <f aca="false">COUNTIFS('تفاصيل الفرص'!$B$2:$B$9,$B91,'تفاصيل الفرص'!$D$2:$D$9,$C91,'تفاصيل الفرص'!$X$2:$X$9,0)</f>
        <v>0</v>
      </c>
      <c r="F91" s="12" t="n">
        <f aca="false">COUNTIFS('سجل الأكشنات'!$B$2:$B$12,$B91,'سجل الأكشنات'!$D$2:$D$12,$C91)</f>
        <v>0</v>
      </c>
      <c r="G91" s="12" t="n">
        <f aca="false">COUNTIFS('سجل الأكشنات'!$B$2:$B$12,$B91,'سجل الأكشنات'!$D$2:$D$12,$C91,'سجل الأكشنات'!$H$2:$H$12,"تفصيلي")</f>
        <v>0</v>
      </c>
      <c r="H91" s="12" t="n">
        <f aca="false">F91-G91</f>
        <v>0</v>
      </c>
      <c r="I91" s="12" t="str">
        <f aca="false">IF($B91&gt;"2026-08-01","لا توجد بيانات بعد",IF(AND(D91=0,F91=0),"بدون نشاط","نشِط"))</f>
        <v>لا توجد بيانات بعد</v>
      </c>
    </row>
    <row r="92" customFormat="false" ht="15" hidden="false" customHeight="false" outlineLevel="0" collapsed="false">
      <c r="A92" s="5" t="s">
        <v>43</v>
      </c>
      <c r="B92" s="5" t="s">
        <v>70</v>
      </c>
      <c r="C92" s="4" t="s">
        <v>18</v>
      </c>
      <c r="D92" s="5" t="n">
        <f aca="false">COUNTIFS('تفاصيل الفرص'!$B$2:$B$9,$B92,'تفاصيل الفرص'!$D$2:$D$9,$C92)</f>
        <v>0</v>
      </c>
      <c r="E92" s="5" t="n">
        <f aca="false">COUNTIFS('تفاصيل الفرص'!$B$2:$B$9,$B92,'تفاصيل الفرص'!$D$2:$D$9,$C92,'تفاصيل الفرص'!$X$2:$X$9,0)</f>
        <v>0</v>
      </c>
      <c r="F92" s="5" t="n">
        <f aca="false">COUNTIFS('سجل الأكشنات'!$B$2:$B$12,$B92,'سجل الأكشنات'!$D$2:$D$12,$C92)</f>
        <v>0</v>
      </c>
      <c r="G92" s="5" t="n">
        <f aca="false">COUNTIFS('سجل الأكشنات'!$B$2:$B$12,$B92,'سجل الأكشنات'!$D$2:$D$12,$C92,'سجل الأكشنات'!$H$2:$H$12,"تفصيلي")</f>
        <v>0</v>
      </c>
      <c r="H92" s="5" t="n">
        <f aca="false">F92-G92</f>
        <v>0</v>
      </c>
      <c r="I92" s="5" t="str">
        <f aca="false">IF($B92&gt;"2026-08-01","لا توجد بيانات بعد",IF(AND(D92=0,F92=0),"بدون نشاط","نشِط"))</f>
        <v>لا توجد بيانات بعد</v>
      </c>
    </row>
    <row r="93" customFormat="false" ht="15" hidden="false" customHeight="false" outlineLevel="0" collapsed="false">
      <c r="A93" s="5" t="s">
        <v>43</v>
      </c>
      <c r="B93" s="5" t="s">
        <v>70</v>
      </c>
      <c r="C93" s="4" t="s">
        <v>20</v>
      </c>
      <c r="D93" s="5" t="n">
        <f aca="false">COUNTIFS('تفاصيل الفرص'!$B$2:$B$9,$B93,'تفاصيل الفرص'!$D$2:$D$9,$C93)</f>
        <v>0</v>
      </c>
      <c r="E93" s="5" t="n">
        <f aca="false">COUNTIFS('تفاصيل الفرص'!$B$2:$B$9,$B93,'تفاصيل الفرص'!$D$2:$D$9,$C93,'تفاصيل الفرص'!$X$2:$X$9,0)</f>
        <v>0</v>
      </c>
      <c r="F93" s="5" t="n">
        <f aca="false">COUNTIFS('سجل الأكشنات'!$B$2:$B$12,$B93,'سجل الأكشنات'!$D$2:$D$12,$C93)</f>
        <v>0</v>
      </c>
      <c r="G93" s="5" t="n">
        <f aca="false">COUNTIFS('سجل الأكشنات'!$B$2:$B$12,$B93,'سجل الأكشنات'!$D$2:$D$12,$C93,'سجل الأكشنات'!$H$2:$H$12,"تفصيلي")</f>
        <v>0</v>
      </c>
      <c r="H93" s="5" t="n">
        <f aca="false">F93-G93</f>
        <v>0</v>
      </c>
      <c r="I93" s="5" t="str">
        <f aca="false">IF($B93&gt;"2026-08-01","لا توجد بيانات بعد",IF(AND(D93=0,F93=0),"بدون نشاط","نشِط"))</f>
        <v>لا توجد بيانات بعد</v>
      </c>
    </row>
    <row r="94" customFormat="false" ht="15" hidden="false" customHeight="false" outlineLevel="0" collapsed="false">
      <c r="A94" s="5" t="s">
        <v>43</v>
      </c>
      <c r="B94" s="5" t="s">
        <v>70</v>
      </c>
      <c r="C94" s="4" t="s">
        <v>22</v>
      </c>
      <c r="D94" s="5" t="n">
        <f aca="false">COUNTIFS('تفاصيل الفرص'!$B$2:$B$9,$B94,'تفاصيل الفرص'!$D$2:$D$9,$C94)</f>
        <v>0</v>
      </c>
      <c r="E94" s="5" t="n">
        <f aca="false">COUNTIFS('تفاصيل الفرص'!$B$2:$B$9,$B94,'تفاصيل الفرص'!$D$2:$D$9,$C94,'تفاصيل الفرص'!$X$2:$X$9,0)</f>
        <v>0</v>
      </c>
      <c r="F94" s="5" t="n">
        <f aca="false">COUNTIFS('سجل الأكشنات'!$B$2:$B$12,$B94,'سجل الأكشنات'!$D$2:$D$12,$C94)</f>
        <v>0</v>
      </c>
      <c r="G94" s="5" t="n">
        <f aca="false">COUNTIFS('سجل الأكشنات'!$B$2:$B$12,$B94,'سجل الأكشنات'!$D$2:$D$12,$C94,'سجل الأكشنات'!$H$2:$H$12,"تفصيلي")</f>
        <v>0</v>
      </c>
      <c r="H94" s="5" t="n">
        <f aca="false">F94-G94</f>
        <v>0</v>
      </c>
      <c r="I94" s="5" t="str">
        <f aca="false">IF($B94&gt;"2026-08-01","لا توجد بيانات بعد",IF(AND(D94=0,F94=0),"بدون نشاط","نشِط"))</f>
        <v>لا توجد بيانات بعد</v>
      </c>
    </row>
    <row r="95" customFormat="false" ht="15" hidden="false" customHeight="false" outlineLevel="0" collapsed="false">
      <c r="A95" s="5" t="s">
        <v>43</v>
      </c>
      <c r="B95" s="5" t="s">
        <v>70</v>
      </c>
      <c r="C95" s="4" t="s">
        <v>24</v>
      </c>
      <c r="D95" s="5" t="n">
        <f aca="false">COUNTIFS('تفاصيل الفرص'!$B$2:$B$9,$B95,'تفاصيل الفرص'!$D$2:$D$9,$C95)</f>
        <v>0</v>
      </c>
      <c r="E95" s="5" t="n">
        <f aca="false">COUNTIFS('تفاصيل الفرص'!$B$2:$B$9,$B95,'تفاصيل الفرص'!$D$2:$D$9,$C95,'تفاصيل الفرص'!$X$2:$X$9,0)</f>
        <v>0</v>
      </c>
      <c r="F95" s="5" t="n">
        <f aca="false">COUNTIFS('سجل الأكشنات'!$B$2:$B$12,$B95,'سجل الأكشنات'!$D$2:$D$12,$C95)</f>
        <v>0</v>
      </c>
      <c r="G95" s="5" t="n">
        <f aca="false">COUNTIFS('سجل الأكشنات'!$B$2:$B$12,$B95,'سجل الأكشنات'!$D$2:$D$12,$C95,'سجل الأكشنات'!$H$2:$H$12,"تفصيلي")</f>
        <v>0</v>
      </c>
      <c r="H95" s="5" t="n">
        <f aca="false">F95-G95</f>
        <v>0</v>
      </c>
      <c r="I95" s="5" t="str">
        <f aca="false">IF($B95&gt;"2026-08-01","لا توجد بيانات بعد",IF(AND(D95=0,F95=0),"بدون نشاط","نشِط"))</f>
        <v>لا توجد بيانات بعد</v>
      </c>
    </row>
    <row r="96" customFormat="false" ht="15" hidden="false" customHeight="false" outlineLevel="0" collapsed="false">
      <c r="A96" s="12" t="s">
        <v>45</v>
      </c>
      <c r="B96" s="12" t="s">
        <v>71</v>
      </c>
      <c r="C96" s="13" t="s">
        <v>18</v>
      </c>
      <c r="D96" s="12" t="n">
        <f aca="false">COUNTIFS('تفاصيل الفرص'!$B$2:$B$9,$B96,'تفاصيل الفرص'!$D$2:$D$9,$C96)</f>
        <v>0</v>
      </c>
      <c r="E96" s="12" t="n">
        <f aca="false">COUNTIFS('تفاصيل الفرص'!$B$2:$B$9,$B96,'تفاصيل الفرص'!$D$2:$D$9,$C96,'تفاصيل الفرص'!$X$2:$X$9,0)</f>
        <v>0</v>
      </c>
      <c r="F96" s="12" t="n">
        <f aca="false">COUNTIFS('سجل الأكشنات'!$B$2:$B$12,$B96,'سجل الأكشنات'!$D$2:$D$12,$C96)</f>
        <v>0</v>
      </c>
      <c r="G96" s="12" t="n">
        <f aca="false">COUNTIFS('سجل الأكشنات'!$B$2:$B$12,$B96,'سجل الأكشنات'!$D$2:$D$12,$C96,'سجل الأكشنات'!$H$2:$H$12,"تفصيلي")</f>
        <v>0</v>
      </c>
      <c r="H96" s="12" t="n">
        <f aca="false">F96-G96</f>
        <v>0</v>
      </c>
      <c r="I96" s="12" t="str">
        <f aca="false">IF($B96&gt;"2026-08-01","لا توجد بيانات بعد",IF(AND(D96=0,F96=0),"بدون نشاط","نشِط"))</f>
        <v>لا توجد بيانات بعد</v>
      </c>
    </row>
    <row r="97" customFormat="false" ht="15" hidden="false" customHeight="false" outlineLevel="0" collapsed="false">
      <c r="A97" s="12" t="s">
        <v>45</v>
      </c>
      <c r="B97" s="12" t="s">
        <v>71</v>
      </c>
      <c r="C97" s="13" t="s">
        <v>20</v>
      </c>
      <c r="D97" s="12" t="n">
        <f aca="false">COUNTIFS('تفاصيل الفرص'!$B$2:$B$9,$B97,'تفاصيل الفرص'!$D$2:$D$9,$C97)</f>
        <v>0</v>
      </c>
      <c r="E97" s="12" t="n">
        <f aca="false">COUNTIFS('تفاصيل الفرص'!$B$2:$B$9,$B97,'تفاصيل الفرص'!$D$2:$D$9,$C97,'تفاصيل الفرص'!$X$2:$X$9,0)</f>
        <v>0</v>
      </c>
      <c r="F97" s="12" t="n">
        <f aca="false">COUNTIFS('سجل الأكشنات'!$B$2:$B$12,$B97,'سجل الأكشنات'!$D$2:$D$12,$C97)</f>
        <v>0</v>
      </c>
      <c r="G97" s="12" t="n">
        <f aca="false">COUNTIFS('سجل الأكشنات'!$B$2:$B$12,$B97,'سجل الأكشنات'!$D$2:$D$12,$C97,'سجل الأكشنات'!$H$2:$H$12,"تفصيلي")</f>
        <v>0</v>
      </c>
      <c r="H97" s="12" t="n">
        <f aca="false">F97-G97</f>
        <v>0</v>
      </c>
      <c r="I97" s="12" t="str">
        <f aca="false">IF($B97&gt;"2026-08-01","لا توجد بيانات بعد",IF(AND(D97=0,F97=0),"بدون نشاط","نشِط"))</f>
        <v>لا توجد بيانات بعد</v>
      </c>
    </row>
    <row r="98" customFormat="false" ht="15" hidden="false" customHeight="false" outlineLevel="0" collapsed="false">
      <c r="A98" s="12" t="s">
        <v>45</v>
      </c>
      <c r="B98" s="12" t="s">
        <v>71</v>
      </c>
      <c r="C98" s="13" t="s">
        <v>22</v>
      </c>
      <c r="D98" s="12" t="n">
        <f aca="false">COUNTIFS('تفاصيل الفرص'!$B$2:$B$9,$B98,'تفاصيل الفرص'!$D$2:$D$9,$C98)</f>
        <v>0</v>
      </c>
      <c r="E98" s="12" t="n">
        <f aca="false">COUNTIFS('تفاصيل الفرص'!$B$2:$B$9,$B98,'تفاصيل الفرص'!$D$2:$D$9,$C98,'تفاصيل الفرص'!$X$2:$X$9,0)</f>
        <v>0</v>
      </c>
      <c r="F98" s="12" t="n">
        <f aca="false">COUNTIFS('سجل الأكشنات'!$B$2:$B$12,$B98,'سجل الأكشنات'!$D$2:$D$12,$C98)</f>
        <v>0</v>
      </c>
      <c r="G98" s="12" t="n">
        <f aca="false">COUNTIFS('سجل الأكشنات'!$B$2:$B$12,$B98,'سجل الأكشنات'!$D$2:$D$12,$C98,'سجل الأكشنات'!$H$2:$H$12,"تفصيلي")</f>
        <v>0</v>
      </c>
      <c r="H98" s="12" t="n">
        <f aca="false">F98-G98</f>
        <v>0</v>
      </c>
      <c r="I98" s="12" t="str">
        <f aca="false">IF($B98&gt;"2026-08-01","لا توجد بيانات بعد",IF(AND(D98=0,F98=0),"بدون نشاط","نشِط"))</f>
        <v>لا توجد بيانات بعد</v>
      </c>
    </row>
    <row r="99" customFormat="false" ht="15" hidden="false" customHeight="false" outlineLevel="0" collapsed="false">
      <c r="A99" s="12" t="s">
        <v>45</v>
      </c>
      <c r="B99" s="12" t="s">
        <v>71</v>
      </c>
      <c r="C99" s="13" t="s">
        <v>24</v>
      </c>
      <c r="D99" s="12" t="n">
        <f aca="false">COUNTIFS('تفاصيل الفرص'!$B$2:$B$9,$B99,'تفاصيل الفرص'!$D$2:$D$9,$C99)</f>
        <v>0</v>
      </c>
      <c r="E99" s="12" t="n">
        <f aca="false">COUNTIFS('تفاصيل الفرص'!$B$2:$B$9,$B99,'تفاصيل الفرص'!$D$2:$D$9,$C99,'تفاصيل الفرص'!$X$2:$X$9,0)</f>
        <v>0</v>
      </c>
      <c r="F99" s="12" t="n">
        <f aca="false">COUNTIFS('سجل الأكشنات'!$B$2:$B$12,$B99,'سجل الأكشنات'!$D$2:$D$12,$C99)</f>
        <v>0</v>
      </c>
      <c r="G99" s="12" t="n">
        <f aca="false">COUNTIFS('سجل الأكشنات'!$B$2:$B$12,$B99,'سجل الأكشنات'!$D$2:$D$12,$C99,'سجل الأكشنات'!$H$2:$H$12,"تفصيلي")</f>
        <v>0</v>
      </c>
      <c r="H99" s="12" t="n">
        <f aca="false">F99-G99</f>
        <v>0</v>
      </c>
      <c r="I99" s="12" t="str">
        <f aca="false">IF($B99&gt;"2026-08-01","لا توجد بيانات بعد",IF(AND(D99=0,F99=0),"بدون نشاط","نشِط"))</f>
        <v>لا توجد بيانات بعد</v>
      </c>
    </row>
    <row r="100" customFormat="false" ht="15" hidden="false" customHeight="false" outlineLevel="0" collapsed="false">
      <c r="A100" s="5" t="s">
        <v>47</v>
      </c>
      <c r="B100" s="5" t="s">
        <v>72</v>
      </c>
      <c r="C100" s="4" t="s">
        <v>18</v>
      </c>
      <c r="D100" s="5" t="n">
        <f aca="false">COUNTIFS('تفاصيل الفرص'!$B$2:$B$9,$B100,'تفاصيل الفرص'!$D$2:$D$9,$C100)</f>
        <v>0</v>
      </c>
      <c r="E100" s="5" t="n">
        <f aca="false">COUNTIFS('تفاصيل الفرص'!$B$2:$B$9,$B100,'تفاصيل الفرص'!$D$2:$D$9,$C100,'تفاصيل الفرص'!$X$2:$X$9,0)</f>
        <v>0</v>
      </c>
      <c r="F100" s="5" t="n">
        <f aca="false">COUNTIFS('سجل الأكشنات'!$B$2:$B$12,$B100,'سجل الأكشنات'!$D$2:$D$12,$C100)</f>
        <v>0</v>
      </c>
      <c r="G100" s="5" t="n">
        <f aca="false">COUNTIFS('سجل الأكشنات'!$B$2:$B$12,$B100,'سجل الأكشنات'!$D$2:$D$12,$C100,'سجل الأكشنات'!$H$2:$H$12,"تفصيلي")</f>
        <v>0</v>
      </c>
      <c r="H100" s="5" t="n">
        <f aca="false">F100-G100</f>
        <v>0</v>
      </c>
      <c r="I100" s="5" t="str">
        <f aca="false">IF($B100&gt;"2026-08-01","لا توجد بيانات بعد",IF(AND(D100=0,F100=0),"بدون نشاط","نشِط"))</f>
        <v>لا توجد بيانات بعد</v>
      </c>
    </row>
    <row r="101" customFormat="false" ht="15" hidden="false" customHeight="false" outlineLevel="0" collapsed="false">
      <c r="A101" s="5" t="s">
        <v>47</v>
      </c>
      <c r="B101" s="5" t="s">
        <v>72</v>
      </c>
      <c r="C101" s="4" t="s">
        <v>20</v>
      </c>
      <c r="D101" s="5" t="n">
        <f aca="false">COUNTIFS('تفاصيل الفرص'!$B$2:$B$9,$B101,'تفاصيل الفرص'!$D$2:$D$9,$C101)</f>
        <v>0</v>
      </c>
      <c r="E101" s="5" t="n">
        <f aca="false">COUNTIFS('تفاصيل الفرص'!$B$2:$B$9,$B101,'تفاصيل الفرص'!$D$2:$D$9,$C101,'تفاصيل الفرص'!$X$2:$X$9,0)</f>
        <v>0</v>
      </c>
      <c r="F101" s="5" t="n">
        <f aca="false">COUNTIFS('سجل الأكشنات'!$B$2:$B$12,$B101,'سجل الأكشنات'!$D$2:$D$12,$C101)</f>
        <v>0</v>
      </c>
      <c r="G101" s="5" t="n">
        <f aca="false">COUNTIFS('سجل الأكشنات'!$B$2:$B$12,$B101,'سجل الأكشنات'!$D$2:$D$12,$C101,'سجل الأكشنات'!$H$2:$H$12,"تفصيلي")</f>
        <v>0</v>
      </c>
      <c r="H101" s="5" t="n">
        <f aca="false">F101-G101</f>
        <v>0</v>
      </c>
      <c r="I101" s="5" t="str">
        <f aca="false">IF($B101&gt;"2026-08-01","لا توجد بيانات بعد",IF(AND(D101=0,F101=0),"بدون نشاط","نشِط"))</f>
        <v>لا توجد بيانات بعد</v>
      </c>
    </row>
    <row r="102" customFormat="false" ht="15" hidden="false" customHeight="false" outlineLevel="0" collapsed="false">
      <c r="A102" s="5" t="s">
        <v>47</v>
      </c>
      <c r="B102" s="5" t="s">
        <v>72</v>
      </c>
      <c r="C102" s="4" t="s">
        <v>22</v>
      </c>
      <c r="D102" s="5" t="n">
        <f aca="false">COUNTIFS('تفاصيل الفرص'!$B$2:$B$9,$B102,'تفاصيل الفرص'!$D$2:$D$9,$C102)</f>
        <v>0</v>
      </c>
      <c r="E102" s="5" t="n">
        <f aca="false">COUNTIFS('تفاصيل الفرص'!$B$2:$B$9,$B102,'تفاصيل الفرص'!$D$2:$D$9,$C102,'تفاصيل الفرص'!$X$2:$X$9,0)</f>
        <v>0</v>
      </c>
      <c r="F102" s="5" t="n">
        <f aca="false">COUNTIFS('سجل الأكشنات'!$B$2:$B$12,$B102,'سجل الأكشنات'!$D$2:$D$12,$C102)</f>
        <v>0</v>
      </c>
      <c r="G102" s="5" t="n">
        <f aca="false">COUNTIFS('سجل الأكشنات'!$B$2:$B$12,$B102,'سجل الأكشنات'!$D$2:$D$12,$C102,'سجل الأكشنات'!$H$2:$H$12,"تفصيلي")</f>
        <v>0</v>
      </c>
      <c r="H102" s="5" t="n">
        <f aca="false">F102-G102</f>
        <v>0</v>
      </c>
      <c r="I102" s="5" t="str">
        <f aca="false">IF($B102&gt;"2026-08-01","لا توجد بيانات بعد",IF(AND(D102=0,F102=0),"بدون نشاط","نشِط"))</f>
        <v>لا توجد بيانات بعد</v>
      </c>
    </row>
    <row r="103" customFormat="false" ht="15" hidden="false" customHeight="false" outlineLevel="0" collapsed="false">
      <c r="A103" s="5" t="s">
        <v>47</v>
      </c>
      <c r="B103" s="5" t="s">
        <v>72</v>
      </c>
      <c r="C103" s="4" t="s">
        <v>24</v>
      </c>
      <c r="D103" s="5" t="n">
        <f aca="false">COUNTIFS('تفاصيل الفرص'!$B$2:$B$9,$B103,'تفاصيل الفرص'!$D$2:$D$9,$C103)</f>
        <v>0</v>
      </c>
      <c r="E103" s="5" t="n">
        <f aca="false">COUNTIFS('تفاصيل الفرص'!$B$2:$B$9,$B103,'تفاصيل الفرص'!$D$2:$D$9,$C103,'تفاصيل الفرص'!$X$2:$X$9,0)</f>
        <v>0</v>
      </c>
      <c r="F103" s="5" t="n">
        <f aca="false">COUNTIFS('سجل الأكشنات'!$B$2:$B$12,$B103,'سجل الأكشنات'!$D$2:$D$12,$C103)</f>
        <v>0</v>
      </c>
      <c r="G103" s="5" t="n">
        <f aca="false">COUNTIFS('سجل الأكشنات'!$B$2:$B$12,$B103,'سجل الأكشنات'!$D$2:$D$12,$C103,'سجل الأكشنات'!$H$2:$H$12,"تفصيلي")</f>
        <v>0</v>
      </c>
      <c r="H103" s="5" t="n">
        <f aca="false">F103-G103</f>
        <v>0</v>
      </c>
      <c r="I103" s="5" t="str">
        <f aca="false">IF($B103&gt;"2026-08-01","لا توجد بيانات بعد",IF(AND(D103=0,F103=0),"بدون نشاط","نشِط"))</f>
        <v>لا توجد بيانات بعد</v>
      </c>
    </row>
    <row r="104" customFormat="false" ht="15" hidden="false" customHeight="false" outlineLevel="0" collapsed="false">
      <c r="A104" s="12" t="s">
        <v>49</v>
      </c>
      <c r="B104" s="12" t="s">
        <v>73</v>
      </c>
      <c r="C104" s="13" t="s">
        <v>18</v>
      </c>
      <c r="D104" s="12" t="n">
        <f aca="false">COUNTIFS('تفاصيل الفرص'!$B$2:$B$9,$B104,'تفاصيل الفرص'!$D$2:$D$9,$C104)</f>
        <v>0</v>
      </c>
      <c r="E104" s="12" t="n">
        <f aca="false">COUNTIFS('تفاصيل الفرص'!$B$2:$B$9,$B104,'تفاصيل الفرص'!$D$2:$D$9,$C104,'تفاصيل الفرص'!$X$2:$X$9,0)</f>
        <v>0</v>
      </c>
      <c r="F104" s="12" t="n">
        <f aca="false">COUNTIFS('سجل الأكشنات'!$B$2:$B$12,$B104,'سجل الأكشنات'!$D$2:$D$12,$C104)</f>
        <v>0</v>
      </c>
      <c r="G104" s="12" t="n">
        <f aca="false">COUNTIFS('سجل الأكشنات'!$B$2:$B$12,$B104,'سجل الأكشنات'!$D$2:$D$12,$C104,'سجل الأكشنات'!$H$2:$H$12,"تفصيلي")</f>
        <v>0</v>
      </c>
      <c r="H104" s="12" t="n">
        <f aca="false">F104-G104</f>
        <v>0</v>
      </c>
      <c r="I104" s="12" t="str">
        <f aca="false">IF($B104&gt;"2026-08-01","لا توجد بيانات بعد",IF(AND(D104=0,F104=0),"بدون نشاط","نشِط"))</f>
        <v>لا توجد بيانات بعد</v>
      </c>
    </row>
    <row r="105" customFormat="false" ht="15" hidden="false" customHeight="false" outlineLevel="0" collapsed="false">
      <c r="A105" s="12" t="s">
        <v>49</v>
      </c>
      <c r="B105" s="12" t="s">
        <v>73</v>
      </c>
      <c r="C105" s="13" t="s">
        <v>20</v>
      </c>
      <c r="D105" s="12" t="n">
        <f aca="false">COUNTIFS('تفاصيل الفرص'!$B$2:$B$9,$B105,'تفاصيل الفرص'!$D$2:$D$9,$C105)</f>
        <v>0</v>
      </c>
      <c r="E105" s="12" t="n">
        <f aca="false">COUNTIFS('تفاصيل الفرص'!$B$2:$B$9,$B105,'تفاصيل الفرص'!$D$2:$D$9,$C105,'تفاصيل الفرص'!$X$2:$X$9,0)</f>
        <v>0</v>
      </c>
      <c r="F105" s="12" t="n">
        <f aca="false">COUNTIFS('سجل الأكشنات'!$B$2:$B$12,$B105,'سجل الأكشنات'!$D$2:$D$12,$C105)</f>
        <v>0</v>
      </c>
      <c r="G105" s="12" t="n">
        <f aca="false">COUNTIFS('سجل الأكشنات'!$B$2:$B$12,$B105,'سجل الأكشنات'!$D$2:$D$12,$C105,'سجل الأكشنات'!$H$2:$H$12,"تفصيلي")</f>
        <v>0</v>
      </c>
      <c r="H105" s="12" t="n">
        <f aca="false">F105-G105</f>
        <v>0</v>
      </c>
      <c r="I105" s="12" t="str">
        <f aca="false">IF($B105&gt;"2026-08-01","لا توجد بيانات بعد",IF(AND(D105=0,F105=0),"بدون نشاط","نشِط"))</f>
        <v>لا توجد بيانات بعد</v>
      </c>
    </row>
    <row r="106" customFormat="false" ht="15" hidden="false" customHeight="false" outlineLevel="0" collapsed="false">
      <c r="A106" s="12" t="s">
        <v>49</v>
      </c>
      <c r="B106" s="12" t="s">
        <v>73</v>
      </c>
      <c r="C106" s="13" t="s">
        <v>22</v>
      </c>
      <c r="D106" s="12" t="n">
        <f aca="false">COUNTIFS('تفاصيل الفرص'!$B$2:$B$9,$B106,'تفاصيل الفرص'!$D$2:$D$9,$C106)</f>
        <v>0</v>
      </c>
      <c r="E106" s="12" t="n">
        <f aca="false">COUNTIFS('تفاصيل الفرص'!$B$2:$B$9,$B106,'تفاصيل الفرص'!$D$2:$D$9,$C106,'تفاصيل الفرص'!$X$2:$X$9,0)</f>
        <v>0</v>
      </c>
      <c r="F106" s="12" t="n">
        <f aca="false">COUNTIFS('سجل الأكشنات'!$B$2:$B$12,$B106,'سجل الأكشنات'!$D$2:$D$12,$C106)</f>
        <v>0</v>
      </c>
      <c r="G106" s="12" t="n">
        <f aca="false">COUNTIFS('سجل الأكشنات'!$B$2:$B$12,$B106,'سجل الأكشنات'!$D$2:$D$12,$C106,'سجل الأكشنات'!$H$2:$H$12,"تفصيلي")</f>
        <v>0</v>
      </c>
      <c r="H106" s="12" t="n">
        <f aca="false">F106-G106</f>
        <v>0</v>
      </c>
      <c r="I106" s="12" t="str">
        <f aca="false">IF($B106&gt;"2026-08-01","لا توجد بيانات بعد",IF(AND(D106=0,F106=0),"بدون نشاط","نشِط"))</f>
        <v>لا توجد بيانات بعد</v>
      </c>
    </row>
    <row r="107" customFormat="false" ht="15" hidden="false" customHeight="false" outlineLevel="0" collapsed="false">
      <c r="A107" s="12" t="s">
        <v>49</v>
      </c>
      <c r="B107" s="12" t="s">
        <v>73</v>
      </c>
      <c r="C107" s="13" t="s">
        <v>24</v>
      </c>
      <c r="D107" s="12" t="n">
        <f aca="false">COUNTIFS('تفاصيل الفرص'!$B$2:$B$9,$B107,'تفاصيل الفرص'!$D$2:$D$9,$C107)</f>
        <v>0</v>
      </c>
      <c r="E107" s="12" t="n">
        <f aca="false">COUNTIFS('تفاصيل الفرص'!$B$2:$B$9,$B107,'تفاصيل الفرص'!$D$2:$D$9,$C107,'تفاصيل الفرص'!$X$2:$X$9,0)</f>
        <v>0</v>
      </c>
      <c r="F107" s="12" t="n">
        <f aca="false">COUNTIFS('سجل الأكشنات'!$B$2:$B$12,$B107,'سجل الأكشنات'!$D$2:$D$12,$C107)</f>
        <v>0</v>
      </c>
      <c r="G107" s="12" t="n">
        <f aca="false">COUNTIFS('سجل الأكشنات'!$B$2:$B$12,$B107,'سجل الأكشنات'!$D$2:$D$12,$C107,'سجل الأكشنات'!$H$2:$H$12,"تفصيلي")</f>
        <v>0</v>
      </c>
      <c r="H107" s="12" t="n">
        <f aca="false">F107-G107</f>
        <v>0</v>
      </c>
      <c r="I107" s="12" t="str">
        <f aca="false">IF($B107&gt;"2026-08-01","لا توجد بيانات بعد",IF(AND(D107=0,F107=0),"بدون نشاط","نشِط"))</f>
        <v>لا توجد بيانات بعد</v>
      </c>
    </row>
    <row r="108" customFormat="false" ht="15" hidden="false" customHeight="false" outlineLevel="0" collapsed="false">
      <c r="A108" s="5" t="s">
        <v>51</v>
      </c>
      <c r="B108" s="5" t="s">
        <v>74</v>
      </c>
      <c r="C108" s="4" t="s">
        <v>18</v>
      </c>
      <c r="D108" s="5" t="n">
        <f aca="false">COUNTIFS('تفاصيل الفرص'!$B$2:$B$9,$B108,'تفاصيل الفرص'!$D$2:$D$9,$C108)</f>
        <v>0</v>
      </c>
      <c r="E108" s="5" t="n">
        <f aca="false">COUNTIFS('تفاصيل الفرص'!$B$2:$B$9,$B108,'تفاصيل الفرص'!$D$2:$D$9,$C108,'تفاصيل الفرص'!$X$2:$X$9,0)</f>
        <v>0</v>
      </c>
      <c r="F108" s="5" t="n">
        <f aca="false">COUNTIFS('سجل الأكشنات'!$B$2:$B$12,$B108,'سجل الأكشنات'!$D$2:$D$12,$C108)</f>
        <v>0</v>
      </c>
      <c r="G108" s="5" t="n">
        <f aca="false">COUNTIFS('سجل الأكشنات'!$B$2:$B$12,$B108,'سجل الأكشنات'!$D$2:$D$12,$C108,'سجل الأكشنات'!$H$2:$H$12,"تفصيلي")</f>
        <v>0</v>
      </c>
      <c r="H108" s="5" t="n">
        <f aca="false">F108-G108</f>
        <v>0</v>
      </c>
      <c r="I108" s="5" t="str">
        <f aca="false">IF($B108&gt;"2026-08-01","لا توجد بيانات بعد",IF(AND(D108=0,F108=0),"بدون نشاط","نشِط"))</f>
        <v>لا توجد بيانات بعد</v>
      </c>
    </row>
    <row r="109" customFormat="false" ht="15" hidden="false" customHeight="false" outlineLevel="0" collapsed="false">
      <c r="A109" s="5" t="s">
        <v>51</v>
      </c>
      <c r="B109" s="5" t="s">
        <v>74</v>
      </c>
      <c r="C109" s="4" t="s">
        <v>20</v>
      </c>
      <c r="D109" s="5" t="n">
        <f aca="false">COUNTIFS('تفاصيل الفرص'!$B$2:$B$9,$B109,'تفاصيل الفرص'!$D$2:$D$9,$C109)</f>
        <v>0</v>
      </c>
      <c r="E109" s="5" t="n">
        <f aca="false">COUNTIFS('تفاصيل الفرص'!$B$2:$B$9,$B109,'تفاصيل الفرص'!$D$2:$D$9,$C109,'تفاصيل الفرص'!$X$2:$X$9,0)</f>
        <v>0</v>
      </c>
      <c r="F109" s="5" t="n">
        <f aca="false">COUNTIFS('سجل الأكشنات'!$B$2:$B$12,$B109,'سجل الأكشنات'!$D$2:$D$12,$C109)</f>
        <v>0</v>
      </c>
      <c r="G109" s="5" t="n">
        <f aca="false">COUNTIFS('سجل الأكشنات'!$B$2:$B$12,$B109,'سجل الأكشنات'!$D$2:$D$12,$C109,'سجل الأكشنات'!$H$2:$H$12,"تفصيلي")</f>
        <v>0</v>
      </c>
      <c r="H109" s="5" t="n">
        <f aca="false">F109-G109</f>
        <v>0</v>
      </c>
      <c r="I109" s="5" t="str">
        <f aca="false">IF($B109&gt;"2026-08-01","لا توجد بيانات بعد",IF(AND(D109=0,F109=0),"بدون نشاط","نشِط"))</f>
        <v>لا توجد بيانات بعد</v>
      </c>
    </row>
    <row r="110" customFormat="false" ht="15" hidden="false" customHeight="false" outlineLevel="0" collapsed="false">
      <c r="A110" s="5" t="s">
        <v>51</v>
      </c>
      <c r="B110" s="5" t="s">
        <v>74</v>
      </c>
      <c r="C110" s="4" t="s">
        <v>22</v>
      </c>
      <c r="D110" s="5" t="n">
        <f aca="false">COUNTIFS('تفاصيل الفرص'!$B$2:$B$9,$B110,'تفاصيل الفرص'!$D$2:$D$9,$C110)</f>
        <v>0</v>
      </c>
      <c r="E110" s="5" t="n">
        <f aca="false">COUNTIFS('تفاصيل الفرص'!$B$2:$B$9,$B110,'تفاصيل الفرص'!$D$2:$D$9,$C110,'تفاصيل الفرص'!$X$2:$X$9,0)</f>
        <v>0</v>
      </c>
      <c r="F110" s="5" t="n">
        <f aca="false">COUNTIFS('سجل الأكشنات'!$B$2:$B$12,$B110,'سجل الأكشنات'!$D$2:$D$12,$C110)</f>
        <v>0</v>
      </c>
      <c r="G110" s="5" t="n">
        <f aca="false">COUNTIFS('سجل الأكشنات'!$B$2:$B$12,$B110,'سجل الأكشنات'!$D$2:$D$12,$C110,'سجل الأكشنات'!$H$2:$H$12,"تفصيلي")</f>
        <v>0</v>
      </c>
      <c r="H110" s="5" t="n">
        <f aca="false">F110-G110</f>
        <v>0</v>
      </c>
      <c r="I110" s="5" t="str">
        <f aca="false">IF($B110&gt;"2026-08-01","لا توجد بيانات بعد",IF(AND(D110=0,F110=0),"بدون نشاط","نشِط"))</f>
        <v>لا توجد بيانات بعد</v>
      </c>
    </row>
    <row r="111" customFormat="false" ht="15" hidden="false" customHeight="false" outlineLevel="0" collapsed="false">
      <c r="A111" s="5" t="s">
        <v>51</v>
      </c>
      <c r="B111" s="5" t="s">
        <v>74</v>
      </c>
      <c r="C111" s="4" t="s">
        <v>24</v>
      </c>
      <c r="D111" s="5" t="n">
        <f aca="false">COUNTIFS('تفاصيل الفرص'!$B$2:$B$9,$B111,'تفاصيل الفرص'!$D$2:$D$9,$C111)</f>
        <v>0</v>
      </c>
      <c r="E111" s="5" t="n">
        <f aca="false">COUNTIFS('تفاصيل الفرص'!$B$2:$B$9,$B111,'تفاصيل الفرص'!$D$2:$D$9,$C111,'تفاصيل الفرص'!$X$2:$X$9,0)</f>
        <v>0</v>
      </c>
      <c r="F111" s="5" t="n">
        <f aca="false">COUNTIFS('سجل الأكشنات'!$B$2:$B$12,$B111,'سجل الأكشنات'!$D$2:$D$12,$C111)</f>
        <v>0</v>
      </c>
      <c r="G111" s="5" t="n">
        <f aca="false">COUNTIFS('سجل الأكشنات'!$B$2:$B$12,$B111,'سجل الأكشنات'!$D$2:$D$12,$C111,'سجل الأكشنات'!$H$2:$H$12,"تفصيلي")</f>
        <v>0</v>
      </c>
      <c r="H111" s="5" t="n">
        <f aca="false">F111-G111</f>
        <v>0</v>
      </c>
      <c r="I111" s="5" t="str">
        <f aca="false">IF($B111&gt;"2026-08-01","لا توجد بيانات بعد",IF(AND(D111=0,F111=0),"بدون نشاط","نشِط"))</f>
        <v>لا توجد بيانات بعد</v>
      </c>
    </row>
    <row r="112" customFormat="false" ht="15" hidden="false" customHeight="false" outlineLevel="0" collapsed="false">
      <c r="A112" s="12" t="s">
        <v>53</v>
      </c>
      <c r="B112" s="12" t="s">
        <v>75</v>
      </c>
      <c r="C112" s="13" t="s">
        <v>18</v>
      </c>
      <c r="D112" s="12" t="n">
        <f aca="false">COUNTIFS('تفاصيل الفرص'!$B$2:$B$9,$B112,'تفاصيل الفرص'!$D$2:$D$9,$C112)</f>
        <v>0</v>
      </c>
      <c r="E112" s="12" t="n">
        <f aca="false">COUNTIFS('تفاصيل الفرص'!$B$2:$B$9,$B112,'تفاصيل الفرص'!$D$2:$D$9,$C112,'تفاصيل الفرص'!$X$2:$X$9,0)</f>
        <v>0</v>
      </c>
      <c r="F112" s="12" t="n">
        <f aca="false">COUNTIFS('سجل الأكشنات'!$B$2:$B$12,$B112,'سجل الأكشنات'!$D$2:$D$12,$C112)</f>
        <v>0</v>
      </c>
      <c r="G112" s="12" t="n">
        <f aca="false">COUNTIFS('سجل الأكشنات'!$B$2:$B$12,$B112,'سجل الأكشنات'!$D$2:$D$12,$C112,'سجل الأكشنات'!$H$2:$H$12,"تفصيلي")</f>
        <v>0</v>
      </c>
      <c r="H112" s="12" t="n">
        <f aca="false">F112-G112</f>
        <v>0</v>
      </c>
      <c r="I112" s="12" t="str">
        <f aca="false">IF($B112&gt;"2026-08-01","لا توجد بيانات بعد",IF(AND(D112=0,F112=0),"بدون نشاط","نشِط"))</f>
        <v>لا توجد بيانات بعد</v>
      </c>
    </row>
    <row r="113" customFormat="false" ht="15" hidden="false" customHeight="false" outlineLevel="0" collapsed="false">
      <c r="A113" s="12" t="s">
        <v>53</v>
      </c>
      <c r="B113" s="12" t="s">
        <v>75</v>
      </c>
      <c r="C113" s="13" t="s">
        <v>20</v>
      </c>
      <c r="D113" s="12" t="n">
        <f aca="false">COUNTIFS('تفاصيل الفرص'!$B$2:$B$9,$B113,'تفاصيل الفرص'!$D$2:$D$9,$C113)</f>
        <v>0</v>
      </c>
      <c r="E113" s="12" t="n">
        <f aca="false">COUNTIFS('تفاصيل الفرص'!$B$2:$B$9,$B113,'تفاصيل الفرص'!$D$2:$D$9,$C113,'تفاصيل الفرص'!$X$2:$X$9,0)</f>
        <v>0</v>
      </c>
      <c r="F113" s="12" t="n">
        <f aca="false">COUNTIFS('سجل الأكشنات'!$B$2:$B$12,$B113,'سجل الأكشنات'!$D$2:$D$12,$C113)</f>
        <v>0</v>
      </c>
      <c r="G113" s="12" t="n">
        <f aca="false">COUNTIFS('سجل الأكشنات'!$B$2:$B$12,$B113,'سجل الأكشنات'!$D$2:$D$12,$C113,'سجل الأكشنات'!$H$2:$H$12,"تفصيلي")</f>
        <v>0</v>
      </c>
      <c r="H113" s="12" t="n">
        <f aca="false">F113-G113</f>
        <v>0</v>
      </c>
      <c r="I113" s="12" t="str">
        <f aca="false">IF($B113&gt;"2026-08-01","لا توجد بيانات بعد",IF(AND(D113=0,F113=0),"بدون نشاط","نشِط"))</f>
        <v>لا توجد بيانات بعد</v>
      </c>
    </row>
    <row r="114" customFormat="false" ht="15" hidden="false" customHeight="false" outlineLevel="0" collapsed="false">
      <c r="A114" s="12" t="s">
        <v>53</v>
      </c>
      <c r="B114" s="12" t="s">
        <v>75</v>
      </c>
      <c r="C114" s="13" t="s">
        <v>22</v>
      </c>
      <c r="D114" s="12" t="n">
        <f aca="false">COUNTIFS('تفاصيل الفرص'!$B$2:$B$9,$B114,'تفاصيل الفرص'!$D$2:$D$9,$C114)</f>
        <v>0</v>
      </c>
      <c r="E114" s="12" t="n">
        <f aca="false">COUNTIFS('تفاصيل الفرص'!$B$2:$B$9,$B114,'تفاصيل الفرص'!$D$2:$D$9,$C114,'تفاصيل الفرص'!$X$2:$X$9,0)</f>
        <v>0</v>
      </c>
      <c r="F114" s="12" t="n">
        <f aca="false">COUNTIFS('سجل الأكشنات'!$B$2:$B$12,$B114,'سجل الأكشنات'!$D$2:$D$12,$C114)</f>
        <v>0</v>
      </c>
      <c r="G114" s="12" t="n">
        <f aca="false">COUNTIFS('سجل الأكشنات'!$B$2:$B$12,$B114,'سجل الأكشنات'!$D$2:$D$12,$C114,'سجل الأكشنات'!$H$2:$H$12,"تفصيلي")</f>
        <v>0</v>
      </c>
      <c r="H114" s="12" t="n">
        <f aca="false">F114-G114</f>
        <v>0</v>
      </c>
      <c r="I114" s="12" t="str">
        <f aca="false">IF($B114&gt;"2026-08-01","لا توجد بيانات بعد",IF(AND(D114=0,F114=0),"بدون نشاط","نشِط"))</f>
        <v>لا توجد بيانات بعد</v>
      </c>
    </row>
    <row r="115" customFormat="false" ht="15" hidden="false" customHeight="false" outlineLevel="0" collapsed="false">
      <c r="A115" s="12" t="s">
        <v>53</v>
      </c>
      <c r="B115" s="12" t="s">
        <v>75</v>
      </c>
      <c r="C115" s="13" t="s">
        <v>24</v>
      </c>
      <c r="D115" s="12" t="n">
        <f aca="false">COUNTIFS('تفاصيل الفرص'!$B$2:$B$9,$B115,'تفاصيل الفرص'!$D$2:$D$9,$C115)</f>
        <v>0</v>
      </c>
      <c r="E115" s="12" t="n">
        <f aca="false">COUNTIFS('تفاصيل الفرص'!$B$2:$B$9,$B115,'تفاصيل الفرص'!$D$2:$D$9,$C115,'تفاصيل الفرص'!$X$2:$X$9,0)</f>
        <v>0</v>
      </c>
      <c r="F115" s="12" t="n">
        <f aca="false">COUNTIFS('سجل الأكشنات'!$B$2:$B$12,$B115,'سجل الأكشنات'!$D$2:$D$12,$C115)</f>
        <v>0</v>
      </c>
      <c r="G115" s="12" t="n">
        <f aca="false">COUNTIFS('سجل الأكشنات'!$B$2:$B$12,$B115,'سجل الأكشنات'!$D$2:$D$12,$C115,'سجل الأكشنات'!$H$2:$H$12,"تفصيلي")</f>
        <v>0</v>
      </c>
      <c r="H115" s="12" t="n">
        <f aca="false">F115-G115</f>
        <v>0</v>
      </c>
      <c r="I115" s="12" t="str">
        <f aca="false">IF($B115&gt;"2026-08-01","لا توجد بيانات بعد",IF(AND(D115=0,F115=0),"بدون نشاط","نشِط"))</f>
        <v>لا توجد بيانات بعد</v>
      </c>
    </row>
    <row r="116" customFormat="false" ht="15" hidden="false" customHeight="false" outlineLevel="0" collapsed="false">
      <c r="A116" s="5" t="s">
        <v>41</v>
      </c>
      <c r="B116" s="5" t="s">
        <v>76</v>
      </c>
      <c r="C116" s="4" t="s">
        <v>18</v>
      </c>
      <c r="D116" s="5" t="n">
        <f aca="false">COUNTIFS('تفاصيل الفرص'!$B$2:$B$9,$B116,'تفاصيل الفرص'!$D$2:$D$9,$C116)</f>
        <v>0</v>
      </c>
      <c r="E116" s="5" t="n">
        <f aca="false">COUNTIFS('تفاصيل الفرص'!$B$2:$B$9,$B116,'تفاصيل الفرص'!$D$2:$D$9,$C116,'تفاصيل الفرص'!$X$2:$X$9,0)</f>
        <v>0</v>
      </c>
      <c r="F116" s="5" t="n">
        <f aca="false">COUNTIFS('سجل الأكشنات'!$B$2:$B$12,$B116,'سجل الأكشنات'!$D$2:$D$12,$C116)</f>
        <v>0</v>
      </c>
      <c r="G116" s="5" t="n">
        <f aca="false">COUNTIFS('سجل الأكشنات'!$B$2:$B$12,$B116,'سجل الأكشنات'!$D$2:$D$12,$C116,'سجل الأكشنات'!$H$2:$H$12,"تفصيلي")</f>
        <v>0</v>
      </c>
      <c r="H116" s="5" t="n">
        <f aca="false">F116-G116</f>
        <v>0</v>
      </c>
      <c r="I116" s="5" t="str">
        <f aca="false">IF($B116&gt;"2026-08-01","لا توجد بيانات بعد",IF(AND(D116=0,F116=0),"بدون نشاط","نشِط"))</f>
        <v>لا توجد بيانات بعد</v>
      </c>
    </row>
    <row r="117" customFormat="false" ht="15" hidden="false" customHeight="false" outlineLevel="0" collapsed="false">
      <c r="A117" s="5" t="s">
        <v>41</v>
      </c>
      <c r="B117" s="5" t="s">
        <v>76</v>
      </c>
      <c r="C117" s="4" t="s">
        <v>20</v>
      </c>
      <c r="D117" s="5" t="n">
        <f aca="false">COUNTIFS('تفاصيل الفرص'!$B$2:$B$9,$B117,'تفاصيل الفرص'!$D$2:$D$9,$C117)</f>
        <v>0</v>
      </c>
      <c r="E117" s="5" t="n">
        <f aca="false">COUNTIFS('تفاصيل الفرص'!$B$2:$B$9,$B117,'تفاصيل الفرص'!$D$2:$D$9,$C117,'تفاصيل الفرص'!$X$2:$X$9,0)</f>
        <v>0</v>
      </c>
      <c r="F117" s="5" t="n">
        <f aca="false">COUNTIFS('سجل الأكشنات'!$B$2:$B$12,$B117,'سجل الأكشنات'!$D$2:$D$12,$C117)</f>
        <v>0</v>
      </c>
      <c r="G117" s="5" t="n">
        <f aca="false">COUNTIFS('سجل الأكشنات'!$B$2:$B$12,$B117,'سجل الأكشنات'!$D$2:$D$12,$C117,'سجل الأكشنات'!$H$2:$H$12,"تفصيلي")</f>
        <v>0</v>
      </c>
      <c r="H117" s="5" t="n">
        <f aca="false">F117-G117</f>
        <v>0</v>
      </c>
      <c r="I117" s="5" t="str">
        <f aca="false">IF($B117&gt;"2026-08-01","لا توجد بيانات بعد",IF(AND(D117=0,F117=0),"بدون نشاط","نشِط"))</f>
        <v>لا توجد بيانات بعد</v>
      </c>
    </row>
    <row r="118" customFormat="false" ht="15" hidden="false" customHeight="false" outlineLevel="0" collapsed="false">
      <c r="A118" s="5" t="s">
        <v>41</v>
      </c>
      <c r="B118" s="5" t="s">
        <v>76</v>
      </c>
      <c r="C118" s="4" t="s">
        <v>22</v>
      </c>
      <c r="D118" s="5" t="n">
        <f aca="false">COUNTIFS('تفاصيل الفرص'!$B$2:$B$9,$B118,'تفاصيل الفرص'!$D$2:$D$9,$C118)</f>
        <v>0</v>
      </c>
      <c r="E118" s="5" t="n">
        <f aca="false">COUNTIFS('تفاصيل الفرص'!$B$2:$B$9,$B118,'تفاصيل الفرص'!$D$2:$D$9,$C118,'تفاصيل الفرص'!$X$2:$X$9,0)</f>
        <v>0</v>
      </c>
      <c r="F118" s="5" t="n">
        <f aca="false">COUNTIFS('سجل الأكشنات'!$B$2:$B$12,$B118,'سجل الأكشنات'!$D$2:$D$12,$C118)</f>
        <v>0</v>
      </c>
      <c r="G118" s="5" t="n">
        <f aca="false">COUNTIFS('سجل الأكشنات'!$B$2:$B$12,$B118,'سجل الأكشنات'!$D$2:$D$12,$C118,'سجل الأكشنات'!$H$2:$H$12,"تفصيلي")</f>
        <v>0</v>
      </c>
      <c r="H118" s="5" t="n">
        <f aca="false">F118-G118</f>
        <v>0</v>
      </c>
      <c r="I118" s="5" t="str">
        <f aca="false">IF($B118&gt;"2026-08-01","لا توجد بيانات بعد",IF(AND(D118=0,F118=0),"بدون نشاط","نشِط"))</f>
        <v>لا توجد بيانات بعد</v>
      </c>
    </row>
    <row r="119" customFormat="false" ht="15" hidden="false" customHeight="false" outlineLevel="0" collapsed="false">
      <c r="A119" s="5" t="s">
        <v>41</v>
      </c>
      <c r="B119" s="5" t="s">
        <v>76</v>
      </c>
      <c r="C119" s="4" t="s">
        <v>24</v>
      </c>
      <c r="D119" s="5" t="n">
        <f aca="false">COUNTIFS('تفاصيل الفرص'!$B$2:$B$9,$B119,'تفاصيل الفرص'!$D$2:$D$9,$C119)</f>
        <v>0</v>
      </c>
      <c r="E119" s="5" t="n">
        <f aca="false">COUNTIFS('تفاصيل الفرص'!$B$2:$B$9,$B119,'تفاصيل الفرص'!$D$2:$D$9,$C119,'تفاصيل الفرص'!$X$2:$X$9,0)</f>
        <v>0</v>
      </c>
      <c r="F119" s="5" t="n">
        <f aca="false">COUNTIFS('سجل الأكشنات'!$B$2:$B$12,$B119,'سجل الأكشنات'!$D$2:$D$12,$C119)</f>
        <v>0</v>
      </c>
      <c r="G119" s="5" t="n">
        <f aca="false">COUNTIFS('سجل الأكشنات'!$B$2:$B$12,$B119,'سجل الأكشنات'!$D$2:$D$12,$C119,'سجل الأكشنات'!$H$2:$H$12,"تفصيلي")</f>
        <v>0</v>
      </c>
      <c r="H119" s="5" t="n">
        <f aca="false">F119-G119</f>
        <v>0</v>
      </c>
      <c r="I119" s="5" t="str">
        <f aca="false">IF($B119&gt;"2026-08-01","لا توجد بيانات بعد",IF(AND(D119=0,F119=0),"بدون نشاط","نشِط"))</f>
        <v>لا توجد بيانات بعد</v>
      </c>
    </row>
    <row r="120" customFormat="false" ht="15" hidden="false" customHeight="false" outlineLevel="0" collapsed="false">
      <c r="A120" s="12" t="s">
        <v>43</v>
      </c>
      <c r="B120" s="12" t="s">
        <v>77</v>
      </c>
      <c r="C120" s="13" t="s">
        <v>18</v>
      </c>
      <c r="D120" s="12" t="n">
        <f aca="false">COUNTIFS('تفاصيل الفرص'!$B$2:$B$9,$B120,'تفاصيل الفرص'!$D$2:$D$9,$C120)</f>
        <v>0</v>
      </c>
      <c r="E120" s="12" t="n">
        <f aca="false">COUNTIFS('تفاصيل الفرص'!$B$2:$B$9,$B120,'تفاصيل الفرص'!$D$2:$D$9,$C120,'تفاصيل الفرص'!$X$2:$X$9,0)</f>
        <v>0</v>
      </c>
      <c r="F120" s="12" t="n">
        <f aca="false">COUNTIFS('سجل الأكشنات'!$B$2:$B$12,$B120,'سجل الأكشنات'!$D$2:$D$12,$C120)</f>
        <v>0</v>
      </c>
      <c r="G120" s="12" t="n">
        <f aca="false">COUNTIFS('سجل الأكشنات'!$B$2:$B$12,$B120,'سجل الأكشنات'!$D$2:$D$12,$C120,'سجل الأكشنات'!$H$2:$H$12,"تفصيلي")</f>
        <v>0</v>
      </c>
      <c r="H120" s="12" t="n">
        <f aca="false">F120-G120</f>
        <v>0</v>
      </c>
      <c r="I120" s="12" t="str">
        <f aca="false">IF($B120&gt;"2026-08-01","لا توجد بيانات بعد",IF(AND(D120=0,F120=0),"بدون نشاط","نشِط"))</f>
        <v>لا توجد بيانات بعد</v>
      </c>
    </row>
    <row r="121" customFormat="false" ht="15" hidden="false" customHeight="false" outlineLevel="0" collapsed="false">
      <c r="A121" s="12" t="s">
        <v>43</v>
      </c>
      <c r="B121" s="12" t="s">
        <v>77</v>
      </c>
      <c r="C121" s="13" t="s">
        <v>20</v>
      </c>
      <c r="D121" s="12" t="n">
        <f aca="false">COUNTIFS('تفاصيل الفرص'!$B$2:$B$9,$B121,'تفاصيل الفرص'!$D$2:$D$9,$C121)</f>
        <v>0</v>
      </c>
      <c r="E121" s="12" t="n">
        <f aca="false">COUNTIFS('تفاصيل الفرص'!$B$2:$B$9,$B121,'تفاصيل الفرص'!$D$2:$D$9,$C121,'تفاصيل الفرص'!$X$2:$X$9,0)</f>
        <v>0</v>
      </c>
      <c r="F121" s="12" t="n">
        <f aca="false">COUNTIFS('سجل الأكشنات'!$B$2:$B$12,$B121,'سجل الأكشنات'!$D$2:$D$12,$C121)</f>
        <v>0</v>
      </c>
      <c r="G121" s="12" t="n">
        <f aca="false">COUNTIFS('سجل الأكشنات'!$B$2:$B$12,$B121,'سجل الأكشنات'!$D$2:$D$12,$C121,'سجل الأكشنات'!$H$2:$H$12,"تفصيلي")</f>
        <v>0</v>
      </c>
      <c r="H121" s="12" t="n">
        <f aca="false">F121-G121</f>
        <v>0</v>
      </c>
      <c r="I121" s="12" t="str">
        <f aca="false">IF($B121&gt;"2026-08-01","لا توجد بيانات بعد",IF(AND(D121=0,F121=0),"بدون نشاط","نشِط"))</f>
        <v>لا توجد بيانات بعد</v>
      </c>
    </row>
    <row r="122" customFormat="false" ht="15" hidden="false" customHeight="false" outlineLevel="0" collapsed="false">
      <c r="A122" s="12" t="s">
        <v>43</v>
      </c>
      <c r="B122" s="12" t="s">
        <v>77</v>
      </c>
      <c r="C122" s="13" t="s">
        <v>22</v>
      </c>
      <c r="D122" s="12" t="n">
        <f aca="false">COUNTIFS('تفاصيل الفرص'!$B$2:$B$9,$B122,'تفاصيل الفرص'!$D$2:$D$9,$C122)</f>
        <v>0</v>
      </c>
      <c r="E122" s="12" t="n">
        <f aca="false">COUNTIFS('تفاصيل الفرص'!$B$2:$B$9,$B122,'تفاصيل الفرص'!$D$2:$D$9,$C122,'تفاصيل الفرص'!$X$2:$X$9,0)</f>
        <v>0</v>
      </c>
      <c r="F122" s="12" t="n">
        <f aca="false">COUNTIFS('سجل الأكشنات'!$B$2:$B$12,$B122,'سجل الأكشنات'!$D$2:$D$12,$C122)</f>
        <v>0</v>
      </c>
      <c r="G122" s="12" t="n">
        <f aca="false">COUNTIFS('سجل الأكشنات'!$B$2:$B$12,$B122,'سجل الأكشنات'!$D$2:$D$12,$C122,'سجل الأكشنات'!$H$2:$H$12,"تفصيلي")</f>
        <v>0</v>
      </c>
      <c r="H122" s="12" t="n">
        <f aca="false">F122-G122</f>
        <v>0</v>
      </c>
      <c r="I122" s="12" t="str">
        <f aca="false">IF($B122&gt;"2026-08-01","لا توجد بيانات بعد",IF(AND(D122=0,F122=0),"بدون نشاط","نشِط"))</f>
        <v>لا توجد بيانات بعد</v>
      </c>
    </row>
    <row r="123" customFormat="false" ht="15" hidden="false" customHeight="false" outlineLevel="0" collapsed="false">
      <c r="A123" s="12" t="s">
        <v>43</v>
      </c>
      <c r="B123" s="12" t="s">
        <v>77</v>
      </c>
      <c r="C123" s="13" t="s">
        <v>24</v>
      </c>
      <c r="D123" s="12" t="n">
        <f aca="false">COUNTIFS('تفاصيل الفرص'!$B$2:$B$9,$B123,'تفاصيل الفرص'!$D$2:$D$9,$C123)</f>
        <v>0</v>
      </c>
      <c r="E123" s="12" t="n">
        <f aca="false">COUNTIFS('تفاصيل الفرص'!$B$2:$B$9,$B123,'تفاصيل الفرص'!$D$2:$D$9,$C123,'تفاصيل الفرص'!$X$2:$X$9,0)</f>
        <v>0</v>
      </c>
      <c r="F123" s="12" t="n">
        <f aca="false">COUNTIFS('سجل الأكشنات'!$B$2:$B$12,$B123,'سجل الأكشنات'!$D$2:$D$12,$C123)</f>
        <v>0</v>
      </c>
      <c r="G123" s="12" t="n">
        <f aca="false">COUNTIFS('سجل الأكشنات'!$B$2:$B$12,$B123,'سجل الأكشنات'!$D$2:$D$12,$C123,'سجل الأكشنات'!$H$2:$H$12,"تفصيلي")</f>
        <v>0</v>
      </c>
      <c r="H123" s="12" t="n">
        <f aca="false">F123-G123</f>
        <v>0</v>
      </c>
      <c r="I123" s="12" t="str">
        <f aca="false">IF($B123&gt;"2026-08-01","لا توجد بيانات بعد",IF(AND(D123=0,F123=0),"بدون نشاط","نشِط"))</f>
        <v>لا توجد بيانات بعد</v>
      </c>
    </row>
    <row r="124" customFormat="false" ht="15" hidden="false" customHeight="false" outlineLevel="0" collapsed="false">
      <c r="A124" s="5" t="s">
        <v>45</v>
      </c>
      <c r="B124" s="5" t="s">
        <v>78</v>
      </c>
      <c r="C124" s="4" t="s">
        <v>18</v>
      </c>
      <c r="D124" s="5" t="n">
        <f aca="false">COUNTIFS('تفاصيل الفرص'!$B$2:$B$9,$B124,'تفاصيل الفرص'!$D$2:$D$9,$C124)</f>
        <v>0</v>
      </c>
      <c r="E124" s="5" t="n">
        <f aca="false">COUNTIFS('تفاصيل الفرص'!$B$2:$B$9,$B124,'تفاصيل الفرص'!$D$2:$D$9,$C124,'تفاصيل الفرص'!$X$2:$X$9,0)</f>
        <v>0</v>
      </c>
      <c r="F124" s="5" t="n">
        <f aca="false">COUNTIFS('سجل الأكشنات'!$B$2:$B$12,$B124,'سجل الأكشنات'!$D$2:$D$12,$C124)</f>
        <v>0</v>
      </c>
      <c r="G124" s="5" t="n">
        <f aca="false">COUNTIFS('سجل الأكشنات'!$B$2:$B$12,$B124,'سجل الأكشنات'!$D$2:$D$12,$C124,'سجل الأكشنات'!$H$2:$H$12,"تفصيلي")</f>
        <v>0</v>
      </c>
      <c r="H124" s="5" t="n">
        <f aca="false">F124-G124</f>
        <v>0</v>
      </c>
      <c r="I124" s="5" t="str">
        <f aca="false">IF($B124&gt;"2026-08-01","لا توجد بيانات بعد",IF(AND(D124=0,F124=0),"بدون نشاط","نشِط"))</f>
        <v>لا توجد بيانات بعد</v>
      </c>
    </row>
    <row r="125" customFormat="false" ht="15" hidden="false" customHeight="false" outlineLevel="0" collapsed="false">
      <c r="A125" s="5" t="s">
        <v>45</v>
      </c>
      <c r="B125" s="5" t="s">
        <v>78</v>
      </c>
      <c r="C125" s="4" t="s">
        <v>20</v>
      </c>
      <c r="D125" s="5" t="n">
        <f aca="false">COUNTIFS('تفاصيل الفرص'!$B$2:$B$9,$B125,'تفاصيل الفرص'!$D$2:$D$9,$C125)</f>
        <v>0</v>
      </c>
      <c r="E125" s="5" t="n">
        <f aca="false">COUNTIFS('تفاصيل الفرص'!$B$2:$B$9,$B125,'تفاصيل الفرص'!$D$2:$D$9,$C125,'تفاصيل الفرص'!$X$2:$X$9,0)</f>
        <v>0</v>
      </c>
      <c r="F125" s="5" t="n">
        <f aca="false">COUNTIFS('سجل الأكشنات'!$B$2:$B$12,$B125,'سجل الأكشنات'!$D$2:$D$12,$C125)</f>
        <v>0</v>
      </c>
      <c r="G125" s="5" t="n">
        <f aca="false">COUNTIFS('سجل الأكشنات'!$B$2:$B$12,$B125,'سجل الأكشنات'!$D$2:$D$12,$C125,'سجل الأكشنات'!$H$2:$H$12,"تفصيلي")</f>
        <v>0</v>
      </c>
      <c r="H125" s="5" t="n">
        <f aca="false">F125-G125</f>
        <v>0</v>
      </c>
      <c r="I125" s="5" t="str">
        <f aca="false">IF($B125&gt;"2026-08-01","لا توجد بيانات بعد",IF(AND(D125=0,F125=0),"بدون نشاط","نشِط"))</f>
        <v>لا توجد بيانات بعد</v>
      </c>
    </row>
    <row r="126" customFormat="false" ht="15" hidden="false" customHeight="false" outlineLevel="0" collapsed="false">
      <c r="A126" s="5" t="s">
        <v>45</v>
      </c>
      <c r="B126" s="5" t="s">
        <v>78</v>
      </c>
      <c r="C126" s="4" t="s">
        <v>22</v>
      </c>
      <c r="D126" s="5" t="n">
        <f aca="false">COUNTIFS('تفاصيل الفرص'!$B$2:$B$9,$B126,'تفاصيل الفرص'!$D$2:$D$9,$C126)</f>
        <v>0</v>
      </c>
      <c r="E126" s="5" t="n">
        <f aca="false">COUNTIFS('تفاصيل الفرص'!$B$2:$B$9,$B126,'تفاصيل الفرص'!$D$2:$D$9,$C126,'تفاصيل الفرص'!$X$2:$X$9,0)</f>
        <v>0</v>
      </c>
      <c r="F126" s="5" t="n">
        <f aca="false">COUNTIFS('سجل الأكشنات'!$B$2:$B$12,$B126,'سجل الأكشنات'!$D$2:$D$12,$C126)</f>
        <v>0</v>
      </c>
      <c r="G126" s="5" t="n">
        <f aca="false">COUNTIFS('سجل الأكشنات'!$B$2:$B$12,$B126,'سجل الأكشنات'!$D$2:$D$12,$C126,'سجل الأكشنات'!$H$2:$H$12,"تفصيلي")</f>
        <v>0</v>
      </c>
      <c r="H126" s="5" t="n">
        <f aca="false">F126-G126</f>
        <v>0</v>
      </c>
      <c r="I126" s="5" t="str">
        <f aca="false">IF($B126&gt;"2026-08-01","لا توجد بيانات بعد",IF(AND(D126=0,F126=0),"بدون نشاط","نشِط"))</f>
        <v>لا توجد بيانات بعد</v>
      </c>
    </row>
    <row r="127" customFormat="false" ht="15" hidden="false" customHeight="false" outlineLevel="0" collapsed="false">
      <c r="A127" s="5" t="s">
        <v>45</v>
      </c>
      <c r="B127" s="5" t="s">
        <v>78</v>
      </c>
      <c r="C127" s="4" t="s">
        <v>24</v>
      </c>
      <c r="D127" s="5" t="n">
        <f aca="false">COUNTIFS('تفاصيل الفرص'!$B$2:$B$9,$B127,'تفاصيل الفرص'!$D$2:$D$9,$C127)</f>
        <v>0</v>
      </c>
      <c r="E127" s="5" t="n">
        <f aca="false">COUNTIFS('تفاصيل الفرص'!$B$2:$B$9,$B127,'تفاصيل الفرص'!$D$2:$D$9,$C127,'تفاصيل الفرص'!$X$2:$X$9,0)</f>
        <v>0</v>
      </c>
      <c r="F127" s="5" t="n">
        <f aca="false">COUNTIFS('سجل الأكشنات'!$B$2:$B$12,$B127,'سجل الأكشنات'!$D$2:$D$12,$C127)</f>
        <v>0</v>
      </c>
      <c r="G127" s="5" t="n">
        <f aca="false">COUNTIFS('سجل الأكشنات'!$B$2:$B$12,$B127,'سجل الأكشنات'!$D$2:$D$12,$C127,'سجل الأكشنات'!$H$2:$H$12,"تفصيلي")</f>
        <v>0</v>
      </c>
      <c r="H127" s="5" t="n">
        <f aca="false">F127-G127</f>
        <v>0</v>
      </c>
      <c r="I127" s="5" t="str">
        <f aca="false">IF($B127&gt;"2026-08-01","لا توجد بيانات بعد",IF(AND(D127=0,F127=0),"بدون نشاط","نشِط"))</f>
        <v>لا توجد بيانات بعد</v>
      </c>
    </row>
  </sheetData>
  <autoFilter ref="A3:I127"/>
  <mergeCells count="1">
    <mergeCell ref="A1:F1"/>
  </mergeCells>
  <conditionalFormatting sqref="I4:I127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127">
    <cfRule type="cellIs" priority="4" operator="greater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0" min="7" style="0" width="16"/>
  </cols>
  <sheetData>
    <row r="1" customFormat="false" ht="17.35" hidden="false" customHeight="false" outlineLevel="0" collapsed="false">
      <c r="A1" s="14" t="s">
        <v>79</v>
      </c>
    </row>
    <row r="2" customFormat="false" ht="15" hidden="false" customHeight="false" outlineLevel="0" collapsed="false">
      <c r="A2" s="15" t="s">
        <v>80</v>
      </c>
    </row>
    <row r="4" customFormat="false" ht="15" hidden="false" customHeight="false" outlineLevel="0" collapsed="false">
      <c r="A4" s="16" t="s">
        <v>81</v>
      </c>
    </row>
    <row r="5" customFormat="false" ht="51.75" hidden="false" customHeight="true" outlineLevel="0" collapsed="false">
      <c r="A5" s="3" t="s">
        <v>82</v>
      </c>
      <c r="B5" s="3" t="s">
        <v>83</v>
      </c>
      <c r="C5" s="3" t="s">
        <v>84</v>
      </c>
      <c r="D5" s="3" t="s">
        <v>85</v>
      </c>
      <c r="E5" s="3" t="s">
        <v>86</v>
      </c>
      <c r="F5" s="3" t="s">
        <v>87</v>
      </c>
      <c r="G5" s="3" t="s">
        <v>18</v>
      </c>
      <c r="H5" s="3" t="s">
        <v>22</v>
      </c>
    </row>
    <row r="6" customFormat="false" ht="15" hidden="false" customHeight="false" outlineLevel="0" collapsed="false">
      <c r="A6" s="4" t="s">
        <v>88</v>
      </c>
      <c r="B6" s="4" t="s">
        <v>89</v>
      </c>
      <c r="C6" s="5" t="n">
        <f aca="false">COUNTIF('تفاصيل الفرص'!$I$2:$I$9,"لا")</f>
        <v>0</v>
      </c>
      <c r="D6" s="6" t="n">
        <f aca="false">IF(8=0,0,C6/8)</f>
        <v>0</v>
      </c>
      <c r="E6" s="5" t="n">
        <v>0</v>
      </c>
      <c r="F6" s="4" t="s">
        <v>90</v>
      </c>
      <c r="G6" s="5" t="n">
        <f aca="false">COUNTIFS('تفاصيل الفرص'!$D$2:$D$9,G$5,'تفاصيل الفرص'!$I$2:$I$9,"لا")</f>
        <v>0</v>
      </c>
      <c r="H6" s="5" t="n">
        <f aca="false">COUNTIFS('تفاصيل الفرص'!$D$2:$D$9,H$5,'تفاصيل الفرص'!$I$2:$I$9,"لا")</f>
        <v>0</v>
      </c>
    </row>
    <row r="7" customFormat="false" ht="15" hidden="false" customHeight="false" outlineLevel="0" collapsed="false">
      <c r="A7" s="4" t="s">
        <v>91</v>
      </c>
      <c r="B7" s="4" t="s">
        <v>5</v>
      </c>
      <c r="C7" s="5" t="n">
        <f aca="false">COUNTIF('تفاصيل الفرص'!$K$2:$K$9,"لا")</f>
        <v>7</v>
      </c>
      <c r="D7" s="6" t="n">
        <f aca="false">IF(8=0,0,C7/8)</f>
        <v>0.875</v>
      </c>
      <c r="E7" s="5" t="n">
        <v>2</v>
      </c>
      <c r="F7" s="4" t="s">
        <v>92</v>
      </c>
      <c r="G7" s="5" t="n">
        <f aca="false">COUNTIFS('تفاصيل الفرص'!$D$2:$D$9,G$5,'تفاصيل الفرص'!$K$2:$K$9,"لا")</f>
        <v>1</v>
      </c>
      <c r="H7" s="5" t="n">
        <f aca="false">COUNTIFS('تفاصيل الفرص'!$D$2:$D$9,H$5,'تفاصيل الفرص'!$K$2:$K$9,"لا")</f>
        <v>6</v>
      </c>
    </row>
    <row r="8" customFormat="false" ht="15" hidden="false" customHeight="false" outlineLevel="0" collapsed="false">
      <c r="A8" s="4" t="s">
        <v>93</v>
      </c>
      <c r="B8" s="4" t="s">
        <v>6</v>
      </c>
      <c r="C8" s="5" t="n">
        <f aca="false">COUNTIF('تفاصيل الفرص'!$M$2:$M$9,"لا")</f>
        <v>1</v>
      </c>
      <c r="D8" s="6" t="n">
        <f aca="false">IF(8=0,0,C8/8)</f>
        <v>0.125</v>
      </c>
      <c r="E8" s="5" t="n">
        <v>1</v>
      </c>
      <c r="F8" s="4" t="s">
        <v>94</v>
      </c>
      <c r="G8" s="5" t="n">
        <f aca="false">COUNTIFS('تفاصيل الفرص'!$D$2:$D$9,G$5,'تفاصيل الفرص'!$M$2:$M$9,"لا")</f>
        <v>0</v>
      </c>
      <c r="H8" s="5" t="n">
        <f aca="false">COUNTIFS('تفاصيل الفرص'!$D$2:$D$9,H$5,'تفاصيل الفرص'!$M$2:$M$9,"لا")</f>
        <v>1</v>
      </c>
    </row>
    <row r="9" customFormat="false" ht="15" hidden="false" customHeight="false" outlineLevel="0" collapsed="false">
      <c r="A9" s="4" t="s">
        <v>95</v>
      </c>
      <c r="B9" s="4" t="s">
        <v>7</v>
      </c>
      <c r="C9" s="5" t="n">
        <f aca="false">COUNTIF('تفاصيل الفرص'!$O$2:$O$9,"لا")</f>
        <v>2</v>
      </c>
      <c r="D9" s="6" t="n">
        <f aca="false">IF(8=0,0,C9/8)</f>
        <v>0.25</v>
      </c>
      <c r="E9" s="5" t="n">
        <v>2</v>
      </c>
      <c r="F9" s="4" t="s">
        <v>96</v>
      </c>
      <c r="G9" s="5" t="n">
        <f aca="false">COUNTIFS('تفاصيل الفرص'!$D$2:$D$9,G$5,'تفاصيل الفرص'!$O$2:$O$9,"لا")</f>
        <v>1</v>
      </c>
      <c r="H9" s="5" t="n">
        <f aca="false">COUNTIFS('تفاصيل الفرص'!$D$2:$D$9,H$5,'تفاصيل الفرص'!$O$2:$O$9,"لا")</f>
        <v>1</v>
      </c>
    </row>
    <row r="10" customFormat="false" ht="15" hidden="false" customHeight="false" outlineLevel="0" collapsed="false">
      <c r="A10" s="4" t="s">
        <v>97</v>
      </c>
      <c r="B10" s="4" t="s">
        <v>8</v>
      </c>
      <c r="C10" s="5" t="n">
        <f aca="false">COUNTIF('تفاصيل الفرص'!$Q$2:$Q$9,"لا")</f>
        <v>0</v>
      </c>
      <c r="D10" s="6" t="n">
        <f aca="false">IF(8=0,0,C10/8)</f>
        <v>0</v>
      </c>
      <c r="E10" s="5" t="n">
        <v>0</v>
      </c>
      <c r="F10" s="4" t="s">
        <v>90</v>
      </c>
      <c r="G10" s="5" t="n">
        <f aca="false">COUNTIFS('تفاصيل الفرص'!$D$2:$D$9,G$5,'تفاصيل الفرص'!$Q$2:$Q$9,"لا")</f>
        <v>0</v>
      </c>
      <c r="H10" s="5" t="n">
        <f aca="false">COUNTIFS('تفاصيل الفرص'!$D$2:$D$9,H$5,'تفاصيل الفرص'!$Q$2:$Q$9,"لا")</f>
        <v>0</v>
      </c>
    </row>
    <row r="11" customFormat="false" ht="15" hidden="false" customHeight="false" outlineLevel="0" collapsed="false">
      <c r="A11" s="4" t="s">
        <v>98</v>
      </c>
      <c r="B11" s="4" t="s">
        <v>9</v>
      </c>
      <c r="C11" s="5" t="n">
        <f aca="false">COUNTIF('تفاصيل الفرص'!$S$2:$S$9,"لا")</f>
        <v>7</v>
      </c>
      <c r="D11" s="6" t="n">
        <f aca="false">IF(8=0,0,C11/8)</f>
        <v>0.875</v>
      </c>
      <c r="E11" s="5" t="n">
        <v>2</v>
      </c>
      <c r="F11" s="4" t="s">
        <v>92</v>
      </c>
      <c r="G11" s="5" t="n">
        <f aca="false">COUNTIFS('تفاصيل الفرص'!$D$2:$D$9,G$5,'تفاصيل الفرص'!$S$2:$S$9,"لا")</f>
        <v>1</v>
      </c>
      <c r="H11" s="5" t="n">
        <f aca="false">COUNTIFS('تفاصيل الفرص'!$D$2:$D$9,H$5,'تفاصيل الفرص'!$S$2:$S$9,"لا")</f>
        <v>6</v>
      </c>
    </row>
    <row r="12" customFormat="false" ht="15" hidden="false" customHeight="false" outlineLevel="0" collapsed="false">
      <c r="A12" s="4" t="s">
        <v>99</v>
      </c>
      <c r="B12" s="4" t="s">
        <v>10</v>
      </c>
      <c r="C12" s="5" t="n">
        <f aca="false">COUNTIF('تفاصيل الفرص'!$U$2:$U$9,"لا")</f>
        <v>6</v>
      </c>
      <c r="D12" s="6" t="n">
        <f aca="false">IF(8=0,0,C12/8)</f>
        <v>0.75</v>
      </c>
      <c r="E12" s="5" t="n">
        <v>1</v>
      </c>
      <c r="F12" s="4" t="s">
        <v>92</v>
      </c>
      <c r="G12" s="5" t="n">
        <f aca="false">COUNTIFS('تفاصيل الفرص'!$D$2:$D$9,G$5,'تفاصيل الفرص'!$U$2:$U$9,"لا")</f>
        <v>0</v>
      </c>
      <c r="H12" s="5" t="n">
        <f aca="false">COUNTIFS('تفاصيل الفرص'!$D$2:$D$9,H$5,'تفاصيل الفرص'!$U$2:$U$9,"لا")</f>
        <v>6</v>
      </c>
    </row>
    <row r="13" customFormat="false" ht="15" hidden="false" customHeight="false" outlineLevel="0" collapsed="false">
      <c r="A13" s="4" t="s">
        <v>100</v>
      </c>
      <c r="B13" s="4" t="s">
        <v>11</v>
      </c>
      <c r="C13" s="5" t="n">
        <f aca="false">COUNTIF('تفاصيل الفرص'!$W$2:$W$9,"لا")</f>
        <v>8</v>
      </c>
      <c r="D13" s="6" t="n">
        <f aca="false">IF(8=0,0,C13/8)</f>
        <v>1</v>
      </c>
      <c r="E13" s="5" t="n">
        <v>2</v>
      </c>
      <c r="F13" s="4" t="s">
        <v>92</v>
      </c>
      <c r="G13" s="5" t="n">
        <f aca="false">COUNTIFS('تفاصيل الفرص'!$D$2:$D$9,G$5,'تفاصيل الفرص'!$W$2:$W$9,"لا")</f>
        <v>2</v>
      </c>
      <c r="H13" s="5" t="n">
        <f aca="false">COUNTIFS('تفاصيل الفرص'!$D$2:$D$9,H$5,'تفاصيل الفرص'!$W$2:$W$9,"لا")</f>
        <v>6</v>
      </c>
    </row>
    <row r="16" customFormat="false" ht="15" hidden="false" customHeight="false" outlineLevel="0" collapsed="false">
      <c r="A16" s="16" t="s">
        <v>101</v>
      </c>
    </row>
    <row r="17" customFormat="false" ht="31.5" hidden="false" customHeight="true" outlineLevel="0" collapsed="false">
      <c r="A17" s="3" t="s">
        <v>102</v>
      </c>
      <c r="B17" s="3" t="s">
        <v>3</v>
      </c>
      <c r="C17" s="3" t="s">
        <v>103</v>
      </c>
    </row>
    <row r="18" customFormat="false" ht="15" hidden="false" customHeight="false" outlineLevel="0" collapsed="false">
      <c r="A18" s="4" t="s">
        <v>104</v>
      </c>
      <c r="B18" s="5" t="n">
        <v>5</v>
      </c>
      <c r="C18" s="6" t="n">
        <f aca="false">IF(8=0,0,B18/8)</f>
        <v>0.625</v>
      </c>
    </row>
    <row r="19" customFormat="false" ht="23.85" hidden="false" customHeight="false" outlineLevel="0" collapsed="false">
      <c r="A19" s="4" t="s">
        <v>105</v>
      </c>
      <c r="B19" s="5" t="n">
        <v>1</v>
      </c>
      <c r="C19" s="6" t="n">
        <f aca="false">IF(8=0,0,B19/8)</f>
        <v>0.125</v>
      </c>
    </row>
    <row r="20" customFormat="false" ht="15" hidden="false" customHeight="false" outlineLevel="0" collapsed="false">
      <c r="A20" s="4" t="s">
        <v>106</v>
      </c>
      <c r="B20" s="5" t="n">
        <v>1</v>
      </c>
      <c r="C20" s="6" t="n">
        <f aca="false">IF(8=0,0,B20/8)</f>
        <v>0.125</v>
      </c>
    </row>
    <row r="21" customFormat="false" ht="15" hidden="false" customHeight="false" outlineLevel="0" collapsed="false">
      <c r="A21" s="4" t="s">
        <v>107</v>
      </c>
      <c r="B21" s="5" t="n">
        <v>1</v>
      </c>
      <c r="C21" s="6" t="n">
        <f aca="false">IF(8=0,0,B21/8)</f>
        <v>0.125</v>
      </c>
    </row>
    <row r="24" customFormat="false" ht="15" hidden="false" customHeight="false" outlineLevel="0" collapsed="false">
      <c r="A24" s="16" t="s">
        <v>108</v>
      </c>
    </row>
    <row r="25" customFormat="false" ht="51.75" hidden="false" customHeight="true" outlineLevel="0" collapsed="false">
      <c r="A25" s="3" t="s">
        <v>109</v>
      </c>
      <c r="B25" s="3" t="s">
        <v>13</v>
      </c>
      <c r="C25" s="3" t="s">
        <v>110</v>
      </c>
      <c r="D25" s="3" t="s">
        <v>18</v>
      </c>
      <c r="E25" s="3" t="s">
        <v>22</v>
      </c>
    </row>
    <row r="26" customFormat="false" ht="15" hidden="false" customHeight="false" outlineLevel="0" collapsed="false">
      <c r="A26" s="4" t="s">
        <v>111</v>
      </c>
      <c r="B26" s="5" t="n">
        <f aca="false">COUNTIF('سجل الأكشنات'!$J$2:$J$12,$A26)</f>
        <v>6</v>
      </c>
      <c r="C26" s="6" t="n">
        <f aca="false">IF(11=0,0,B26/11)</f>
        <v>0.545454545454545</v>
      </c>
      <c r="D26" s="5" t="n">
        <f aca="false">COUNTIFS('سجل الأكشنات'!$D$2:$D$12,D$25,'سجل الأكشنات'!$J$2:$J$12,$A26)</f>
        <v>1</v>
      </c>
      <c r="E26" s="5" t="n">
        <f aca="false">COUNTIFS('سجل الأكشنات'!$D$2:$D$12,E$25,'سجل الأكشنات'!$J$2:$J$12,$A26)</f>
        <v>4</v>
      </c>
    </row>
    <row r="27" customFormat="false" ht="15" hidden="false" customHeight="false" outlineLevel="0" collapsed="false">
      <c r="A27" s="4" t="s">
        <v>112</v>
      </c>
      <c r="B27" s="5" t="n">
        <f aca="false">COUNTIF('سجل الأكشنات'!$J$2:$J$12,$A27)</f>
        <v>3</v>
      </c>
      <c r="C27" s="6" t="n">
        <f aca="false">IF(11=0,0,B27/11)</f>
        <v>0.272727272727273</v>
      </c>
      <c r="D27" s="5" t="n">
        <f aca="false">COUNTIFS('سجل الأكشنات'!$D$2:$D$12,D$25,'سجل الأكشنات'!$J$2:$J$12,$A27)</f>
        <v>2</v>
      </c>
      <c r="E27" s="5" t="n">
        <f aca="false">COUNTIFS('سجل الأكشنات'!$D$2:$D$12,E$25,'سجل الأكشنات'!$J$2:$J$12,$A27)</f>
        <v>0</v>
      </c>
    </row>
    <row r="28" customFormat="false" ht="23.85" hidden="false" customHeight="false" outlineLevel="0" collapsed="false">
      <c r="A28" s="4" t="s">
        <v>113</v>
      </c>
      <c r="B28" s="5" t="n">
        <f aca="false">COUNTIF('سجل الأكشنات'!$J$2:$J$12,$A28)</f>
        <v>2</v>
      </c>
      <c r="C28" s="6" t="n">
        <f aca="false">IF(11=0,0,B28/11)</f>
        <v>0.181818181818182</v>
      </c>
      <c r="D28" s="5" t="n">
        <f aca="false">COUNTIFS('سجل الأكشنات'!$D$2:$D$12,D$25,'سجل الأكشنات'!$J$2:$J$12,$A28)</f>
        <v>0</v>
      </c>
      <c r="E28" s="5" t="n">
        <f aca="false">COUNTIFS('سجل الأكشنات'!$D$2:$D$12,E$25,'سجل الأكشنات'!$J$2:$J$12,$A28)</f>
        <v>1</v>
      </c>
    </row>
    <row r="31" customFormat="false" ht="15" hidden="false" customHeight="false" outlineLevel="0" collapsed="false">
      <c r="A31" s="16" t="s">
        <v>114</v>
      </c>
    </row>
    <row r="32" customFormat="false" ht="31.5" hidden="false" customHeight="true" outlineLevel="0" collapsed="false">
      <c r="A32" s="3" t="s">
        <v>2</v>
      </c>
      <c r="B32" s="3" t="s">
        <v>3</v>
      </c>
      <c r="C32" s="3" t="s">
        <v>13</v>
      </c>
      <c r="D32" s="3" t="s">
        <v>115</v>
      </c>
      <c r="E32" s="3"/>
      <c r="F32" s="3"/>
      <c r="G32" s="3"/>
      <c r="H32" s="3"/>
      <c r="I32" s="3"/>
      <c r="J32" s="3"/>
    </row>
    <row r="33" customFormat="false" ht="45.75" hidden="false" customHeight="true" outlineLevel="0" collapsed="false">
      <c r="A33" s="4" t="s">
        <v>18</v>
      </c>
      <c r="B33" s="5" t="n">
        <v>2</v>
      </c>
      <c r="C33" s="5" t="n">
        <v>3</v>
      </c>
      <c r="D33" s="4"/>
      <c r="E33" s="4"/>
      <c r="F33" s="4"/>
      <c r="G33" s="4"/>
      <c r="H33" s="4"/>
      <c r="I33" s="4"/>
      <c r="J33" s="4"/>
    </row>
    <row r="34" customFormat="false" ht="45.75" hidden="false" customHeight="true" outlineLevel="0" collapsed="false">
      <c r="A34" s="4" t="s">
        <v>20</v>
      </c>
      <c r="B34" s="5" t="n">
        <v>0</v>
      </c>
      <c r="C34" s="5" t="n">
        <v>1</v>
      </c>
      <c r="D34" s="4"/>
      <c r="E34" s="4"/>
      <c r="F34" s="4"/>
      <c r="G34" s="4"/>
      <c r="H34" s="4"/>
      <c r="I34" s="4"/>
      <c r="J34" s="4"/>
    </row>
    <row r="35" customFormat="false" ht="45.75" hidden="false" customHeight="true" outlineLevel="0" collapsed="false">
      <c r="A35" s="4" t="s">
        <v>22</v>
      </c>
      <c r="B35" s="5" t="n">
        <v>6</v>
      </c>
      <c r="C35" s="5" t="n">
        <v>5</v>
      </c>
      <c r="D35" s="4"/>
      <c r="E35" s="4"/>
      <c r="F35" s="4"/>
      <c r="G35" s="4"/>
      <c r="H35" s="4"/>
      <c r="I35" s="4"/>
      <c r="J35" s="4"/>
    </row>
    <row r="36" customFormat="false" ht="45.75" hidden="false" customHeight="true" outlineLevel="0" collapsed="false">
      <c r="A36" s="4" t="s">
        <v>24</v>
      </c>
      <c r="B36" s="5" t="n">
        <v>0</v>
      </c>
      <c r="C36" s="5" t="n">
        <v>2</v>
      </c>
      <c r="D36" s="4"/>
      <c r="E36" s="4"/>
      <c r="F36" s="4"/>
      <c r="G36" s="4"/>
      <c r="H36" s="4"/>
      <c r="I36" s="4"/>
      <c r="J36" s="4"/>
    </row>
  </sheetData>
  <mergeCells count="5">
    <mergeCell ref="D32:J32"/>
    <mergeCell ref="D33:J33"/>
    <mergeCell ref="D34:J34"/>
    <mergeCell ref="D35:J35"/>
    <mergeCell ref="D36:J36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116</v>
      </c>
      <c r="B1" s="3" t="s">
        <v>37</v>
      </c>
      <c r="C1" s="3" t="s">
        <v>117</v>
      </c>
      <c r="D1" s="3" t="s">
        <v>2</v>
      </c>
      <c r="E1" s="3" t="s">
        <v>118</v>
      </c>
      <c r="F1" s="3" t="s">
        <v>119</v>
      </c>
      <c r="G1" s="3" t="s">
        <v>120</v>
      </c>
      <c r="H1" s="3" t="s">
        <v>89</v>
      </c>
      <c r="I1" s="3" t="s">
        <v>121</v>
      </c>
      <c r="J1" s="3" t="s">
        <v>5</v>
      </c>
      <c r="K1" s="3" t="s">
        <v>122</v>
      </c>
      <c r="L1" s="3" t="s">
        <v>6</v>
      </c>
      <c r="M1" s="3" t="s">
        <v>123</v>
      </c>
      <c r="N1" s="3" t="s">
        <v>7</v>
      </c>
      <c r="O1" s="3" t="s">
        <v>124</v>
      </c>
      <c r="P1" s="3" t="s">
        <v>8</v>
      </c>
      <c r="Q1" s="3" t="s">
        <v>125</v>
      </c>
      <c r="R1" s="3" t="s">
        <v>126</v>
      </c>
      <c r="S1" s="3" t="s">
        <v>127</v>
      </c>
      <c r="T1" s="3" t="s">
        <v>10</v>
      </c>
      <c r="U1" s="3" t="s">
        <v>128</v>
      </c>
      <c r="V1" s="3" t="s">
        <v>129</v>
      </c>
      <c r="W1" s="3" t="s">
        <v>130</v>
      </c>
      <c r="X1" s="3" t="s">
        <v>131</v>
      </c>
      <c r="Y1" s="3" t="s">
        <v>115</v>
      </c>
    </row>
    <row r="2" customFormat="false" ht="23.85" hidden="false" customHeight="false" outlineLevel="0" collapsed="false">
      <c r="A2" s="5" t="n">
        <v>42314</v>
      </c>
      <c r="B2" s="5" t="s">
        <v>42</v>
      </c>
      <c r="C2" s="5" t="s">
        <v>132</v>
      </c>
      <c r="D2" s="4" t="s">
        <v>22</v>
      </c>
      <c r="E2" s="4" t="s">
        <v>133</v>
      </c>
      <c r="F2" s="4" t="s">
        <v>134</v>
      </c>
      <c r="G2" s="4" t="s">
        <v>135</v>
      </c>
      <c r="H2" s="4" t="s">
        <v>136</v>
      </c>
      <c r="I2" s="5" t="s">
        <v>137</v>
      </c>
      <c r="J2" s="4"/>
      <c r="K2" s="5" t="s">
        <v>138</v>
      </c>
      <c r="L2" s="4" t="s">
        <v>139</v>
      </c>
      <c r="M2" s="5" t="s">
        <v>137</v>
      </c>
      <c r="N2" s="4" t="s">
        <v>136</v>
      </c>
      <c r="O2" s="5" t="s">
        <v>137</v>
      </c>
      <c r="P2" s="4" t="s">
        <v>140</v>
      </c>
      <c r="Q2" s="5" t="s">
        <v>137</v>
      </c>
      <c r="R2" s="5" t="n">
        <v>0</v>
      </c>
      <c r="S2" s="5" t="s">
        <v>138</v>
      </c>
      <c r="T2" s="4"/>
      <c r="U2" s="5" t="s">
        <v>138</v>
      </c>
      <c r="V2" s="5" t="n">
        <v>0</v>
      </c>
      <c r="W2" s="5" t="s">
        <v>138</v>
      </c>
      <c r="X2" s="5" t="n">
        <v>4</v>
      </c>
      <c r="Y2" s="4" t="s">
        <v>141</v>
      </c>
    </row>
    <row r="3" customFormat="false" ht="23.85" hidden="false" customHeight="false" outlineLevel="0" collapsed="false">
      <c r="A3" s="5" t="n">
        <v>42315</v>
      </c>
      <c r="B3" s="5" t="s">
        <v>42</v>
      </c>
      <c r="C3" s="5" t="s">
        <v>142</v>
      </c>
      <c r="D3" s="4" t="s">
        <v>22</v>
      </c>
      <c r="E3" s="4" t="s">
        <v>133</v>
      </c>
      <c r="F3" s="4" t="s">
        <v>134</v>
      </c>
      <c r="G3" s="4" t="s">
        <v>143</v>
      </c>
      <c r="H3" s="4" t="s">
        <v>144</v>
      </c>
      <c r="I3" s="5" t="s">
        <v>137</v>
      </c>
      <c r="J3" s="4"/>
      <c r="K3" s="5" t="s">
        <v>138</v>
      </c>
      <c r="L3" s="4" t="s">
        <v>145</v>
      </c>
      <c r="M3" s="5" t="s">
        <v>137</v>
      </c>
      <c r="N3" s="4" t="s">
        <v>144</v>
      </c>
      <c r="O3" s="5" t="s">
        <v>137</v>
      </c>
      <c r="P3" s="4" t="s">
        <v>140</v>
      </c>
      <c r="Q3" s="5" t="s">
        <v>137</v>
      </c>
      <c r="R3" s="5" t="n">
        <v>0</v>
      </c>
      <c r="S3" s="5" t="s">
        <v>138</v>
      </c>
      <c r="T3" s="4"/>
      <c r="U3" s="5" t="s">
        <v>138</v>
      </c>
      <c r="V3" s="5" t="n">
        <v>0</v>
      </c>
      <c r="W3" s="5" t="s">
        <v>138</v>
      </c>
      <c r="X3" s="5" t="n">
        <v>4</v>
      </c>
      <c r="Y3" s="4" t="s">
        <v>141</v>
      </c>
    </row>
    <row r="4" customFormat="false" ht="23.85" hidden="false" customHeight="false" outlineLevel="0" collapsed="false">
      <c r="A4" s="5" t="n">
        <v>42316</v>
      </c>
      <c r="B4" s="5" t="s">
        <v>42</v>
      </c>
      <c r="C4" s="5" t="s">
        <v>146</v>
      </c>
      <c r="D4" s="4" t="s">
        <v>22</v>
      </c>
      <c r="E4" s="4" t="s">
        <v>133</v>
      </c>
      <c r="F4" s="4" t="s">
        <v>134</v>
      </c>
      <c r="G4" s="4" t="s">
        <v>147</v>
      </c>
      <c r="H4" s="4" t="s">
        <v>148</v>
      </c>
      <c r="I4" s="5" t="s">
        <v>137</v>
      </c>
      <c r="J4" s="4"/>
      <c r="K4" s="5" t="s">
        <v>138</v>
      </c>
      <c r="L4" s="4" t="s">
        <v>149</v>
      </c>
      <c r="M4" s="5" t="s">
        <v>137</v>
      </c>
      <c r="N4" s="4" t="s">
        <v>148</v>
      </c>
      <c r="O4" s="5" t="s">
        <v>137</v>
      </c>
      <c r="P4" s="4" t="s">
        <v>140</v>
      </c>
      <c r="Q4" s="5" t="s">
        <v>137</v>
      </c>
      <c r="R4" s="5" t="n">
        <v>0</v>
      </c>
      <c r="S4" s="5" t="s">
        <v>138</v>
      </c>
      <c r="T4" s="4"/>
      <c r="U4" s="5" t="s">
        <v>138</v>
      </c>
      <c r="V4" s="5" t="n">
        <v>0</v>
      </c>
      <c r="W4" s="5" t="s">
        <v>138</v>
      </c>
      <c r="X4" s="5" t="n">
        <v>4</v>
      </c>
      <c r="Y4" s="4" t="s">
        <v>141</v>
      </c>
    </row>
    <row r="5" customFormat="false" ht="23.85" hidden="false" customHeight="false" outlineLevel="0" collapsed="false">
      <c r="A5" s="5" t="n">
        <v>42317</v>
      </c>
      <c r="B5" s="5" t="s">
        <v>42</v>
      </c>
      <c r="C5" s="5" t="s">
        <v>150</v>
      </c>
      <c r="D5" s="4" t="s">
        <v>22</v>
      </c>
      <c r="E5" s="4" t="s">
        <v>133</v>
      </c>
      <c r="F5" s="4" t="s">
        <v>134</v>
      </c>
      <c r="G5" s="4" t="s">
        <v>151</v>
      </c>
      <c r="H5" s="4" t="s">
        <v>152</v>
      </c>
      <c r="I5" s="5" t="s">
        <v>137</v>
      </c>
      <c r="J5" s="4"/>
      <c r="K5" s="5" t="s">
        <v>138</v>
      </c>
      <c r="L5" s="4" t="s">
        <v>145</v>
      </c>
      <c r="M5" s="5" t="s">
        <v>137</v>
      </c>
      <c r="N5" s="4" t="s">
        <v>153</v>
      </c>
      <c r="O5" s="5" t="s">
        <v>137</v>
      </c>
      <c r="P5" s="4" t="s">
        <v>140</v>
      </c>
      <c r="Q5" s="5" t="s">
        <v>137</v>
      </c>
      <c r="R5" s="5" t="n">
        <v>0</v>
      </c>
      <c r="S5" s="5" t="s">
        <v>138</v>
      </c>
      <c r="T5" s="4"/>
      <c r="U5" s="5" t="s">
        <v>138</v>
      </c>
      <c r="V5" s="5" t="n">
        <v>0</v>
      </c>
      <c r="W5" s="5" t="s">
        <v>138</v>
      </c>
      <c r="X5" s="5" t="n">
        <v>4</v>
      </c>
      <c r="Y5" s="4" t="s">
        <v>141</v>
      </c>
    </row>
    <row r="6" customFormat="false" ht="23.85" hidden="false" customHeight="false" outlineLevel="0" collapsed="false">
      <c r="A6" s="5" t="n">
        <v>42318</v>
      </c>
      <c r="B6" s="5" t="s">
        <v>42</v>
      </c>
      <c r="C6" s="5" t="s">
        <v>154</v>
      </c>
      <c r="D6" s="4" t="s">
        <v>22</v>
      </c>
      <c r="E6" s="4" t="s">
        <v>133</v>
      </c>
      <c r="F6" s="4" t="s">
        <v>134</v>
      </c>
      <c r="G6" s="4" t="s">
        <v>155</v>
      </c>
      <c r="H6" s="4" t="s">
        <v>156</v>
      </c>
      <c r="I6" s="5" t="s">
        <v>137</v>
      </c>
      <c r="J6" s="4"/>
      <c r="K6" s="5" t="s">
        <v>138</v>
      </c>
      <c r="L6" s="4" t="s">
        <v>157</v>
      </c>
      <c r="M6" s="5" t="s">
        <v>137</v>
      </c>
      <c r="N6" s="4" t="s">
        <v>158</v>
      </c>
      <c r="O6" s="5" t="s">
        <v>137</v>
      </c>
      <c r="P6" s="4" t="s">
        <v>140</v>
      </c>
      <c r="Q6" s="5" t="s">
        <v>137</v>
      </c>
      <c r="R6" s="5" t="n">
        <v>0</v>
      </c>
      <c r="S6" s="5" t="s">
        <v>138</v>
      </c>
      <c r="T6" s="4"/>
      <c r="U6" s="5" t="s">
        <v>138</v>
      </c>
      <c r="V6" s="5" t="n">
        <v>0</v>
      </c>
      <c r="W6" s="5" t="s">
        <v>138</v>
      </c>
      <c r="X6" s="5" t="n">
        <v>4</v>
      </c>
      <c r="Y6" s="4" t="s">
        <v>141</v>
      </c>
    </row>
    <row r="7" customFormat="false" ht="23.85" hidden="false" customHeight="false" outlineLevel="0" collapsed="false">
      <c r="A7" s="5" t="n">
        <v>42319</v>
      </c>
      <c r="B7" s="5" t="s">
        <v>42</v>
      </c>
      <c r="C7" s="5" t="s">
        <v>159</v>
      </c>
      <c r="D7" s="4" t="s">
        <v>22</v>
      </c>
      <c r="E7" s="4" t="s">
        <v>133</v>
      </c>
      <c r="F7" s="4" t="s">
        <v>134</v>
      </c>
      <c r="G7" s="4" t="s">
        <v>160</v>
      </c>
      <c r="H7" s="4" t="s">
        <v>161</v>
      </c>
      <c r="I7" s="5" t="s">
        <v>137</v>
      </c>
      <c r="J7" s="4"/>
      <c r="K7" s="5" t="s">
        <v>138</v>
      </c>
      <c r="L7" s="4"/>
      <c r="M7" s="5" t="s">
        <v>138</v>
      </c>
      <c r="N7" s="4"/>
      <c r="O7" s="5" t="s">
        <v>138</v>
      </c>
      <c r="P7" s="4" t="s">
        <v>162</v>
      </c>
      <c r="Q7" s="5" t="s">
        <v>137</v>
      </c>
      <c r="R7" s="5" t="n">
        <v>0</v>
      </c>
      <c r="S7" s="5" t="s">
        <v>138</v>
      </c>
      <c r="T7" s="4"/>
      <c r="U7" s="5" t="s">
        <v>138</v>
      </c>
      <c r="V7" s="5" t="n">
        <v>0</v>
      </c>
      <c r="W7" s="5" t="s">
        <v>138</v>
      </c>
      <c r="X7" s="5" t="n">
        <v>6</v>
      </c>
      <c r="Y7" s="4" t="s">
        <v>163</v>
      </c>
    </row>
    <row r="8" customFormat="false" ht="23.85" hidden="false" customHeight="false" outlineLevel="0" collapsed="false">
      <c r="A8" s="5" t="n">
        <v>42321</v>
      </c>
      <c r="B8" s="5" t="s">
        <v>42</v>
      </c>
      <c r="C8" s="5" t="s">
        <v>164</v>
      </c>
      <c r="D8" s="4" t="s">
        <v>18</v>
      </c>
      <c r="E8" s="4" t="s">
        <v>165</v>
      </c>
      <c r="F8" s="4" t="s">
        <v>134</v>
      </c>
      <c r="G8" s="4" t="s">
        <v>166</v>
      </c>
      <c r="H8" s="4" t="s">
        <v>167</v>
      </c>
      <c r="I8" s="5" t="s">
        <v>137</v>
      </c>
      <c r="J8" s="4"/>
      <c r="K8" s="5" t="s">
        <v>138</v>
      </c>
      <c r="L8" s="4" t="s">
        <v>168</v>
      </c>
      <c r="M8" s="5" t="s">
        <v>137</v>
      </c>
      <c r="N8" s="4"/>
      <c r="O8" s="5" t="s">
        <v>138</v>
      </c>
      <c r="P8" s="4" t="s">
        <v>169</v>
      </c>
      <c r="Q8" s="5" t="s">
        <v>137</v>
      </c>
      <c r="R8" s="5" t="n">
        <v>2</v>
      </c>
      <c r="S8" s="5" t="s">
        <v>137</v>
      </c>
      <c r="T8" s="4" t="s">
        <v>170</v>
      </c>
      <c r="U8" s="5" t="s">
        <v>137</v>
      </c>
      <c r="V8" s="5" t="n">
        <v>0</v>
      </c>
      <c r="W8" s="5" t="s">
        <v>138</v>
      </c>
      <c r="X8" s="5" t="n">
        <v>3</v>
      </c>
      <c r="Y8" s="4" t="s">
        <v>171</v>
      </c>
    </row>
    <row r="9" customFormat="false" ht="23.85" hidden="false" customHeight="false" outlineLevel="0" collapsed="false">
      <c r="A9" s="5" t="n">
        <v>42322</v>
      </c>
      <c r="B9" s="5" t="s">
        <v>42</v>
      </c>
      <c r="C9" s="5" t="s">
        <v>172</v>
      </c>
      <c r="D9" s="4" t="s">
        <v>18</v>
      </c>
      <c r="E9" s="4" t="s">
        <v>165</v>
      </c>
      <c r="F9" s="4" t="s">
        <v>134</v>
      </c>
      <c r="G9" s="4" t="s">
        <v>173</v>
      </c>
      <c r="H9" s="4" t="s">
        <v>174</v>
      </c>
      <c r="I9" s="5" t="s">
        <v>137</v>
      </c>
      <c r="J9" s="4" t="s">
        <v>175</v>
      </c>
      <c r="K9" s="5" t="s">
        <v>137</v>
      </c>
      <c r="L9" s="4" t="s">
        <v>176</v>
      </c>
      <c r="M9" s="5" t="s">
        <v>137</v>
      </c>
      <c r="N9" s="4" t="s">
        <v>177</v>
      </c>
      <c r="O9" s="5" t="s">
        <v>137</v>
      </c>
      <c r="P9" s="4" t="s">
        <v>169</v>
      </c>
      <c r="Q9" s="5" t="s">
        <v>137</v>
      </c>
      <c r="R9" s="5" t="n">
        <v>0</v>
      </c>
      <c r="S9" s="5" t="s">
        <v>138</v>
      </c>
      <c r="T9" s="4" t="s">
        <v>140</v>
      </c>
      <c r="U9" s="5" t="s">
        <v>137</v>
      </c>
      <c r="V9" s="5" t="n">
        <v>0</v>
      </c>
      <c r="W9" s="5" t="s">
        <v>138</v>
      </c>
      <c r="X9" s="5" t="n">
        <v>2</v>
      </c>
      <c r="Y9" s="4" t="s">
        <v>178</v>
      </c>
    </row>
  </sheetData>
  <autoFilter ref="A1:Y9"/>
  <conditionalFormatting sqref="I2:I9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9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9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9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9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9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9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9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9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116</v>
      </c>
      <c r="B1" s="3" t="s">
        <v>37</v>
      </c>
      <c r="C1" s="3" t="s">
        <v>117</v>
      </c>
      <c r="D1" s="3" t="s">
        <v>2</v>
      </c>
      <c r="E1" s="3" t="s">
        <v>179</v>
      </c>
      <c r="F1" s="3" t="s">
        <v>180</v>
      </c>
      <c r="G1" s="3" t="s">
        <v>181</v>
      </c>
      <c r="H1" s="3" t="s">
        <v>182</v>
      </c>
      <c r="I1" s="3" t="s">
        <v>183</v>
      </c>
      <c r="J1" s="3" t="s">
        <v>115</v>
      </c>
    </row>
    <row r="2" customFormat="false" ht="23.85" hidden="false" customHeight="false" outlineLevel="0" collapsed="false">
      <c r="A2" s="5" t="n">
        <v>35173</v>
      </c>
      <c r="B2" s="5" t="s">
        <v>42</v>
      </c>
      <c r="C2" s="5" t="s">
        <v>184</v>
      </c>
      <c r="D2" s="4" t="s">
        <v>24</v>
      </c>
      <c r="E2" s="4" t="s">
        <v>185</v>
      </c>
      <c r="F2" s="4" t="s">
        <v>186</v>
      </c>
      <c r="G2" s="5" t="n">
        <v>18</v>
      </c>
      <c r="H2" s="5" t="s">
        <v>187</v>
      </c>
      <c r="I2" s="4" t="s">
        <v>188</v>
      </c>
      <c r="J2" s="4" t="s">
        <v>113</v>
      </c>
    </row>
    <row r="3" customFormat="false" ht="15" hidden="false" customHeight="false" outlineLevel="0" collapsed="false">
      <c r="A3" s="5" t="n">
        <v>42063</v>
      </c>
      <c r="B3" s="5" t="s">
        <v>42</v>
      </c>
      <c r="C3" s="5" t="s">
        <v>189</v>
      </c>
      <c r="D3" s="4" t="s">
        <v>24</v>
      </c>
      <c r="E3" s="4" t="s">
        <v>185</v>
      </c>
      <c r="F3" s="4" t="s">
        <v>186</v>
      </c>
      <c r="G3" s="5" t="n">
        <v>37</v>
      </c>
      <c r="H3" s="5" t="s">
        <v>190</v>
      </c>
      <c r="I3" s="4" t="s">
        <v>191</v>
      </c>
      <c r="J3" s="4" t="s">
        <v>112</v>
      </c>
    </row>
    <row r="4" customFormat="false" ht="15" hidden="false" customHeight="false" outlineLevel="0" collapsed="false">
      <c r="A4" s="5" t="n">
        <v>39518</v>
      </c>
      <c r="B4" s="5" t="s">
        <v>42</v>
      </c>
      <c r="C4" s="5" t="s">
        <v>192</v>
      </c>
      <c r="D4" s="4" t="s">
        <v>20</v>
      </c>
      <c r="E4" s="4" t="s">
        <v>185</v>
      </c>
      <c r="F4" s="4" t="s">
        <v>186</v>
      </c>
      <c r="G4" s="5" t="n">
        <v>45</v>
      </c>
      <c r="H4" s="5" t="s">
        <v>193</v>
      </c>
      <c r="I4" s="4" t="s">
        <v>194</v>
      </c>
      <c r="J4" s="4" t="s">
        <v>111</v>
      </c>
    </row>
    <row r="5" customFormat="false" ht="15" hidden="false" customHeight="false" outlineLevel="0" collapsed="false">
      <c r="A5" s="5" t="n">
        <v>42314</v>
      </c>
      <c r="B5" s="5" t="s">
        <v>42</v>
      </c>
      <c r="C5" s="5" t="s">
        <v>195</v>
      </c>
      <c r="D5" s="4" t="s">
        <v>22</v>
      </c>
      <c r="E5" s="4" t="s">
        <v>185</v>
      </c>
      <c r="F5" s="4" t="s">
        <v>196</v>
      </c>
      <c r="G5" s="5" t="n">
        <v>99</v>
      </c>
      <c r="H5" s="5" t="s">
        <v>193</v>
      </c>
      <c r="I5" s="4" t="s">
        <v>197</v>
      </c>
      <c r="J5" s="4" t="s">
        <v>111</v>
      </c>
    </row>
    <row r="6" customFormat="false" ht="15" hidden="false" customHeight="false" outlineLevel="0" collapsed="false">
      <c r="A6" s="5" t="n">
        <v>42315</v>
      </c>
      <c r="B6" s="5" t="s">
        <v>42</v>
      </c>
      <c r="C6" s="5" t="s">
        <v>198</v>
      </c>
      <c r="D6" s="4" t="s">
        <v>22</v>
      </c>
      <c r="E6" s="4" t="s">
        <v>185</v>
      </c>
      <c r="F6" s="4" t="s">
        <v>196</v>
      </c>
      <c r="G6" s="5" t="n">
        <v>60</v>
      </c>
      <c r="H6" s="5" t="s">
        <v>193</v>
      </c>
      <c r="I6" s="4" t="s">
        <v>199</v>
      </c>
      <c r="J6" s="4" t="s">
        <v>111</v>
      </c>
    </row>
    <row r="7" customFormat="false" ht="15" hidden="false" customHeight="false" outlineLevel="0" collapsed="false">
      <c r="A7" s="5" t="n">
        <v>42316</v>
      </c>
      <c r="B7" s="5" t="s">
        <v>42</v>
      </c>
      <c r="C7" s="5" t="s">
        <v>150</v>
      </c>
      <c r="D7" s="4" t="s">
        <v>22</v>
      </c>
      <c r="E7" s="4" t="s">
        <v>185</v>
      </c>
      <c r="F7" s="4" t="s">
        <v>196</v>
      </c>
      <c r="G7" s="5" t="n">
        <v>72</v>
      </c>
      <c r="H7" s="5" t="s">
        <v>193</v>
      </c>
      <c r="I7" s="4" t="s">
        <v>200</v>
      </c>
      <c r="J7" s="4" t="s">
        <v>111</v>
      </c>
    </row>
    <row r="8" customFormat="false" ht="15" hidden="false" customHeight="false" outlineLevel="0" collapsed="false">
      <c r="A8" s="5" t="n">
        <v>42318</v>
      </c>
      <c r="B8" s="5" t="s">
        <v>42</v>
      </c>
      <c r="C8" s="5" t="s">
        <v>201</v>
      </c>
      <c r="D8" s="4" t="s">
        <v>22</v>
      </c>
      <c r="E8" s="4" t="s">
        <v>185</v>
      </c>
      <c r="F8" s="4" t="s">
        <v>196</v>
      </c>
      <c r="G8" s="5" t="n">
        <v>79</v>
      </c>
      <c r="H8" s="5" t="s">
        <v>193</v>
      </c>
      <c r="I8" s="4" t="s">
        <v>202</v>
      </c>
      <c r="J8" s="4" t="s">
        <v>111</v>
      </c>
    </row>
    <row r="9" customFormat="false" ht="23.85" hidden="false" customHeight="false" outlineLevel="0" collapsed="false">
      <c r="A9" s="5" t="n">
        <v>42319</v>
      </c>
      <c r="B9" s="5" t="s">
        <v>42</v>
      </c>
      <c r="C9" s="5" t="s">
        <v>159</v>
      </c>
      <c r="D9" s="4" t="s">
        <v>22</v>
      </c>
      <c r="E9" s="4" t="s">
        <v>185</v>
      </c>
      <c r="F9" s="4" t="s">
        <v>186</v>
      </c>
      <c r="G9" s="5" t="n">
        <v>16</v>
      </c>
      <c r="H9" s="5" t="s">
        <v>187</v>
      </c>
      <c r="I9" s="4" t="s">
        <v>203</v>
      </c>
      <c r="J9" s="4" t="s">
        <v>113</v>
      </c>
    </row>
    <row r="10" customFormat="false" ht="15" hidden="false" customHeight="false" outlineLevel="0" collapsed="false">
      <c r="A10" s="5" t="n">
        <v>42321</v>
      </c>
      <c r="B10" s="5" t="s">
        <v>42</v>
      </c>
      <c r="C10" s="5" t="s">
        <v>204</v>
      </c>
      <c r="D10" s="4" t="s">
        <v>18</v>
      </c>
      <c r="E10" s="4" t="s">
        <v>185</v>
      </c>
      <c r="F10" s="4" t="s">
        <v>205</v>
      </c>
      <c r="G10" s="5" t="n">
        <v>39</v>
      </c>
      <c r="H10" s="5" t="s">
        <v>190</v>
      </c>
      <c r="I10" s="4" t="s">
        <v>206</v>
      </c>
      <c r="J10" s="4" t="s">
        <v>112</v>
      </c>
    </row>
    <row r="11" customFormat="false" ht="15" hidden="false" customHeight="false" outlineLevel="0" collapsed="false">
      <c r="A11" s="5" t="n">
        <v>42322</v>
      </c>
      <c r="B11" s="5" t="s">
        <v>42</v>
      </c>
      <c r="C11" s="5" t="s">
        <v>207</v>
      </c>
      <c r="D11" s="4" t="s">
        <v>18</v>
      </c>
      <c r="E11" s="4" t="s">
        <v>185</v>
      </c>
      <c r="F11" s="4" t="s">
        <v>205</v>
      </c>
      <c r="G11" s="5" t="n">
        <v>40</v>
      </c>
      <c r="H11" s="5" t="s">
        <v>193</v>
      </c>
      <c r="I11" s="4" t="s">
        <v>208</v>
      </c>
      <c r="J11" s="4" t="s">
        <v>111</v>
      </c>
    </row>
    <row r="12" customFormat="false" ht="15" hidden="false" customHeight="false" outlineLevel="0" collapsed="false">
      <c r="A12" s="5" t="n">
        <v>41650</v>
      </c>
      <c r="B12" s="5" t="s">
        <v>42</v>
      </c>
      <c r="C12" s="5" t="s">
        <v>209</v>
      </c>
      <c r="D12" s="4" t="s">
        <v>18</v>
      </c>
      <c r="E12" s="4" t="s">
        <v>185</v>
      </c>
      <c r="F12" s="4" t="s">
        <v>205</v>
      </c>
      <c r="G12" s="5" t="n">
        <v>30</v>
      </c>
      <c r="H12" s="5" t="s">
        <v>190</v>
      </c>
      <c r="I12" s="4" t="s">
        <v>210</v>
      </c>
      <c r="J12" s="4" t="s">
        <v>112</v>
      </c>
    </row>
  </sheetData>
  <autoFilter ref="A1:J12"/>
  <conditionalFormatting sqref="J2:J12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12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2026-08-01T20:33:00Z</dcterms:created>
  <dc:creator>openpyxl</dc:creator>
  <dc:description/>
  <dc:language>en-US</dc:language>
  <cp:lastModifiedBy/>
  <dcterms:modified xsi:type="dcterms:W3CDTF">2026-08-01T20:33:01Z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