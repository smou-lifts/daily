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ملخص المناديب" sheetId="1" state="visible" r:id="rId3"/>
    <sheet name="متابعة يومية" sheetId="2" state="visible" r:id="rId4"/>
    <sheet name="الملاحظات وتكرارها" sheetId="3" state="visible" r:id="rId5"/>
    <sheet name="تفاصيل الفرص" sheetId="4" state="visible" r:id="rId6"/>
    <sheet name="سجل الأكشنات" sheetId="5" state="visible" r:id="rId7"/>
  </sheets>
  <definedNames>
    <definedName function="false" hidden="true" localSheetId="3" name="_xlnm._FilterDatabase" vbProcedure="false">'تفاصيل الفرص'!$A$1:$Y$3</definedName>
    <definedName function="false" hidden="true" localSheetId="4" name="_xlnm._FilterDatabase" vbProcedure="false">'سجل الأكشنات'!$A$1:$J$2</definedName>
    <definedName function="false" hidden="true" localSheetId="1" name="_xlnm._FilterDatabase" vbProcedure="false">'متابعة يومية'!$A$3:$I$65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<sst xmlns="http://schemas.openxmlformats.org/spreadsheetml/2006/main" count="360" uniqueCount="150">
  <si>
    <t xml:space="preserve">شيت المتابعة اليومية للمناديب — Smou Lifts (Odoo CRM)</t>
  </si>
  <si>
    <t xml:space="preserve">الفترة: 01/10/2026 حتى 31/10/2026   |   البيانات متاحة فعلياً حتى 2026-10-01   |   المصدر: crm.lead   |   آخر تحديث: 01/10/2026</t>
  </si>
  <si>
    <t xml:space="preserve">المندوب</t>
  </si>
  <si>
    <t xml:space="preserve">عدد الفرص</t>
  </si>
  <si>
    <t xml:space="preserve">اسم العميل مكتوب</t>
  </si>
  <si>
    <t xml:space="preserve">Plot Number</t>
  </si>
  <si>
    <t xml:space="preserve">الاستشاري</t>
  </si>
  <si>
    <t xml:space="preserve">المقاول</t>
  </si>
  <si>
    <t xml:space="preserve">Tags</t>
  </si>
  <si>
    <t xml:space="preserve">مرفقات</t>
  </si>
  <si>
    <t xml:space="preserve">Source</t>
  </si>
  <si>
    <t xml:space="preserve">ملاحظات</t>
  </si>
  <si>
    <t xml:space="preserve">نسبة الاكتمال %</t>
  </si>
  <si>
    <t xml:space="preserve">عدد الأكشنات</t>
  </si>
  <si>
    <t xml:space="preserve">أكشنات تفصيلية</t>
  </si>
  <si>
    <t xml:space="preserve">أكشنات مختصرة</t>
  </si>
  <si>
    <t xml:space="preserve">نسبة التفصيل %</t>
  </si>
  <si>
    <t xml:space="preserve">الملاحظة العامة على المندوب</t>
  </si>
  <si>
    <t xml:space="preserve">Ahmed Alattar</t>
  </si>
  <si>
    <t xml:space="preserve">لا يكتب إطلاقاً: Plot Number، المقاول، مرفقات، ملاحظات (في كل الـ1 فرصة) · الأكشنات: 1 أكشن منها 1 مختصر/بدون نص</t>
  </si>
  <si>
    <t xml:space="preserve">Mohammed Jamal</t>
  </si>
  <si>
    <t xml:space="preserve">لا يكتب إطلاقاً: Plot Number، الاستشاري، المقاول، Tags، مرفقات، Source، ملاحظات (في كل الـ1 فرصة)</t>
  </si>
  <si>
    <t xml:space="preserve">الإجمالي</t>
  </si>
  <si>
    <t xml:space="preserve">ملاحظات على المنهجية:</t>
  </si>
  <si>
    <t xml:space="preserve">• «عدد الفرص» = الفرص (crm.lead) التي أنشأها المندوب في الفترة، بتوقيت الإمارات (UTC+4).</t>
  </si>
  <si>
    <t xml:space="preserve">• أعمدة الفحص تَعُدّ الفرص التي بها الخانة ممتلئة فعلياً (نعم) — التفاصيل سطراً بسطر في تاب «تفاصيل الفرص».</t>
  </si>
  <si>
    <t xml:space="preserve">• «نسبة الاكتمال %» = مجموع الخانات الممتلئة ÷ (عدد الفرص × 8 خانات مطلوبة).</t>
  </si>
  <si>
    <t xml:space="preserve">• «عدد الأكشنات» = الأنشطة المنفّذة (Activity done) + الملاحظات المسجّلة على الفرص خلال الفترة.</t>
  </si>
  <si>
    <t xml:space="preserve">• «تفصيلي» = نص الأكشن 40 حرفاً فأكثر · «مختصر» = أقل من 40 حرفاً أو فارغ.</t>
  </si>
  <si>
    <t xml:space="preserve">• البيانات مسحوبة من الأودو بتاريخ 01/10/2026 — آخر يوم به نشاط مسجّل هو 2026-10-01.</t>
  </si>
  <si>
    <t xml:space="preserve">• المناديب المستبعدون من الشيت: Sayed Samak.</t>
  </si>
  <si>
    <t xml:space="preserve">المتابعة اليومية لكل مندوب — 01/10/2026 إلى 31/10/2026</t>
  </si>
  <si>
    <t xml:space="preserve">اليوم</t>
  </si>
  <si>
    <t xml:space="preserve">التاريخ</t>
  </si>
  <si>
    <t xml:space="preserve">الفرص المكتملة 100%</t>
  </si>
  <si>
    <t xml:space="preserve">الأكشنات</t>
  </si>
  <si>
    <t xml:space="preserve">حالة اليوم</t>
  </si>
  <si>
    <t xml:space="preserve">الخميس</t>
  </si>
  <si>
    <t xml:space="preserve">2026-10-01</t>
  </si>
  <si>
    <t xml:space="preserve">الجمعة</t>
  </si>
  <si>
    <t xml:space="preserve">2026-10-02</t>
  </si>
  <si>
    <t xml:space="preserve">السبت</t>
  </si>
  <si>
    <t xml:space="preserve">2026-10-03</t>
  </si>
  <si>
    <t xml:space="preserve">الأحد</t>
  </si>
  <si>
    <t xml:space="preserve">2026-10-04</t>
  </si>
  <si>
    <t xml:space="preserve">الإثنين</t>
  </si>
  <si>
    <t xml:space="preserve">2026-10-05</t>
  </si>
  <si>
    <t xml:space="preserve">الثلاثاء</t>
  </si>
  <si>
    <t xml:space="preserve">2026-10-06</t>
  </si>
  <si>
    <t xml:space="preserve">الأربعاء</t>
  </si>
  <si>
    <t xml:space="preserve">2026-10-07</t>
  </si>
  <si>
    <t xml:space="preserve">2026-10-08</t>
  </si>
  <si>
    <t xml:space="preserve">2026-10-09</t>
  </si>
  <si>
    <t xml:space="preserve">2026-10-10</t>
  </si>
  <si>
    <t xml:space="preserve">2026-10-11</t>
  </si>
  <si>
    <t xml:space="preserve">2026-10-12</t>
  </si>
  <si>
    <t xml:space="preserve">2026-10-13</t>
  </si>
  <si>
    <t xml:space="preserve">2026-10-14</t>
  </si>
  <si>
    <t xml:space="preserve">2026-10-15</t>
  </si>
  <si>
    <t xml:space="preserve">2026-10-16</t>
  </si>
  <si>
    <t xml:space="preserve">2026-10-17</t>
  </si>
  <si>
    <t xml:space="preserve">2026-10-18</t>
  </si>
  <si>
    <t xml:space="preserve">2026-10-19</t>
  </si>
  <si>
    <t xml:space="preserve">2026-10-20</t>
  </si>
  <si>
    <t xml:space="preserve">2026-10-21</t>
  </si>
  <si>
    <t xml:space="preserve">2026-10-22</t>
  </si>
  <si>
    <t xml:space="preserve">2026-10-23</t>
  </si>
  <si>
    <t xml:space="preserve">2026-10-24</t>
  </si>
  <si>
    <t xml:space="preserve">2026-10-25</t>
  </si>
  <si>
    <t xml:space="preserve">2026-10-26</t>
  </si>
  <si>
    <t xml:space="preserve">2026-10-27</t>
  </si>
  <si>
    <t xml:space="preserve">2026-10-28</t>
  </si>
  <si>
    <t xml:space="preserve">2026-10-29</t>
  </si>
  <si>
    <t xml:space="preserve">2026-10-30</t>
  </si>
  <si>
    <t xml:space="preserve">2026-10-31</t>
  </si>
  <si>
    <t xml:space="preserve">الملاحظات المتكررة ومدى تكرارها</t>
  </si>
  <si>
    <t xml:space="preserve">إجمالي الفرص المفحوصة: 2   |   إجمالي الأكشنات المفحوصة: 1   |   الفترة 01/10 – 31/10/2026</t>
  </si>
  <si>
    <t xml:space="preserve">أولاً: الملاحظات على الفرص — أي خانة تُترك فارغة وكم مرة تكررت</t>
  </si>
  <si>
    <t xml:space="preserve">الملاحظة (نص التعليق)</t>
  </si>
  <si>
    <t xml:space="preserve">الخانة</t>
  </si>
  <si>
    <t xml:space="preserve">عدد الفرص المتأثرة</t>
  </si>
  <si>
    <t xml:space="preserve">نسبة التكرار من الفرص</t>
  </si>
  <si>
    <t xml:space="preserve">عدد المناديب المتأثرين</t>
  </si>
  <si>
    <t xml:space="preserve">أكثر مندوب تكراراً</t>
  </si>
  <si>
    <t xml:space="preserve">المندوب لم يكتب «اسم العميل» في الفرصة</t>
  </si>
  <si>
    <t xml:space="preserve">اسم العميل</t>
  </si>
  <si>
    <t xml:space="preserve">—</t>
  </si>
  <si>
    <t xml:space="preserve">المندوب لم يكتب «Plot Number» في الفرصة</t>
  </si>
  <si>
    <t xml:space="preserve">Ahmed Alattar (1)</t>
  </si>
  <si>
    <t xml:space="preserve">المندوب لم يكتب «الاستشاري» في الفرصة</t>
  </si>
  <si>
    <t xml:space="preserve">Mohammed Jamal (1)</t>
  </si>
  <si>
    <t xml:space="preserve">المندوب لم يكتب «المقاول» في الفرصة</t>
  </si>
  <si>
    <t xml:space="preserve">المندوب لم يكتب «Tags» في الفرصة</t>
  </si>
  <si>
    <t xml:space="preserve">المندوب لم يكتب «مرفقات» في الفرصة</t>
  </si>
  <si>
    <t xml:space="preserve">المندوب لم يكتب «Source» في الفرصة</t>
  </si>
  <si>
    <t xml:space="preserve">المندوب لم يكتب «ملاحظات» في الفرصة</t>
  </si>
  <si>
    <t xml:space="preserve">ثانياً: أكثر أنماط النقص تكراراً (نفس مجموعة الخانات الناقصة معاً)</t>
  </si>
  <si>
    <t xml:space="preserve">نمط النقص (الخانات الناقصة معاً)</t>
  </si>
  <si>
    <t xml:space="preserve">النسبة من الفرص</t>
  </si>
  <si>
    <t xml:space="preserve">ناقص: Plot Number، الاستشاري، المقاول، Tags، مرفقات، Source، ملاحظات</t>
  </si>
  <si>
    <t xml:space="preserve">ناقص: Plot Number، المقاول، مرفقات، ملاحظات</t>
  </si>
  <si>
    <t xml:space="preserve">ثالثاً: الملاحظات على الأكشنات وكم مرة تكررت</t>
  </si>
  <si>
    <t xml:space="preserve">الملاحظة على الأكشن</t>
  </si>
  <si>
    <t xml:space="preserve">النسبة من الأكشنات</t>
  </si>
  <si>
    <t xml:space="preserve">أكشن مختصر — لا يوضّح نتيجة التواصل أو الخطوة التالية</t>
  </si>
  <si>
    <t xml:space="preserve">رابعاً: الملاحظة المجمّعة لكل مندوب</t>
  </si>
  <si>
    <t xml:space="preserve">الملاحظة</t>
  </si>
  <si>
    <t xml:space="preserve">رقم الفرصة</t>
  </si>
  <si>
    <t xml:space="preserve">الوقت</t>
  </si>
  <si>
    <t xml:space="preserve">الفريق</t>
  </si>
  <si>
    <t xml:space="preserve">المرحلة</t>
  </si>
  <si>
    <t xml:space="preserve">اسم الفرصة</t>
  </si>
  <si>
    <t xml:space="preserve">اسم العميل ✓</t>
  </si>
  <si>
    <t xml:space="preserve">Plot Number ✓</t>
  </si>
  <si>
    <t xml:space="preserve">الاستشاري ✓</t>
  </si>
  <si>
    <t xml:space="preserve">المقاول ✓</t>
  </si>
  <si>
    <t xml:space="preserve">Tags ✓</t>
  </si>
  <si>
    <t xml:space="preserve">عدد المرفقات</t>
  </si>
  <si>
    <t xml:space="preserve">مرفقات ✓</t>
  </si>
  <si>
    <t xml:space="preserve">Source ✓</t>
  </si>
  <si>
    <t xml:space="preserve">طول الملاحظات</t>
  </si>
  <si>
    <t xml:space="preserve">ملاحظات ✓</t>
  </si>
  <si>
    <t xml:space="preserve">عدد النواقص</t>
  </si>
  <si>
    <t xml:space="preserve">01:21</t>
  </si>
  <si>
    <t xml:space="preserve">Abu Dhabi, and Al Ain</t>
  </si>
  <si>
    <t xml:space="preserve">Offices </t>
  </si>
  <si>
    <t xml:space="preserve">دوام اليوم's opportunity</t>
  </si>
  <si>
    <t xml:space="preserve">دوام اليوم</t>
  </si>
  <si>
    <t xml:space="preserve">نعم</t>
  </si>
  <si>
    <t xml:space="preserve">لا</t>
  </si>
  <si>
    <t xml:space="preserve">المندوب لم يكتب: Plot Number، الاستشاري، المقاول، Tags، مرفقات، Source، ملاحظات  (7 خانة ناقصة)</t>
  </si>
  <si>
    <t xml:space="preserve">11:47</t>
  </si>
  <si>
    <t xml:space="preserve">ADMIN</t>
  </si>
  <si>
    <t xml:space="preserve">Quotation</t>
  </si>
  <si>
    <t xml:space="preserve">سند العامري/ الحداثة's opportunity</t>
  </si>
  <si>
    <t xml:space="preserve">سند العامري/ الحداثة</t>
  </si>
  <si>
    <t xml:space="preserve">مكتب الحداثة للاستشارات الهندسية</t>
  </si>
  <si>
    <t xml:space="preserve">عرض سعر مصعد</t>
  </si>
  <si>
    <t xml:space="preserve">مكاتب</t>
  </si>
  <si>
    <t xml:space="preserve">المندوب لم يكتب: Plot Number، المقاول، مرفقات، ملاحظات  (4 خانة ناقصة)</t>
  </si>
  <si>
    <t xml:space="preserve">نوع السجل</t>
  </si>
  <si>
    <t xml:space="preserve">نوع النشاط</t>
  </si>
  <si>
    <t xml:space="preserve">عدد الحروف</t>
  </si>
  <si>
    <t xml:space="preserve">مستوى التفاصيل</t>
  </si>
  <si>
    <t xml:space="preserve">نص الأكشن (أول ٥٠ حرف)</t>
  </si>
  <si>
    <t xml:space="preserve">11:48</t>
  </si>
  <si>
    <t xml:space="preserve">نشاط منفذ</t>
  </si>
  <si>
    <t xml:space="preserve">Site Visit</t>
  </si>
  <si>
    <t xml:space="preserve">مختصر</t>
  </si>
  <si>
    <t xml:space="preserve">تم زيارة الموقع وعمل عرض سعر. للمصعد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</si>
</sst>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444444"/>
      <name val="Arial"/>
      <family val="0"/>
      <charset val="1"/>
    </font>
    <font>
      <b val="true"/>
      <sz val="12"/>
      <color rgb="FF1F3864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DDEBF7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6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6" min="5" style="0" width="11"/>
    <col collapsed="false" customWidth="true" hidden="false" outlineLevel="0" max="8" min="7" style="0" width="10"/>
    <col collapsed="false" customWidth="true" hidden="false" outlineLevel="0" max="10" min="9" style="0" width="11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5" min="13" style="0" width="13"/>
    <col collapsed="false" customWidth="true" hidden="false" outlineLevel="0" max="16" min="16" style="0" width="88"/>
  </cols>
  <sheetData>
    <row r="1" customFormat="false" ht="17.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42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</row>
    <row r="5" customFormat="false" ht="45.75" hidden="false" customHeight="true" outlineLevel="0" collapsed="false">
      <c r="A5" s="4" t="s">
        <v>18</v>
      </c>
      <c r="B5" s="5" t="n">
        <f aca="false">COUNTIF('تفاصيل الفرص'!$D$2:$D$3,$A5)</f>
        <v>1</v>
      </c>
      <c r="C5" s="5" t="n">
        <f aca="false">COUNTIFS('تفاصيل الفرص'!$D$2:$D$3,$A5,'تفاصيل الفرص'!$I$2:$I$3,"نعم")</f>
        <v>1</v>
      </c>
      <c r="D5" s="5" t="n">
        <f aca="false">COUNTIFS('تفاصيل الفرص'!$D$2:$D$3,$A5,'تفاصيل الفرص'!$K$2:$K$3,"نعم")</f>
        <v>0</v>
      </c>
      <c r="E5" s="5" t="n">
        <f aca="false">COUNTIFS('تفاصيل الفرص'!$D$2:$D$3,$A5,'تفاصيل الفرص'!$M$2:$M$3,"نعم")</f>
        <v>1</v>
      </c>
      <c r="F5" s="5" t="n">
        <f aca="false">COUNTIFS('تفاصيل الفرص'!$D$2:$D$3,$A5,'تفاصيل الفرص'!$O$2:$O$3,"نعم")</f>
        <v>0</v>
      </c>
      <c r="G5" s="5" t="n">
        <f aca="false">COUNTIFS('تفاصيل الفرص'!$D$2:$D$3,$A5,'تفاصيل الفرص'!$Q$2:$Q$3,"نعم")</f>
        <v>1</v>
      </c>
      <c r="H5" s="5" t="n">
        <f aca="false">COUNTIFS('تفاصيل الفرص'!$D$2:$D$3,$A5,'تفاصيل الفرص'!$S$2:$S$3,"نعم")</f>
        <v>0</v>
      </c>
      <c r="I5" s="5" t="n">
        <f aca="false">COUNTIFS('تفاصيل الفرص'!$D$2:$D$3,$A5,'تفاصيل الفرص'!$U$2:$U$3,"نعم")</f>
        <v>1</v>
      </c>
      <c r="J5" s="5" t="n">
        <f aca="false">COUNTIFS('تفاصيل الفرص'!$D$2:$D$3,$A5,'تفاصيل الفرص'!$W$2:$W$3,"نعم")</f>
        <v>0</v>
      </c>
      <c r="K5" s="6" t="n">
        <f aca="false">IF($B5=0,0,SUM(C5:J5)/($B5*8))</f>
        <v>0.5</v>
      </c>
      <c r="L5" s="5" t="n">
        <f aca="false">COUNTIF('سجل الأكشنات'!$D$2:$D$2,$A5)</f>
        <v>1</v>
      </c>
      <c r="M5" s="5" t="n">
        <f aca="false">COUNTIFS('سجل الأكشنات'!$D$2:$D$2,$A5,'سجل الأكشنات'!$H$2:$H$2,"تفصيلي")</f>
        <v>0</v>
      </c>
      <c r="N5" s="5" t="n">
        <f aca="false">L5-M5</f>
        <v>1</v>
      </c>
      <c r="O5" s="6" t="n">
        <f aca="false">IF($L5=0,0,M5/L5)</f>
        <v>0</v>
      </c>
      <c r="P5" s="4" t="s">
        <v>19</v>
      </c>
    </row>
    <row r="6" customFormat="false" ht="45.75" hidden="false" customHeight="true" outlineLevel="0" collapsed="false">
      <c r="A6" s="4" t="s">
        <v>20</v>
      </c>
      <c r="B6" s="5" t="n">
        <f aca="false">COUNTIF('تفاصيل الفرص'!$D$2:$D$3,$A6)</f>
        <v>1</v>
      </c>
      <c r="C6" s="5" t="n">
        <f aca="false">COUNTIFS('تفاصيل الفرص'!$D$2:$D$3,$A6,'تفاصيل الفرص'!$I$2:$I$3,"نعم")</f>
        <v>1</v>
      </c>
      <c r="D6" s="5" t="n">
        <f aca="false">COUNTIFS('تفاصيل الفرص'!$D$2:$D$3,$A6,'تفاصيل الفرص'!$K$2:$K$3,"نعم")</f>
        <v>0</v>
      </c>
      <c r="E6" s="5" t="n">
        <f aca="false">COUNTIFS('تفاصيل الفرص'!$D$2:$D$3,$A6,'تفاصيل الفرص'!$M$2:$M$3,"نعم")</f>
        <v>0</v>
      </c>
      <c r="F6" s="5" t="n">
        <f aca="false">COUNTIFS('تفاصيل الفرص'!$D$2:$D$3,$A6,'تفاصيل الفرص'!$O$2:$O$3,"نعم")</f>
        <v>0</v>
      </c>
      <c r="G6" s="5" t="n">
        <f aca="false">COUNTIFS('تفاصيل الفرص'!$D$2:$D$3,$A6,'تفاصيل الفرص'!$Q$2:$Q$3,"نعم")</f>
        <v>0</v>
      </c>
      <c r="H6" s="5" t="n">
        <f aca="false">COUNTIFS('تفاصيل الفرص'!$D$2:$D$3,$A6,'تفاصيل الفرص'!$S$2:$S$3,"نعم")</f>
        <v>0</v>
      </c>
      <c r="I6" s="5" t="n">
        <f aca="false">COUNTIFS('تفاصيل الفرص'!$D$2:$D$3,$A6,'تفاصيل الفرص'!$U$2:$U$3,"نعم")</f>
        <v>0</v>
      </c>
      <c r="J6" s="5" t="n">
        <f aca="false">COUNTIFS('تفاصيل الفرص'!$D$2:$D$3,$A6,'تفاصيل الفرص'!$W$2:$W$3,"نعم")</f>
        <v>0</v>
      </c>
      <c r="K6" s="6" t="n">
        <f aca="false">IF($B6=0,0,SUM(C6:J6)/($B6*8))</f>
        <v>0.125</v>
      </c>
      <c r="L6" s="5" t="n">
        <f aca="false">COUNTIF('سجل الأكشنات'!$D$2:$D$2,$A6)</f>
        <v>0</v>
      </c>
      <c r="M6" s="5" t="n">
        <f aca="false">COUNTIFS('سجل الأكشنات'!$D$2:$D$2,$A6,'سجل الأكشنات'!$H$2:$H$2,"تفصيلي")</f>
        <v>0</v>
      </c>
      <c r="N6" s="5" t="n">
        <f aca="false">L6-M6</f>
        <v>0</v>
      </c>
      <c r="O6" s="6" t="n">
        <f aca="false">IF($L6=0,0,M6/L6)</f>
        <v>0</v>
      </c>
      <c r="P6" s="4" t="s">
        <v>21</v>
      </c>
    </row>
    <row r="7" customFormat="false" ht="15" hidden="false" customHeight="false" outlineLevel="0" collapsed="false">
      <c r="A7" s="7" t="s">
        <v>22</v>
      </c>
      <c r="B7" s="8" t="n">
        <f aca="false">SUM(B5:B6)</f>
        <v>2</v>
      </c>
      <c r="C7" s="8" t="n">
        <f aca="false">SUM(C5:C6)</f>
        <v>2</v>
      </c>
      <c r="D7" s="8" t="n">
        <f aca="false">SUM(D5:D6)</f>
        <v>0</v>
      </c>
      <c r="E7" s="8" t="n">
        <f aca="false">SUM(E5:E6)</f>
        <v>1</v>
      </c>
      <c r="F7" s="8" t="n">
        <f aca="false">SUM(F5:F6)</f>
        <v>0</v>
      </c>
      <c r="G7" s="8" t="n">
        <f aca="false">SUM(G5:G6)</f>
        <v>1</v>
      </c>
      <c r="H7" s="8" t="n">
        <f aca="false">SUM(H5:H6)</f>
        <v>0</v>
      </c>
      <c r="I7" s="8" t="n">
        <f aca="false">SUM(I5:I6)</f>
        <v>1</v>
      </c>
      <c r="J7" s="8" t="n">
        <f aca="false">SUM(J5:J6)</f>
        <v>0</v>
      </c>
      <c r="K7" s="9" t="n">
        <f aca="false">IF($B7=0,0,SUM(C7:J7)/($B7*8))</f>
        <v>0.3125</v>
      </c>
      <c r="L7" s="8" t="n">
        <f aca="false">SUM(L5:L6)</f>
        <v>1</v>
      </c>
      <c r="M7" s="8" t="n">
        <f aca="false">SUM(M5:M6)</f>
        <v>0</v>
      </c>
      <c r="N7" s="8" t="n">
        <f aca="false">SUM(N5:N6)</f>
        <v>1</v>
      </c>
      <c r="O7" s="9" t="n">
        <f aca="false">IF($L7=0,0,M7/L7)</f>
        <v>0</v>
      </c>
      <c r="P7" s="7"/>
    </row>
    <row r="9" customFormat="false" ht="15" hidden="false" customHeight="false" outlineLevel="0" collapsed="false">
      <c r="A9" s="10" t="s">
        <v>23</v>
      </c>
    </row>
    <row r="10" customFormat="false" ht="15" hidden="false" customHeight="false" outlineLevel="0" collapsed="false">
      <c r="A10" s="11" t="s">
        <v>24</v>
      </c>
    </row>
    <row r="11" customFormat="false" ht="15" hidden="false" customHeight="false" outlineLevel="0" collapsed="false">
      <c r="A11" s="11" t="s">
        <v>25</v>
      </c>
    </row>
    <row r="12" customFormat="false" ht="15" hidden="false" customHeight="false" outlineLevel="0" collapsed="false">
      <c r="A12" s="11" t="s">
        <v>26</v>
      </c>
    </row>
    <row r="13" customFormat="false" ht="15" hidden="false" customHeight="false" outlineLevel="0" collapsed="false">
      <c r="A13" s="11" t="s">
        <v>27</v>
      </c>
    </row>
    <row r="14" customFormat="false" ht="15" hidden="false" customHeight="false" outlineLevel="0" collapsed="false">
      <c r="A14" s="11" t="s">
        <v>28</v>
      </c>
    </row>
    <row r="15" customFormat="false" ht="15" hidden="false" customHeight="false" outlineLevel="0" collapsed="false">
      <c r="A15" s="11" t="s">
        <v>29</v>
      </c>
    </row>
    <row r="16" customFormat="false" ht="15" hidden="false" customHeight="false" outlineLevel="0" collapsed="false">
      <c r="A16" s="11" t="s">
        <v>30</v>
      </c>
    </row>
  </sheetData>
  <mergeCells count="2">
    <mergeCell ref="A1:N1"/>
    <mergeCell ref="A2:N2"/>
  </mergeCells>
  <conditionalFormatting sqref="K5:K6">
    <cfRule type="cellIs" priority="2" operator="lessThan" aboveAverage="0" equalAverage="0" bottom="0" percent="0" rank="0" text="" dxfId="0">
      <formula>0.4</formula>
    </cfRule>
    <cfRule type="cellIs" priority="3" operator="greaterThanOrEqual" aboveAverage="0" equalAverage="0" bottom="0" percent="0" rank="0" text="" dxfId="1">
      <formula>0.7</formula>
    </cfRule>
  </conditionalFormatting>
  <conditionalFormatting sqref="O5:O6">
    <cfRule type="cellIs" priority="4" operator="lessThan" aboveAverage="0" equalAverage="0" bottom="0" percent="0" rank="0" text="" dxfId="2">
      <formula>0.7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8"/>
    <col collapsed="false" customWidth="true" hidden="false" outlineLevel="0" max="6" min="6" style="0" width="10"/>
    <col collapsed="false" customWidth="true" hidden="false" outlineLevel="0" max="8" min="7" style="0" width="13"/>
    <col collapsed="false" customWidth="true" hidden="false" outlineLevel="0" max="9" min="9" style="0" width="18"/>
  </cols>
  <sheetData>
    <row r="1" customFormat="false" ht="17.15" hidden="false" customHeight="false" outlineLevel="0" collapsed="false">
      <c r="A1" s="1" t="s">
        <v>31</v>
      </c>
      <c r="B1" s="1"/>
      <c r="C1" s="1"/>
      <c r="D1" s="1"/>
      <c r="E1" s="1"/>
      <c r="F1" s="1"/>
    </row>
    <row r="3" customFormat="false" ht="39.75" hidden="false" customHeight="true" outlineLevel="0" collapsed="false">
      <c r="A3" s="3" t="s">
        <v>32</v>
      </c>
      <c r="B3" s="3" t="s">
        <v>33</v>
      </c>
      <c r="C3" s="3" t="s">
        <v>2</v>
      </c>
      <c r="D3" s="3" t="s">
        <v>3</v>
      </c>
      <c r="E3" s="3" t="s">
        <v>34</v>
      </c>
      <c r="F3" s="3" t="s">
        <v>35</v>
      </c>
      <c r="G3" s="3" t="s">
        <v>14</v>
      </c>
      <c r="H3" s="3" t="s">
        <v>15</v>
      </c>
      <c r="I3" s="3" t="s">
        <v>36</v>
      </c>
    </row>
    <row r="4" customFormat="false" ht="15" hidden="false" customHeight="false" outlineLevel="0" collapsed="false">
      <c r="A4" s="5" t="s">
        <v>37</v>
      </c>
      <c r="B4" s="5" t="s">
        <v>38</v>
      </c>
      <c r="C4" s="4" t="s">
        <v>18</v>
      </c>
      <c r="D4" s="5" t="n">
        <f aca="false">COUNTIFS('تفاصيل الفرص'!$B$2:$B$3,$B4,'تفاصيل الفرص'!$D$2:$D$3,$C4)</f>
        <v>1</v>
      </c>
      <c r="E4" s="5" t="n">
        <f aca="false">COUNTIFS('تفاصيل الفرص'!$B$2:$B$3,$B4,'تفاصيل الفرص'!$D$2:$D$3,$C4,'تفاصيل الفرص'!$X$2:$X$3,0)</f>
        <v>0</v>
      </c>
      <c r="F4" s="5" t="n">
        <f aca="false">COUNTIFS('سجل الأكشنات'!$B$2:$B$2,$B4,'سجل الأكشنات'!$D$2:$D$2,$C4)</f>
        <v>1</v>
      </c>
      <c r="G4" s="5" t="n">
        <f aca="false">COUNTIFS('سجل الأكشنات'!$B$2:$B$2,$B4,'سجل الأكشنات'!$D$2:$D$2,$C4,'سجل الأكشنات'!$H$2:$H$2,"تفصيلي")</f>
        <v>0</v>
      </c>
      <c r="H4" s="5" t="n">
        <f aca="false">F4-G4</f>
        <v>1</v>
      </c>
      <c r="I4" s="12" t="str">
        <f aca="false">IF($B4&gt;"2026-10-01","لا توجد بيانات بعد",IF(AND(D4=0,F4=0),"بدون نشاط","نشِط"))</f>
        <v>نشِط</v>
      </c>
    </row>
    <row r="5" customFormat="false" ht="15" hidden="false" customHeight="false" outlineLevel="0" collapsed="false">
      <c r="A5" s="5" t="s">
        <v>37</v>
      </c>
      <c r="B5" s="5" t="s">
        <v>38</v>
      </c>
      <c r="C5" s="4" t="s">
        <v>20</v>
      </c>
      <c r="D5" s="5" t="n">
        <f aca="false">COUNTIFS('تفاصيل الفرص'!$B$2:$B$3,$B5,'تفاصيل الفرص'!$D$2:$D$3,$C5)</f>
        <v>1</v>
      </c>
      <c r="E5" s="5" t="n">
        <f aca="false">COUNTIFS('تفاصيل الفرص'!$B$2:$B$3,$B5,'تفاصيل الفرص'!$D$2:$D$3,$C5,'تفاصيل الفرص'!$X$2:$X$3,0)</f>
        <v>0</v>
      </c>
      <c r="F5" s="5" t="n">
        <f aca="false">COUNTIFS('سجل الأكشنات'!$B$2:$B$2,$B5,'سجل الأكشنات'!$D$2:$D$2,$C5)</f>
        <v>0</v>
      </c>
      <c r="G5" s="5" t="n">
        <f aca="false">COUNTIFS('سجل الأكشنات'!$B$2:$B$2,$B5,'سجل الأكشنات'!$D$2:$D$2,$C5,'سجل الأكشنات'!$H$2:$H$2,"تفصيلي")</f>
        <v>0</v>
      </c>
      <c r="H5" s="5" t="n">
        <f aca="false">F5-G5</f>
        <v>0</v>
      </c>
      <c r="I5" s="12" t="str">
        <f aca="false">IF($B5&gt;"2026-10-01","لا توجد بيانات بعد",IF(AND(D5=0,F5=0),"بدون نشاط","نشِط"))</f>
        <v>نشِط</v>
      </c>
    </row>
    <row r="6" customFormat="false" ht="15" hidden="false" customHeight="false" outlineLevel="0" collapsed="false">
      <c r="A6" s="13" t="s">
        <v>39</v>
      </c>
      <c r="B6" s="13" t="s">
        <v>40</v>
      </c>
      <c r="C6" s="14" t="s">
        <v>18</v>
      </c>
      <c r="D6" s="15" t="n">
        <f aca="false">COUNTIFS('تفاصيل الفرص'!$B$2:$B$3,$B6,'تفاصيل الفرص'!$D$2:$D$3,$C6)</f>
        <v>0</v>
      </c>
      <c r="E6" s="13" t="n">
        <f aca="false">COUNTIFS('تفاصيل الفرص'!$B$2:$B$3,$B6,'تفاصيل الفرص'!$D$2:$D$3,$C6,'تفاصيل الفرص'!$X$2:$X$3,0)</f>
        <v>0</v>
      </c>
      <c r="F6" s="13" t="n">
        <f aca="false">COUNTIFS('سجل الأكشنات'!$B$2:$B$2,$B6,'سجل الأكشنات'!$D$2:$D$2,$C6)</f>
        <v>0</v>
      </c>
      <c r="G6" s="13" t="n">
        <f aca="false">COUNTIFS('سجل الأكشنات'!$B$2:$B$2,$B6,'سجل الأكشنات'!$D$2:$D$2,$C6,'سجل الأكشنات'!$H$2:$H$2,"تفصيلي")</f>
        <v>0</v>
      </c>
      <c r="H6" s="13" t="n">
        <f aca="false">F6-G6</f>
        <v>0</v>
      </c>
      <c r="I6" s="13" t="str">
        <f aca="false">IF($B6&gt;"2026-10-01","لا توجد بيانات بعد",IF(AND(D6=0,F6=0),"بدون نشاط","نشِط"))</f>
        <v>لا توجد بيانات بعد</v>
      </c>
    </row>
    <row r="7" customFormat="false" ht="15" hidden="false" customHeight="false" outlineLevel="0" collapsed="false">
      <c r="A7" s="13" t="s">
        <v>39</v>
      </c>
      <c r="B7" s="13" t="s">
        <v>40</v>
      </c>
      <c r="C7" s="14" t="s">
        <v>20</v>
      </c>
      <c r="D7" s="15" t="n">
        <f aca="false">COUNTIFS('تفاصيل الفرص'!$B$2:$B$3,$B7,'تفاصيل الفرص'!$D$2:$D$3,$C7)</f>
        <v>0</v>
      </c>
      <c r="E7" s="13" t="n">
        <f aca="false">COUNTIFS('تفاصيل الفرص'!$B$2:$B$3,$B7,'تفاصيل الفرص'!$D$2:$D$3,$C7,'تفاصيل الفرص'!$X$2:$X$3,0)</f>
        <v>0</v>
      </c>
      <c r="F7" s="13" t="n">
        <f aca="false">COUNTIFS('سجل الأكشنات'!$B$2:$B$2,$B7,'سجل الأكشنات'!$D$2:$D$2,$C7)</f>
        <v>0</v>
      </c>
      <c r="G7" s="13" t="n">
        <f aca="false">COUNTIFS('سجل الأكشنات'!$B$2:$B$2,$B7,'سجل الأكشنات'!$D$2:$D$2,$C7,'سجل الأكشنات'!$H$2:$H$2,"تفصيلي")</f>
        <v>0</v>
      </c>
      <c r="H7" s="13" t="n">
        <f aca="false">F7-G7</f>
        <v>0</v>
      </c>
      <c r="I7" s="13" t="str">
        <f aca="false">IF($B7&gt;"2026-10-01","لا توجد بيانات بعد",IF(AND(D7=0,F7=0),"بدون نشاط","نشِط"))</f>
        <v>لا توجد بيانات بعد</v>
      </c>
    </row>
    <row r="8" customFormat="false" ht="15" hidden="false" customHeight="false" outlineLevel="0" collapsed="false">
      <c r="A8" s="5" t="s">
        <v>41</v>
      </c>
      <c r="B8" s="5" t="s">
        <v>42</v>
      </c>
      <c r="C8" s="4" t="s">
        <v>18</v>
      </c>
      <c r="D8" s="5" t="n">
        <f aca="false">COUNTIFS('تفاصيل الفرص'!$B$2:$B$3,$B8,'تفاصيل الفرص'!$D$2:$D$3,$C8)</f>
        <v>0</v>
      </c>
      <c r="E8" s="5" t="n">
        <f aca="false">COUNTIFS('تفاصيل الفرص'!$B$2:$B$3,$B8,'تفاصيل الفرص'!$D$2:$D$3,$C8,'تفاصيل الفرص'!$X$2:$X$3,0)</f>
        <v>0</v>
      </c>
      <c r="F8" s="5" t="n">
        <f aca="false">COUNTIFS('سجل الأكشنات'!$B$2:$B$2,$B8,'سجل الأكشنات'!$D$2:$D$2,$C8)</f>
        <v>0</v>
      </c>
      <c r="G8" s="5" t="n">
        <f aca="false">COUNTIFS('سجل الأكشنات'!$B$2:$B$2,$B8,'سجل الأكشنات'!$D$2:$D$2,$C8,'سجل الأكشنات'!$H$2:$H$2,"تفصيلي")</f>
        <v>0</v>
      </c>
      <c r="H8" s="5" t="n">
        <f aca="false">F8-G8</f>
        <v>0</v>
      </c>
      <c r="I8" s="12" t="str">
        <f aca="false">IF($B8&gt;"2026-10-01","لا توجد بيانات بعد",IF(AND(D8=0,F8=0),"بدون نشاط","نشِط"))</f>
        <v>لا توجد بيانات بعد</v>
      </c>
    </row>
    <row r="9" customFormat="false" ht="15" hidden="false" customHeight="false" outlineLevel="0" collapsed="false">
      <c r="A9" s="5" t="s">
        <v>41</v>
      </c>
      <c r="B9" s="5" t="s">
        <v>42</v>
      </c>
      <c r="C9" s="4" t="s">
        <v>20</v>
      </c>
      <c r="D9" s="5" t="n">
        <f aca="false">COUNTIFS('تفاصيل الفرص'!$B$2:$B$3,$B9,'تفاصيل الفرص'!$D$2:$D$3,$C9)</f>
        <v>0</v>
      </c>
      <c r="E9" s="5" t="n">
        <f aca="false">COUNTIFS('تفاصيل الفرص'!$B$2:$B$3,$B9,'تفاصيل الفرص'!$D$2:$D$3,$C9,'تفاصيل الفرص'!$X$2:$X$3,0)</f>
        <v>0</v>
      </c>
      <c r="F9" s="5" t="n">
        <f aca="false">COUNTIFS('سجل الأكشنات'!$B$2:$B$2,$B9,'سجل الأكشنات'!$D$2:$D$2,$C9)</f>
        <v>0</v>
      </c>
      <c r="G9" s="5" t="n">
        <f aca="false">COUNTIFS('سجل الأكشنات'!$B$2:$B$2,$B9,'سجل الأكشنات'!$D$2:$D$2,$C9,'سجل الأكشنات'!$H$2:$H$2,"تفصيلي")</f>
        <v>0</v>
      </c>
      <c r="H9" s="5" t="n">
        <f aca="false">F9-G9</f>
        <v>0</v>
      </c>
      <c r="I9" s="12" t="str">
        <f aca="false">IF($B9&gt;"2026-10-01","لا توجد بيانات بعد",IF(AND(D9=0,F9=0),"بدون نشاط","نشِط"))</f>
        <v>لا توجد بيانات بعد</v>
      </c>
    </row>
    <row r="10" customFormat="false" ht="15" hidden="false" customHeight="false" outlineLevel="0" collapsed="false">
      <c r="A10" s="13" t="s">
        <v>43</v>
      </c>
      <c r="B10" s="13" t="s">
        <v>44</v>
      </c>
      <c r="C10" s="14" t="s">
        <v>18</v>
      </c>
      <c r="D10" s="15" t="n">
        <f aca="false">COUNTIFS('تفاصيل الفرص'!$B$2:$B$3,$B10,'تفاصيل الفرص'!$D$2:$D$3,$C10)</f>
        <v>0</v>
      </c>
      <c r="E10" s="13" t="n">
        <f aca="false">COUNTIFS('تفاصيل الفرص'!$B$2:$B$3,$B10,'تفاصيل الفرص'!$D$2:$D$3,$C10,'تفاصيل الفرص'!$X$2:$X$3,0)</f>
        <v>0</v>
      </c>
      <c r="F10" s="13" t="n">
        <f aca="false">COUNTIFS('سجل الأكشنات'!$B$2:$B$2,$B10,'سجل الأكشنات'!$D$2:$D$2,$C10)</f>
        <v>0</v>
      </c>
      <c r="G10" s="13" t="n">
        <f aca="false">COUNTIFS('سجل الأكشنات'!$B$2:$B$2,$B10,'سجل الأكشنات'!$D$2:$D$2,$C10,'سجل الأكشنات'!$H$2:$H$2,"تفصيلي")</f>
        <v>0</v>
      </c>
      <c r="H10" s="13" t="n">
        <f aca="false">F10-G10</f>
        <v>0</v>
      </c>
      <c r="I10" s="13" t="str">
        <f aca="false">IF($B10&gt;"2026-10-01","لا توجد بيانات بعد",IF(AND(D10=0,F10=0),"بدون نشاط","نشِط"))</f>
        <v>لا توجد بيانات بعد</v>
      </c>
    </row>
    <row r="11" customFormat="false" ht="15" hidden="false" customHeight="false" outlineLevel="0" collapsed="false">
      <c r="A11" s="13" t="s">
        <v>43</v>
      </c>
      <c r="B11" s="13" t="s">
        <v>44</v>
      </c>
      <c r="C11" s="14" t="s">
        <v>20</v>
      </c>
      <c r="D11" s="15" t="n">
        <f aca="false">COUNTIFS('تفاصيل الفرص'!$B$2:$B$3,$B11,'تفاصيل الفرص'!$D$2:$D$3,$C11)</f>
        <v>0</v>
      </c>
      <c r="E11" s="13" t="n">
        <f aca="false">COUNTIFS('تفاصيل الفرص'!$B$2:$B$3,$B11,'تفاصيل الفرص'!$D$2:$D$3,$C11,'تفاصيل الفرص'!$X$2:$X$3,0)</f>
        <v>0</v>
      </c>
      <c r="F11" s="13" t="n">
        <f aca="false">COUNTIFS('سجل الأكشنات'!$B$2:$B$2,$B11,'سجل الأكشنات'!$D$2:$D$2,$C11)</f>
        <v>0</v>
      </c>
      <c r="G11" s="13" t="n">
        <f aca="false">COUNTIFS('سجل الأكشنات'!$B$2:$B$2,$B11,'سجل الأكشنات'!$D$2:$D$2,$C11,'سجل الأكشنات'!$H$2:$H$2,"تفصيلي")</f>
        <v>0</v>
      </c>
      <c r="H11" s="13" t="n">
        <f aca="false">F11-G11</f>
        <v>0</v>
      </c>
      <c r="I11" s="13" t="str">
        <f aca="false">IF($B11&gt;"2026-10-01","لا توجد بيانات بعد",IF(AND(D11=0,F11=0),"بدون نشاط","نشِط"))</f>
        <v>لا توجد بيانات بعد</v>
      </c>
    </row>
    <row r="12" customFormat="false" ht="15" hidden="false" customHeight="false" outlineLevel="0" collapsed="false">
      <c r="A12" s="5" t="s">
        <v>45</v>
      </c>
      <c r="B12" s="5" t="s">
        <v>46</v>
      </c>
      <c r="C12" s="4" t="s">
        <v>18</v>
      </c>
      <c r="D12" s="5" t="n">
        <f aca="false">COUNTIFS('تفاصيل الفرص'!$B$2:$B$3,$B12,'تفاصيل الفرص'!$D$2:$D$3,$C12)</f>
        <v>0</v>
      </c>
      <c r="E12" s="5" t="n">
        <f aca="false">COUNTIFS('تفاصيل الفرص'!$B$2:$B$3,$B12,'تفاصيل الفرص'!$D$2:$D$3,$C12,'تفاصيل الفرص'!$X$2:$X$3,0)</f>
        <v>0</v>
      </c>
      <c r="F12" s="5" t="n">
        <f aca="false">COUNTIFS('سجل الأكشنات'!$B$2:$B$2,$B12,'سجل الأكشنات'!$D$2:$D$2,$C12)</f>
        <v>0</v>
      </c>
      <c r="G12" s="5" t="n">
        <f aca="false">COUNTIFS('سجل الأكشنات'!$B$2:$B$2,$B12,'سجل الأكشنات'!$D$2:$D$2,$C12,'سجل الأكشنات'!$H$2:$H$2,"تفصيلي")</f>
        <v>0</v>
      </c>
      <c r="H12" s="5" t="n">
        <f aca="false">F12-G12</f>
        <v>0</v>
      </c>
      <c r="I12" s="12" t="str">
        <f aca="false">IF($B12&gt;"2026-10-01","لا توجد بيانات بعد",IF(AND(D12=0,F12=0),"بدون نشاط","نشِط"))</f>
        <v>لا توجد بيانات بعد</v>
      </c>
    </row>
    <row r="13" customFormat="false" ht="15" hidden="false" customHeight="false" outlineLevel="0" collapsed="false">
      <c r="A13" s="5" t="s">
        <v>45</v>
      </c>
      <c r="B13" s="5" t="s">
        <v>46</v>
      </c>
      <c r="C13" s="4" t="s">
        <v>20</v>
      </c>
      <c r="D13" s="5" t="n">
        <f aca="false">COUNTIFS('تفاصيل الفرص'!$B$2:$B$3,$B13,'تفاصيل الفرص'!$D$2:$D$3,$C13)</f>
        <v>0</v>
      </c>
      <c r="E13" s="5" t="n">
        <f aca="false">COUNTIFS('تفاصيل الفرص'!$B$2:$B$3,$B13,'تفاصيل الفرص'!$D$2:$D$3,$C13,'تفاصيل الفرص'!$X$2:$X$3,0)</f>
        <v>0</v>
      </c>
      <c r="F13" s="5" t="n">
        <f aca="false">COUNTIFS('سجل الأكشنات'!$B$2:$B$2,$B13,'سجل الأكشنات'!$D$2:$D$2,$C13)</f>
        <v>0</v>
      </c>
      <c r="G13" s="5" t="n">
        <f aca="false">COUNTIFS('سجل الأكشنات'!$B$2:$B$2,$B13,'سجل الأكشنات'!$D$2:$D$2,$C13,'سجل الأكشنات'!$H$2:$H$2,"تفصيلي")</f>
        <v>0</v>
      </c>
      <c r="H13" s="5" t="n">
        <f aca="false">F13-G13</f>
        <v>0</v>
      </c>
      <c r="I13" s="12" t="str">
        <f aca="false">IF($B13&gt;"2026-10-01","لا توجد بيانات بعد",IF(AND(D13=0,F13=0),"بدون نشاط","نشِط"))</f>
        <v>لا توجد بيانات بعد</v>
      </c>
    </row>
    <row r="14" customFormat="false" ht="15" hidden="false" customHeight="false" outlineLevel="0" collapsed="false">
      <c r="A14" s="13" t="s">
        <v>47</v>
      </c>
      <c r="B14" s="13" t="s">
        <v>48</v>
      </c>
      <c r="C14" s="14" t="s">
        <v>18</v>
      </c>
      <c r="D14" s="15" t="n">
        <f aca="false">COUNTIFS('تفاصيل الفرص'!$B$2:$B$3,$B14,'تفاصيل الفرص'!$D$2:$D$3,$C14)</f>
        <v>0</v>
      </c>
      <c r="E14" s="13" t="n">
        <f aca="false">COUNTIFS('تفاصيل الفرص'!$B$2:$B$3,$B14,'تفاصيل الفرص'!$D$2:$D$3,$C14,'تفاصيل الفرص'!$X$2:$X$3,0)</f>
        <v>0</v>
      </c>
      <c r="F14" s="13" t="n">
        <f aca="false">COUNTIFS('سجل الأكشنات'!$B$2:$B$2,$B14,'سجل الأكشنات'!$D$2:$D$2,$C14)</f>
        <v>0</v>
      </c>
      <c r="G14" s="13" t="n">
        <f aca="false">COUNTIFS('سجل الأكشنات'!$B$2:$B$2,$B14,'سجل الأكشنات'!$D$2:$D$2,$C14,'سجل الأكشنات'!$H$2:$H$2,"تفصيلي")</f>
        <v>0</v>
      </c>
      <c r="H14" s="13" t="n">
        <f aca="false">F14-G14</f>
        <v>0</v>
      </c>
      <c r="I14" s="13" t="str">
        <f aca="false">IF($B14&gt;"2026-10-01","لا توجد بيانات بعد",IF(AND(D14=0,F14=0),"بدون نشاط","نشِط"))</f>
        <v>لا توجد بيانات بعد</v>
      </c>
    </row>
    <row r="15" customFormat="false" ht="15" hidden="false" customHeight="false" outlineLevel="0" collapsed="false">
      <c r="A15" s="13" t="s">
        <v>47</v>
      </c>
      <c r="B15" s="13" t="s">
        <v>48</v>
      </c>
      <c r="C15" s="14" t="s">
        <v>20</v>
      </c>
      <c r="D15" s="15" t="n">
        <f aca="false">COUNTIFS('تفاصيل الفرص'!$B$2:$B$3,$B15,'تفاصيل الفرص'!$D$2:$D$3,$C15)</f>
        <v>0</v>
      </c>
      <c r="E15" s="13" t="n">
        <f aca="false">COUNTIFS('تفاصيل الفرص'!$B$2:$B$3,$B15,'تفاصيل الفرص'!$D$2:$D$3,$C15,'تفاصيل الفرص'!$X$2:$X$3,0)</f>
        <v>0</v>
      </c>
      <c r="F15" s="13" t="n">
        <f aca="false">COUNTIFS('سجل الأكشنات'!$B$2:$B$2,$B15,'سجل الأكشنات'!$D$2:$D$2,$C15)</f>
        <v>0</v>
      </c>
      <c r="G15" s="13" t="n">
        <f aca="false">COUNTIFS('سجل الأكشنات'!$B$2:$B$2,$B15,'سجل الأكشنات'!$D$2:$D$2,$C15,'سجل الأكشنات'!$H$2:$H$2,"تفصيلي")</f>
        <v>0</v>
      </c>
      <c r="H15" s="13" t="n">
        <f aca="false">F15-G15</f>
        <v>0</v>
      </c>
      <c r="I15" s="13" t="str">
        <f aca="false">IF($B15&gt;"2026-10-01","لا توجد بيانات بعد",IF(AND(D15=0,F15=0),"بدون نشاط","نشِط"))</f>
        <v>لا توجد بيانات بعد</v>
      </c>
    </row>
    <row r="16" customFormat="false" ht="15" hidden="false" customHeight="false" outlineLevel="0" collapsed="false">
      <c r="A16" s="5" t="s">
        <v>49</v>
      </c>
      <c r="B16" s="5" t="s">
        <v>50</v>
      </c>
      <c r="C16" s="4" t="s">
        <v>18</v>
      </c>
      <c r="D16" s="5" t="n">
        <f aca="false">COUNTIFS('تفاصيل الفرص'!$B$2:$B$3,$B16,'تفاصيل الفرص'!$D$2:$D$3,$C16)</f>
        <v>0</v>
      </c>
      <c r="E16" s="5" t="n">
        <f aca="false">COUNTIFS('تفاصيل الفرص'!$B$2:$B$3,$B16,'تفاصيل الفرص'!$D$2:$D$3,$C16,'تفاصيل الفرص'!$X$2:$X$3,0)</f>
        <v>0</v>
      </c>
      <c r="F16" s="5" t="n">
        <f aca="false">COUNTIFS('سجل الأكشنات'!$B$2:$B$2,$B16,'سجل الأكشنات'!$D$2:$D$2,$C16)</f>
        <v>0</v>
      </c>
      <c r="G16" s="5" t="n">
        <f aca="false">COUNTIFS('سجل الأكشنات'!$B$2:$B$2,$B16,'سجل الأكشنات'!$D$2:$D$2,$C16,'سجل الأكشنات'!$H$2:$H$2,"تفصيلي")</f>
        <v>0</v>
      </c>
      <c r="H16" s="5" t="n">
        <f aca="false">F16-G16</f>
        <v>0</v>
      </c>
      <c r="I16" s="12" t="str">
        <f aca="false">IF($B16&gt;"2026-10-01","لا توجد بيانات بعد",IF(AND(D16=0,F16=0),"بدون نشاط","نشِط"))</f>
        <v>لا توجد بيانات بعد</v>
      </c>
    </row>
    <row r="17" customFormat="false" ht="15" hidden="false" customHeight="false" outlineLevel="0" collapsed="false">
      <c r="A17" s="5" t="s">
        <v>49</v>
      </c>
      <c r="B17" s="5" t="s">
        <v>50</v>
      </c>
      <c r="C17" s="4" t="s">
        <v>20</v>
      </c>
      <c r="D17" s="5" t="n">
        <f aca="false">COUNTIFS('تفاصيل الفرص'!$B$2:$B$3,$B17,'تفاصيل الفرص'!$D$2:$D$3,$C17)</f>
        <v>0</v>
      </c>
      <c r="E17" s="5" t="n">
        <f aca="false">COUNTIFS('تفاصيل الفرص'!$B$2:$B$3,$B17,'تفاصيل الفرص'!$D$2:$D$3,$C17,'تفاصيل الفرص'!$X$2:$X$3,0)</f>
        <v>0</v>
      </c>
      <c r="F17" s="5" t="n">
        <f aca="false">COUNTIFS('سجل الأكشنات'!$B$2:$B$2,$B17,'سجل الأكشنات'!$D$2:$D$2,$C17)</f>
        <v>0</v>
      </c>
      <c r="G17" s="5" t="n">
        <f aca="false">COUNTIFS('سجل الأكشنات'!$B$2:$B$2,$B17,'سجل الأكشنات'!$D$2:$D$2,$C17,'سجل الأكشنات'!$H$2:$H$2,"تفصيلي")</f>
        <v>0</v>
      </c>
      <c r="H17" s="5" t="n">
        <f aca="false">F17-G17</f>
        <v>0</v>
      </c>
      <c r="I17" s="12" t="str">
        <f aca="false">IF($B17&gt;"2026-10-01","لا توجد بيانات بعد",IF(AND(D17=0,F17=0),"بدون نشاط","نشِط"))</f>
        <v>لا توجد بيانات بعد</v>
      </c>
    </row>
    <row r="18" customFormat="false" ht="15" hidden="false" customHeight="false" outlineLevel="0" collapsed="false">
      <c r="A18" s="13" t="s">
        <v>37</v>
      </c>
      <c r="B18" s="13" t="s">
        <v>51</v>
      </c>
      <c r="C18" s="14" t="s">
        <v>18</v>
      </c>
      <c r="D18" s="15" t="n">
        <f aca="false">COUNTIFS('تفاصيل الفرص'!$B$2:$B$3,$B18,'تفاصيل الفرص'!$D$2:$D$3,$C18)</f>
        <v>0</v>
      </c>
      <c r="E18" s="13" t="n">
        <f aca="false">COUNTIFS('تفاصيل الفرص'!$B$2:$B$3,$B18,'تفاصيل الفرص'!$D$2:$D$3,$C18,'تفاصيل الفرص'!$X$2:$X$3,0)</f>
        <v>0</v>
      </c>
      <c r="F18" s="13" t="n">
        <f aca="false">COUNTIFS('سجل الأكشنات'!$B$2:$B$2,$B18,'سجل الأكشنات'!$D$2:$D$2,$C18)</f>
        <v>0</v>
      </c>
      <c r="G18" s="13" t="n">
        <f aca="false">COUNTIFS('سجل الأكشنات'!$B$2:$B$2,$B18,'سجل الأكشنات'!$D$2:$D$2,$C18,'سجل الأكشنات'!$H$2:$H$2,"تفصيلي")</f>
        <v>0</v>
      </c>
      <c r="H18" s="13" t="n">
        <f aca="false">F18-G18</f>
        <v>0</v>
      </c>
      <c r="I18" s="13" t="str">
        <f aca="false">IF($B18&gt;"2026-10-01","لا توجد بيانات بعد",IF(AND(D18=0,F18=0),"بدون نشاط","نشِط"))</f>
        <v>لا توجد بيانات بعد</v>
      </c>
    </row>
    <row r="19" customFormat="false" ht="15" hidden="false" customHeight="false" outlineLevel="0" collapsed="false">
      <c r="A19" s="13" t="s">
        <v>37</v>
      </c>
      <c r="B19" s="13" t="s">
        <v>51</v>
      </c>
      <c r="C19" s="14" t="s">
        <v>20</v>
      </c>
      <c r="D19" s="15" t="n">
        <f aca="false">COUNTIFS('تفاصيل الفرص'!$B$2:$B$3,$B19,'تفاصيل الفرص'!$D$2:$D$3,$C19)</f>
        <v>0</v>
      </c>
      <c r="E19" s="13" t="n">
        <f aca="false">COUNTIFS('تفاصيل الفرص'!$B$2:$B$3,$B19,'تفاصيل الفرص'!$D$2:$D$3,$C19,'تفاصيل الفرص'!$X$2:$X$3,0)</f>
        <v>0</v>
      </c>
      <c r="F19" s="13" t="n">
        <f aca="false">COUNTIFS('سجل الأكشنات'!$B$2:$B$2,$B19,'سجل الأكشنات'!$D$2:$D$2,$C19)</f>
        <v>0</v>
      </c>
      <c r="G19" s="13" t="n">
        <f aca="false">COUNTIFS('سجل الأكشنات'!$B$2:$B$2,$B19,'سجل الأكشنات'!$D$2:$D$2,$C19,'سجل الأكشنات'!$H$2:$H$2,"تفصيلي")</f>
        <v>0</v>
      </c>
      <c r="H19" s="13" t="n">
        <f aca="false">F19-G19</f>
        <v>0</v>
      </c>
      <c r="I19" s="13" t="str">
        <f aca="false">IF($B19&gt;"2026-10-01","لا توجد بيانات بعد",IF(AND(D19=0,F19=0),"بدون نشاط","نشِط"))</f>
        <v>لا توجد بيانات بعد</v>
      </c>
    </row>
    <row r="20" customFormat="false" ht="15" hidden="false" customHeight="false" outlineLevel="0" collapsed="false">
      <c r="A20" s="5" t="s">
        <v>39</v>
      </c>
      <c r="B20" s="5" t="s">
        <v>52</v>
      </c>
      <c r="C20" s="4" t="s">
        <v>18</v>
      </c>
      <c r="D20" s="5" t="n">
        <f aca="false">COUNTIFS('تفاصيل الفرص'!$B$2:$B$3,$B20,'تفاصيل الفرص'!$D$2:$D$3,$C20)</f>
        <v>0</v>
      </c>
      <c r="E20" s="5" t="n">
        <f aca="false">COUNTIFS('تفاصيل الفرص'!$B$2:$B$3,$B20,'تفاصيل الفرص'!$D$2:$D$3,$C20,'تفاصيل الفرص'!$X$2:$X$3,0)</f>
        <v>0</v>
      </c>
      <c r="F20" s="5" t="n">
        <f aca="false">COUNTIFS('سجل الأكشنات'!$B$2:$B$2,$B20,'سجل الأكشنات'!$D$2:$D$2,$C20)</f>
        <v>0</v>
      </c>
      <c r="G20" s="5" t="n">
        <f aca="false">COUNTIFS('سجل الأكشنات'!$B$2:$B$2,$B20,'سجل الأكشنات'!$D$2:$D$2,$C20,'سجل الأكشنات'!$H$2:$H$2,"تفصيلي")</f>
        <v>0</v>
      </c>
      <c r="H20" s="5" t="n">
        <f aca="false">F20-G20</f>
        <v>0</v>
      </c>
      <c r="I20" s="12" t="str">
        <f aca="false">IF($B20&gt;"2026-10-01","لا توجد بيانات بعد",IF(AND(D20=0,F20=0),"بدون نشاط","نشِط"))</f>
        <v>لا توجد بيانات بعد</v>
      </c>
    </row>
    <row r="21" customFormat="false" ht="15" hidden="false" customHeight="false" outlineLevel="0" collapsed="false">
      <c r="A21" s="5" t="s">
        <v>39</v>
      </c>
      <c r="B21" s="5" t="s">
        <v>52</v>
      </c>
      <c r="C21" s="4" t="s">
        <v>20</v>
      </c>
      <c r="D21" s="5" t="n">
        <f aca="false">COUNTIFS('تفاصيل الفرص'!$B$2:$B$3,$B21,'تفاصيل الفرص'!$D$2:$D$3,$C21)</f>
        <v>0</v>
      </c>
      <c r="E21" s="5" t="n">
        <f aca="false">COUNTIFS('تفاصيل الفرص'!$B$2:$B$3,$B21,'تفاصيل الفرص'!$D$2:$D$3,$C21,'تفاصيل الفرص'!$X$2:$X$3,0)</f>
        <v>0</v>
      </c>
      <c r="F21" s="5" t="n">
        <f aca="false">COUNTIFS('سجل الأكشنات'!$B$2:$B$2,$B21,'سجل الأكشنات'!$D$2:$D$2,$C21)</f>
        <v>0</v>
      </c>
      <c r="G21" s="5" t="n">
        <f aca="false">COUNTIFS('سجل الأكشنات'!$B$2:$B$2,$B21,'سجل الأكشنات'!$D$2:$D$2,$C21,'سجل الأكشنات'!$H$2:$H$2,"تفصيلي")</f>
        <v>0</v>
      </c>
      <c r="H21" s="5" t="n">
        <f aca="false">F21-G21</f>
        <v>0</v>
      </c>
      <c r="I21" s="12" t="str">
        <f aca="false">IF($B21&gt;"2026-10-01","لا توجد بيانات بعد",IF(AND(D21=0,F21=0),"بدون نشاط","نشِط"))</f>
        <v>لا توجد بيانات بعد</v>
      </c>
    </row>
    <row r="22" customFormat="false" ht="15" hidden="false" customHeight="false" outlineLevel="0" collapsed="false">
      <c r="A22" s="13" t="s">
        <v>41</v>
      </c>
      <c r="B22" s="13" t="s">
        <v>53</v>
      </c>
      <c r="C22" s="14" t="s">
        <v>18</v>
      </c>
      <c r="D22" s="15" t="n">
        <f aca="false">COUNTIFS('تفاصيل الفرص'!$B$2:$B$3,$B22,'تفاصيل الفرص'!$D$2:$D$3,$C22)</f>
        <v>0</v>
      </c>
      <c r="E22" s="13" t="n">
        <f aca="false">COUNTIFS('تفاصيل الفرص'!$B$2:$B$3,$B22,'تفاصيل الفرص'!$D$2:$D$3,$C22,'تفاصيل الفرص'!$X$2:$X$3,0)</f>
        <v>0</v>
      </c>
      <c r="F22" s="13" t="n">
        <f aca="false">COUNTIFS('سجل الأكشنات'!$B$2:$B$2,$B22,'سجل الأكشنات'!$D$2:$D$2,$C22)</f>
        <v>0</v>
      </c>
      <c r="G22" s="13" t="n">
        <f aca="false">COUNTIFS('سجل الأكشنات'!$B$2:$B$2,$B22,'سجل الأكشنات'!$D$2:$D$2,$C22,'سجل الأكشنات'!$H$2:$H$2,"تفصيلي")</f>
        <v>0</v>
      </c>
      <c r="H22" s="13" t="n">
        <f aca="false">F22-G22</f>
        <v>0</v>
      </c>
      <c r="I22" s="13" t="str">
        <f aca="false">IF($B22&gt;"2026-10-01","لا توجد بيانات بعد",IF(AND(D22=0,F22=0),"بدون نشاط","نشِط"))</f>
        <v>لا توجد بيانات بعد</v>
      </c>
    </row>
    <row r="23" customFormat="false" ht="15" hidden="false" customHeight="false" outlineLevel="0" collapsed="false">
      <c r="A23" s="13" t="s">
        <v>41</v>
      </c>
      <c r="B23" s="13" t="s">
        <v>53</v>
      </c>
      <c r="C23" s="14" t="s">
        <v>20</v>
      </c>
      <c r="D23" s="15" t="n">
        <f aca="false">COUNTIFS('تفاصيل الفرص'!$B$2:$B$3,$B23,'تفاصيل الفرص'!$D$2:$D$3,$C23)</f>
        <v>0</v>
      </c>
      <c r="E23" s="13" t="n">
        <f aca="false">COUNTIFS('تفاصيل الفرص'!$B$2:$B$3,$B23,'تفاصيل الفرص'!$D$2:$D$3,$C23,'تفاصيل الفرص'!$X$2:$X$3,0)</f>
        <v>0</v>
      </c>
      <c r="F23" s="13" t="n">
        <f aca="false">COUNTIFS('سجل الأكشنات'!$B$2:$B$2,$B23,'سجل الأكشنات'!$D$2:$D$2,$C23)</f>
        <v>0</v>
      </c>
      <c r="G23" s="13" t="n">
        <f aca="false">COUNTIFS('سجل الأكشنات'!$B$2:$B$2,$B23,'سجل الأكشنات'!$D$2:$D$2,$C23,'سجل الأكشنات'!$H$2:$H$2,"تفصيلي")</f>
        <v>0</v>
      </c>
      <c r="H23" s="13" t="n">
        <f aca="false">F23-G23</f>
        <v>0</v>
      </c>
      <c r="I23" s="13" t="str">
        <f aca="false">IF($B23&gt;"2026-10-01","لا توجد بيانات بعد",IF(AND(D23=0,F23=0),"بدون نشاط","نشِط"))</f>
        <v>لا توجد بيانات بعد</v>
      </c>
    </row>
    <row r="24" customFormat="false" ht="15" hidden="false" customHeight="false" outlineLevel="0" collapsed="false">
      <c r="A24" s="5" t="s">
        <v>43</v>
      </c>
      <c r="B24" s="5" t="s">
        <v>54</v>
      </c>
      <c r="C24" s="4" t="s">
        <v>18</v>
      </c>
      <c r="D24" s="5" t="n">
        <f aca="false">COUNTIFS('تفاصيل الفرص'!$B$2:$B$3,$B24,'تفاصيل الفرص'!$D$2:$D$3,$C24)</f>
        <v>0</v>
      </c>
      <c r="E24" s="5" t="n">
        <f aca="false">COUNTIFS('تفاصيل الفرص'!$B$2:$B$3,$B24,'تفاصيل الفرص'!$D$2:$D$3,$C24,'تفاصيل الفرص'!$X$2:$X$3,0)</f>
        <v>0</v>
      </c>
      <c r="F24" s="5" t="n">
        <f aca="false">COUNTIFS('سجل الأكشنات'!$B$2:$B$2,$B24,'سجل الأكشنات'!$D$2:$D$2,$C24)</f>
        <v>0</v>
      </c>
      <c r="G24" s="5" t="n">
        <f aca="false">COUNTIFS('سجل الأكشنات'!$B$2:$B$2,$B24,'سجل الأكشنات'!$D$2:$D$2,$C24,'سجل الأكشنات'!$H$2:$H$2,"تفصيلي")</f>
        <v>0</v>
      </c>
      <c r="H24" s="5" t="n">
        <f aca="false">F24-G24</f>
        <v>0</v>
      </c>
      <c r="I24" s="12" t="str">
        <f aca="false">IF($B24&gt;"2026-10-01","لا توجد بيانات بعد",IF(AND(D24=0,F24=0),"بدون نشاط","نشِط"))</f>
        <v>لا توجد بيانات بعد</v>
      </c>
    </row>
    <row r="25" customFormat="false" ht="15" hidden="false" customHeight="false" outlineLevel="0" collapsed="false">
      <c r="A25" s="5" t="s">
        <v>43</v>
      </c>
      <c r="B25" s="5" t="s">
        <v>54</v>
      </c>
      <c r="C25" s="4" t="s">
        <v>20</v>
      </c>
      <c r="D25" s="5" t="n">
        <f aca="false">COUNTIFS('تفاصيل الفرص'!$B$2:$B$3,$B25,'تفاصيل الفرص'!$D$2:$D$3,$C25)</f>
        <v>0</v>
      </c>
      <c r="E25" s="5" t="n">
        <f aca="false">COUNTIFS('تفاصيل الفرص'!$B$2:$B$3,$B25,'تفاصيل الفرص'!$D$2:$D$3,$C25,'تفاصيل الفرص'!$X$2:$X$3,0)</f>
        <v>0</v>
      </c>
      <c r="F25" s="5" t="n">
        <f aca="false">COUNTIFS('سجل الأكشنات'!$B$2:$B$2,$B25,'سجل الأكشنات'!$D$2:$D$2,$C25)</f>
        <v>0</v>
      </c>
      <c r="G25" s="5" t="n">
        <f aca="false">COUNTIFS('سجل الأكشنات'!$B$2:$B$2,$B25,'سجل الأكشنات'!$D$2:$D$2,$C25,'سجل الأكشنات'!$H$2:$H$2,"تفصيلي")</f>
        <v>0</v>
      </c>
      <c r="H25" s="5" t="n">
        <f aca="false">F25-G25</f>
        <v>0</v>
      </c>
      <c r="I25" s="12" t="str">
        <f aca="false">IF($B25&gt;"2026-10-01","لا توجد بيانات بعد",IF(AND(D25=0,F25=0),"بدون نشاط","نشِط"))</f>
        <v>لا توجد بيانات بعد</v>
      </c>
    </row>
    <row r="26" customFormat="false" ht="15" hidden="false" customHeight="false" outlineLevel="0" collapsed="false">
      <c r="A26" s="13" t="s">
        <v>45</v>
      </c>
      <c r="B26" s="13" t="s">
        <v>55</v>
      </c>
      <c r="C26" s="14" t="s">
        <v>18</v>
      </c>
      <c r="D26" s="15" t="n">
        <f aca="false">COUNTIFS('تفاصيل الفرص'!$B$2:$B$3,$B26,'تفاصيل الفرص'!$D$2:$D$3,$C26)</f>
        <v>0</v>
      </c>
      <c r="E26" s="13" t="n">
        <f aca="false">COUNTIFS('تفاصيل الفرص'!$B$2:$B$3,$B26,'تفاصيل الفرص'!$D$2:$D$3,$C26,'تفاصيل الفرص'!$X$2:$X$3,0)</f>
        <v>0</v>
      </c>
      <c r="F26" s="13" t="n">
        <f aca="false">COUNTIFS('سجل الأكشنات'!$B$2:$B$2,$B26,'سجل الأكشنات'!$D$2:$D$2,$C26)</f>
        <v>0</v>
      </c>
      <c r="G26" s="13" t="n">
        <f aca="false">COUNTIFS('سجل الأكشنات'!$B$2:$B$2,$B26,'سجل الأكشنات'!$D$2:$D$2,$C26,'سجل الأكشنات'!$H$2:$H$2,"تفصيلي")</f>
        <v>0</v>
      </c>
      <c r="H26" s="13" t="n">
        <f aca="false">F26-G26</f>
        <v>0</v>
      </c>
      <c r="I26" s="13" t="str">
        <f aca="false">IF($B26&gt;"2026-10-01","لا توجد بيانات بعد",IF(AND(D26=0,F26=0),"بدون نشاط","نشِط"))</f>
        <v>لا توجد بيانات بعد</v>
      </c>
    </row>
    <row r="27" customFormat="false" ht="15" hidden="false" customHeight="false" outlineLevel="0" collapsed="false">
      <c r="A27" s="13" t="s">
        <v>45</v>
      </c>
      <c r="B27" s="13" t="s">
        <v>55</v>
      </c>
      <c r="C27" s="14" t="s">
        <v>20</v>
      </c>
      <c r="D27" s="15" t="n">
        <f aca="false">COUNTIFS('تفاصيل الفرص'!$B$2:$B$3,$B27,'تفاصيل الفرص'!$D$2:$D$3,$C27)</f>
        <v>0</v>
      </c>
      <c r="E27" s="13" t="n">
        <f aca="false">COUNTIFS('تفاصيل الفرص'!$B$2:$B$3,$B27,'تفاصيل الفرص'!$D$2:$D$3,$C27,'تفاصيل الفرص'!$X$2:$X$3,0)</f>
        <v>0</v>
      </c>
      <c r="F27" s="13" t="n">
        <f aca="false">COUNTIFS('سجل الأكشنات'!$B$2:$B$2,$B27,'سجل الأكشنات'!$D$2:$D$2,$C27)</f>
        <v>0</v>
      </c>
      <c r="G27" s="13" t="n">
        <f aca="false">COUNTIFS('سجل الأكشنات'!$B$2:$B$2,$B27,'سجل الأكشنات'!$D$2:$D$2,$C27,'سجل الأكشنات'!$H$2:$H$2,"تفصيلي")</f>
        <v>0</v>
      </c>
      <c r="H27" s="13" t="n">
        <f aca="false">F27-G27</f>
        <v>0</v>
      </c>
      <c r="I27" s="13" t="str">
        <f aca="false">IF($B27&gt;"2026-10-01","لا توجد بيانات بعد",IF(AND(D27=0,F27=0),"بدون نشاط","نشِط"))</f>
        <v>لا توجد بيانات بعد</v>
      </c>
    </row>
    <row r="28" customFormat="false" ht="15" hidden="false" customHeight="false" outlineLevel="0" collapsed="false">
      <c r="A28" s="5" t="s">
        <v>47</v>
      </c>
      <c r="B28" s="5" t="s">
        <v>56</v>
      </c>
      <c r="C28" s="4" t="s">
        <v>18</v>
      </c>
      <c r="D28" s="5" t="n">
        <f aca="false">COUNTIFS('تفاصيل الفرص'!$B$2:$B$3,$B28,'تفاصيل الفرص'!$D$2:$D$3,$C28)</f>
        <v>0</v>
      </c>
      <c r="E28" s="5" t="n">
        <f aca="false">COUNTIFS('تفاصيل الفرص'!$B$2:$B$3,$B28,'تفاصيل الفرص'!$D$2:$D$3,$C28,'تفاصيل الفرص'!$X$2:$X$3,0)</f>
        <v>0</v>
      </c>
      <c r="F28" s="5" t="n">
        <f aca="false">COUNTIFS('سجل الأكشنات'!$B$2:$B$2,$B28,'سجل الأكشنات'!$D$2:$D$2,$C28)</f>
        <v>0</v>
      </c>
      <c r="G28" s="5" t="n">
        <f aca="false">COUNTIFS('سجل الأكشنات'!$B$2:$B$2,$B28,'سجل الأكشنات'!$D$2:$D$2,$C28,'سجل الأكشنات'!$H$2:$H$2,"تفصيلي")</f>
        <v>0</v>
      </c>
      <c r="H28" s="5" t="n">
        <f aca="false">F28-G28</f>
        <v>0</v>
      </c>
      <c r="I28" s="12" t="str">
        <f aca="false">IF($B28&gt;"2026-10-01","لا توجد بيانات بعد",IF(AND(D28=0,F28=0),"بدون نشاط","نشِط"))</f>
        <v>لا توجد بيانات بعد</v>
      </c>
    </row>
    <row r="29" customFormat="false" ht="15" hidden="false" customHeight="false" outlineLevel="0" collapsed="false">
      <c r="A29" s="5" t="s">
        <v>47</v>
      </c>
      <c r="B29" s="5" t="s">
        <v>56</v>
      </c>
      <c r="C29" s="4" t="s">
        <v>20</v>
      </c>
      <c r="D29" s="5" t="n">
        <f aca="false">COUNTIFS('تفاصيل الفرص'!$B$2:$B$3,$B29,'تفاصيل الفرص'!$D$2:$D$3,$C29)</f>
        <v>0</v>
      </c>
      <c r="E29" s="5" t="n">
        <f aca="false">COUNTIFS('تفاصيل الفرص'!$B$2:$B$3,$B29,'تفاصيل الفرص'!$D$2:$D$3,$C29,'تفاصيل الفرص'!$X$2:$X$3,0)</f>
        <v>0</v>
      </c>
      <c r="F29" s="5" t="n">
        <f aca="false">COUNTIFS('سجل الأكشنات'!$B$2:$B$2,$B29,'سجل الأكشنات'!$D$2:$D$2,$C29)</f>
        <v>0</v>
      </c>
      <c r="G29" s="5" t="n">
        <f aca="false">COUNTIFS('سجل الأكشنات'!$B$2:$B$2,$B29,'سجل الأكشنات'!$D$2:$D$2,$C29,'سجل الأكشنات'!$H$2:$H$2,"تفصيلي")</f>
        <v>0</v>
      </c>
      <c r="H29" s="5" t="n">
        <f aca="false">F29-G29</f>
        <v>0</v>
      </c>
      <c r="I29" s="12" t="str">
        <f aca="false">IF($B29&gt;"2026-10-01","لا توجد بيانات بعد",IF(AND(D29=0,F29=0),"بدون نشاط","نشِط"))</f>
        <v>لا توجد بيانات بعد</v>
      </c>
    </row>
    <row r="30" customFormat="false" ht="15" hidden="false" customHeight="false" outlineLevel="0" collapsed="false">
      <c r="A30" s="13" t="s">
        <v>49</v>
      </c>
      <c r="B30" s="13" t="s">
        <v>57</v>
      </c>
      <c r="C30" s="14" t="s">
        <v>18</v>
      </c>
      <c r="D30" s="15" t="n">
        <f aca="false">COUNTIFS('تفاصيل الفرص'!$B$2:$B$3,$B30,'تفاصيل الفرص'!$D$2:$D$3,$C30)</f>
        <v>0</v>
      </c>
      <c r="E30" s="13" t="n">
        <f aca="false">COUNTIFS('تفاصيل الفرص'!$B$2:$B$3,$B30,'تفاصيل الفرص'!$D$2:$D$3,$C30,'تفاصيل الفرص'!$X$2:$X$3,0)</f>
        <v>0</v>
      </c>
      <c r="F30" s="13" t="n">
        <f aca="false">COUNTIFS('سجل الأكشنات'!$B$2:$B$2,$B30,'سجل الأكشنات'!$D$2:$D$2,$C30)</f>
        <v>0</v>
      </c>
      <c r="G30" s="13" t="n">
        <f aca="false">COUNTIFS('سجل الأكشنات'!$B$2:$B$2,$B30,'سجل الأكشنات'!$D$2:$D$2,$C30,'سجل الأكشنات'!$H$2:$H$2,"تفصيلي")</f>
        <v>0</v>
      </c>
      <c r="H30" s="13" t="n">
        <f aca="false">F30-G30</f>
        <v>0</v>
      </c>
      <c r="I30" s="13" t="str">
        <f aca="false">IF($B30&gt;"2026-10-01","لا توجد بيانات بعد",IF(AND(D30=0,F30=0),"بدون نشاط","نشِط"))</f>
        <v>لا توجد بيانات بعد</v>
      </c>
    </row>
    <row r="31" customFormat="false" ht="15" hidden="false" customHeight="false" outlineLevel="0" collapsed="false">
      <c r="A31" s="13" t="s">
        <v>49</v>
      </c>
      <c r="B31" s="13" t="s">
        <v>57</v>
      </c>
      <c r="C31" s="14" t="s">
        <v>20</v>
      </c>
      <c r="D31" s="15" t="n">
        <f aca="false">COUNTIFS('تفاصيل الفرص'!$B$2:$B$3,$B31,'تفاصيل الفرص'!$D$2:$D$3,$C31)</f>
        <v>0</v>
      </c>
      <c r="E31" s="13" t="n">
        <f aca="false">COUNTIFS('تفاصيل الفرص'!$B$2:$B$3,$B31,'تفاصيل الفرص'!$D$2:$D$3,$C31,'تفاصيل الفرص'!$X$2:$X$3,0)</f>
        <v>0</v>
      </c>
      <c r="F31" s="13" t="n">
        <f aca="false">COUNTIFS('سجل الأكشنات'!$B$2:$B$2,$B31,'سجل الأكشنات'!$D$2:$D$2,$C31)</f>
        <v>0</v>
      </c>
      <c r="G31" s="13" t="n">
        <f aca="false">COUNTIFS('سجل الأكشنات'!$B$2:$B$2,$B31,'سجل الأكشنات'!$D$2:$D$2,$C31,'سجل الأكشنات'!$H$2:$H$2,"تفصيلي")</f>
        <v>0</v>
      </c>
      <c r="H31" s="13" t="n">
        <f aca="false">F31-G31</f>
        <v>0</v>
      </c>
      <c r="I31" s="13" t="str">
        <f aca="false">IF($B31&gt;"2026-10-01","لا توجد بيانات بعد",IF(AND(D31=0,F31=0),"بدون نشاط","نشِط"))</f>
        <v>لا توجد بيانات بعد</v>
      </c>
    </row>
    <row r="32" customFormat="false" ht="15" hidden="false" customHeight="false" outlineLevel="0" collapsed="false">
      <c r="A32" s="5" t="s">
        <v>37</v>
      </c>
      <c r="B32" s="5" t="s">
        <v>58</v>
      </c>
      <c r="C32" s="4" t="s">
        <v>18</v>
      </c>
      <c r="D32" s="5" t="n">
        <f aca="false">COUNTIFS('تفاصيل الفرص'!$B$2:$B$3,$B32,'تفاصيل الفرص'!$D$2:$D$3,$C32)</f>
        <v>0</v>
      </c>
      <c r="E32" s="5" t="n">
        <f aca="false">COUNTIFS('تفاصيل الفرص'!$B$2:$B$3,$B32,'تفاصيل الفرص'!$D$2:$D$3,$C32,'تفاصيل الفرص'!$X$2:$X$3,0)</f>
        <v>0</v>
      </c>
      <c r="F32" s="5" t="n">
        <f aca="false">COUNTIFS('سجل الأكشنات'!$B$2:$B$2,$B32,'سجل الأكشنات'!$D$2:$D$2,$C32)</f>
        <v>0</v>
      </c>
      <c r="G32" s="5" t="n">
        <f aca="false">COUNTIFS('سجل الأكشنات'!$B$2:$B$2,$B32,'سجل الأكشنات'!$D$2:$D$2,$C32,'سجل الأكشنات'!$H$2:$H$2,"تفصيلي")</f>
        <v>0</v>
      </c>
      <c r="H32" s="5" t="n">
        <f aca="false">F32-G32</f>
        <v>0</v>
      </c>
      <c r="I32" s="12" t="str">
        <f aca="false">IF($B32&gt;"2026-10-01","لا توجد بيانات بعد",IF(AND(D32=0,F32=0),"بدون نشاط","نشِط"))</f>
        <v>لا توجد بيانات بعد</v>
      </c>
    </row>
    <row r="33" customFormat="false" ht="15" hidden="false" customHeight="false" outlineLevel="0" collapsed="false">
      <c r="A33" s="5" t="s">
        <v>37</v>
      </c>
      <c r="B33" s="5" t="s">
        <v>58</v>
      </c>
      <c r="C33" s="4" t="s">
        <v>20</v>
      </c>
      <c r="D33" s="5" t="n">
        <f aca="false">COUNTIFS('تفاصيل الفرص'!$B$2:$B$3,$B33,'تفاصيل الفرص'!$D$2:$D$3,$C33)</f>
        <v>0</v>
      </c>
      <c r="E33" s="5" t="n">
        <f aca="false">COUNTIFS('تفاصيل الفرص'!$B$2:$B$3,$B33,'تفاصيل الفرص'!$D$2:$D$3,$C33,'تفاصيل الفرص'!$X$2:$X$3,0)</f>
        <v>0</v>
      </c>
      <c r="F33" s="5" t="n">
        <f aca="false">COUNTIFS('سجل الأكشنات'!$B$2:$B$2,$B33,'سجل الأكشنات'!$D$2:$D$2,$C33)</f>
        <v>0</v>
      </c>
      <c r="G33" s="5" t="n">
        <f aca="false">COUNTIFS('سجل الأكشنات'!$B$2:$B$2,$B33,'سجل الأكشنات'!$D$2:$D$2,$C33,'سجل الأكشنات'!$H$2:$H$2,"تفصيلي")</f>
        <v>0</v>
      </c>
      <c r="H33" s="5" t="n">
        <f aca="false">F33-G33</f>
        <v>0</v>
      </c>
      <c r="I33" s="12" t="str">
        <f aca="false">IF($B33&gt;"2026-10-01","لا توجد بيانات بعد",IF(AND(D33=0,F33=0),"بدون نشاط","نشِط"))</f>
        <v>لا توجد بيانات بعد</v>
      </c>
    </row>
    <row r="34" customFormat="false" ht="15" hidden="false" customHeight="false" outlineLevel="0" collapsed="false">
      <c r="A34" s="13" t="s">
        <v>39</v>
      </c>
      <c r="B34" s="13" t="s">
        <v>59</v>
      </c>
      <c r="C34" s="14" t="s">
        <v>18</v>
      </c>
      <c r="D34" s="15" t="n">
        <f aca="false">COUNTIFS('تفاصيل الفرص'!$B$2:$B$3,$B34,'تفاصيل الفرص'!$D$2:$D$3,$C34)</f>
        <v>0</v>
      </c>
      <c r="E34" s="13" t="n">
        <f aca="false">COUNTIFS('تفاصيل الفرص'!$B$2:$B$3,$B34,'تفاصيل الفرص'!$D$2:$D$3,$C34,'تفاصيل الفرص'!$X$2:$X$3,0)</f>
        <v>0</v>
      </c>
      <c r="F34" s="13" t="n">
        <f aca="false">COUNTIFS('سجل الأكشنات'!$B$2:$B$2,$B34,'سجل الأكشنات'!$D$2:$D$2,$C34)</f>
        <v>0</v>
      </c>
      <c r="G34" s="13" t="n">
        <f aca="false">COUNTIFS('سجل الأكشنات'!$B$2:$B$2,$B34,'سجل الأكشنات'!$D$2:$D$2,$C34,'سجل الأكشنات'!$H$2:$H$2,"تفصيلي")</f>
        <v>0</v>
      </c>
      <c r="H34" s="13" t="n">
        <f aca="false">F34-G34</f>
        <v>0</v>
      </c>
      <c r="I34" s="13" t="str">
        <f aca="false">IF($B34&gt;"2026-10-01","لا توجد بيانات بعد",IF(AND(D34=0,F34=0),"بدون نشاط","نشِط"))</f>
        <v>لا توجد بيانات بعد</v>
      </c>
    </row>
    <row r="35" customFormat="false" ht="15" hidden="false" customHeight="false" outlineLevel="0" collapsed="false">
      <c r="A35" s="13" t="s">
        <v>39</v>
      </c>
      <c r="B35" s="13" t="s">
        <v>59</v>
      </c>
      <c r="C35" s="14" t="s">
        <v>20</v>
      </c>
      <c r="D35" s="15" t="n">
        <f aca="false">COUNTIFS('تفاصيل الفرص'!$B$2:$B$3,$B35,'تفاصيل الفرص'!$D$2:$D$3,$C35)</f>
        <v>0</v>
      </c>
      <c r="E35" s="13" t="n">
        <f aca="false">COUNTIFS('تفاصيل الفرص'!$B$2:$B$3,$B35,'تفاصيل الفرص'!$D$2:$D$3,$C35,'تفاصيل الفرص'!$X$2:$X$3,0)</f>
        <v>0</v>
      </c>
      <c r="F35" s="13" t="n">
        <f aca="false">COUNTIFS('سجل الأكشنات'!$B$2:$B$2,$B35,'سجل الأكشنات'!$D$2:$D$2,$C35)</f>
        <v>0</v>
      </c>
      <c r="G35" s="13" t="n">
        <f aca="false">COUNTIFS('سجل الأكشنات'!$B$2:$B$2,$B35,'سجل الأكشنات'!$D$2:$D$2,$C35,'سجل الأكشنات'!$H$2:$H$2,"تفصيلي")</f>
        <v>0</v>
      </c>
      <c r="H35" s="13" t="n">
        <f aca="false">F35-G35</f>
        <v>0</v>
      </c>
      <c r="I35" s="13" t="str">
        <f aca="false">IF($B35&gt;"2026-10-01","لا توجد بيانات بعد",IF(AND(D35=0,F35=0),"بدون نشاط","نشِط"))</f>
        <v>لا توجد بيانات بعد</v>
      </c>
    </row>
    <row r="36" customFormat="false" ht="15" hidden="false" customHeight="false" outlineLevel="0" collapsed="false">
      <c r="A36" s="5" t="s">
        <v>41</v>
      </c>
      <c r="B36" s="5" t="s">
        <v>60</v>
      </c>
      <c r="C36" s="4" t="s">
        <v>18</v>
      </c>
      <c r="D36" s="5" t="n">
        <f aca="false">COUNTIFS('تفاصيل الفرص'!$B$2:$B$3,$B36,'تفاصيل الفرص'!$D$2:$D$3,$C36)</f>
        <v>0</v>
      </c>
      <c r="E36" s="5" t="n">
        <f aca="false">COUNTIFS('تفاصيل الفرص'!$B$2:$B$3,$B36,'تفاصيل الفرص'!$D$2:$D$3,$C36,'تفاصيل الفرص'!$X$2:$X$3,0)</f>
        <v>0</v>
      </c>
      <c r="F36" s="5" t="n">
        <f aca="false">COUNTIFS('سجل الأكشنات'!$B$2:$B$2,$B36,'سجل الأكشنات'!$D$2:$D$2,$C36)</f>
        <v>0</v>
      </c>
      <c r="G36" s="5" t="n">
        <f aca="false">COUNTIFS('سجل الأكشنات'!$B$2:$B$2,$B36,'سجل الأكشنات'!$D$2:$D$2,$C36,'سجل الأكشنات'!$H$2:$H$2,"تفصيلي")</f>
        <v>0</v>
      </c>
      <c r="H36" s="5" t="n">
        <f aca="false">F36-G36</f>
        <v>0</v>
      </c>
      <c r="I36" s="12" t="str">
        <f aca="false">IF($B36&gt;"2026-10-01","لا توجد بيانات بعد",IF(AND(D36=0,F36=0),"بدون نشاط","نشِط"))</f>
        <v>لا توجد بيانات بعد</v>
      </c>
    </row>
    <row r="37" customFormat="false" ht="15" hidden="false" customHeight="false" outlineLevel="0" collapsed="false">
      <c r="A37" s="5" t="s">
        <v>41</v>
      </c>
      <c r="B37" s="5" t="s">
        <v>60</v>
      </c>
      <c r="C37" s="4" t="s">
        <v>20</v>
      </c>
      <c r="D37" s="5" t="n">
        <f aca="false">COUNTIFS('تفاصيل الفرص'!$B$2:$B$3,$B37,'تفاصيل الفرص'!$D$2:$D$3,$C37)</f>
        <v>0</v>
      </c>
      <c r="E37" s="5" t="n">
        <f aca="false">COUNTIFS('تفاصيل الفرص'!$B$2:$B$3,$B37,'تفاصيل الفرص'!$D$2:$D$3,$C37,'تفاصيل الفرص'!$X$2:$X$3,0)</f>
        <v>0</v>
      </c>
      <c r="F37" s="5" t="n">
        <f aca="false">COUNTIFS('سجل الأكشنات'!$B$2:$B$2,$B37,'سجل الأكشنات'!$D$2:$D$2,$C37)</f>
        <v>0</v>
      </c>
      <c r="G37" s="5" t="n">
        <f aca="false">COUNTIFS('سجل الأكشنات'!$B$2:$B$2,$B37,'سجل الأكشنات'!$D$2:$D$2,$C37,'سجل الأكشنات'!$H$2:$H$2,"تفصيلي")</f>
        <v>0</v>
      </c>
      <c r="H37" s="5" t="n">
        <f aca="false">F37-G37</f>
        <v>0</v>
      </c>
      <c r="I37" s="12" t="str">
        <f aca="false">IF($B37&gt;"2026-10-01","لا توجد بيانات بعد",IF(AND(D37=0,F37=0),"بدون نشاط","نشِط"))</f>
        <v>لا توجد بيانات بعد</v>
      </c>
    </row>
    <row r="38" customFormat="false" ht="15" hidden="false" customHeight="false" outlineLevel="0" collapsed="false">
      <c r="A38" s="13" t="s">
        <v>43</v>
      </c>
      <c r="B38" s="13" t="s">
        <v>61</v>
      </c>
      <c r="C38" s="14" t="s">
        <v>18</v>
      </c>
      <c r="D38" s="15" t="n">
        <f aca="false">COUNTIFS('تفاصيل الفرص'!$B$2:$B$3,$B38,'تفاصيل الفرص'!$D$2:$D$3,$C38)</f>
        <v>0</v>
      </c>
      <c r="E38" s="13" t="n">
        <f aca="false">COUNTIFS('تفاصيل الفرص'!$B$2:$B$3,$B38,'تفاصيل الفرص'!$D$2:$D$3,$C38,'تفاصيل الفرص'!$X$2:$X$3,0)</f>
        <v>0</v>
      </c>
      <c r="F38" s="13" t="n">
        <f aca="false">COUNTIFS('سجل الأكشنات'!$B$2:$B$2,$B38,'سجل الأكشنات'!$D$2:$D$2,$C38)</f>
        <v>0</v>
      </c>
      <c r="G38" s="13" t="n">
        <f aca="false">COUNTIFS('سجل الأكشنات'!$B$2:$B$2,$B38,'سجل الأكشنات'!$D$2:$D$2,$C38,'سجل الأكشنات'!$H$2:$H$2,"تفصيلي")</f>
        <v>0</v>
      </c>
      <c r="H38" s="13" t="n">
        <f aca="false">F38-G38</f>
        <v>0</v>
      </c>
      <c r="I38" s="13" t="str">
        <f aca="false">IF($B38&gt;"2026-10-01","لا توجد بيانات بعد",IF(AND(D38=0,F38=0),"بدون نشاط","نشِط"))</f>
        <v>لا توجد بيانات بعد</v>
      </c>
    </row>
    <row r="39" customFormat="false" ht="15" hidden="false" customHeight="false" outlineLevel="0" collapsed="false">
      <c r="A39" s="13" t="s">
        <v>43</v>
      </c>
      <c r="B39" s="13" t="s">
        <v>61</v>
      </c>
      <c r="C39" s="14" t="s">
        <v>20</v>
      </c>
      <c r="D39" s="15" t="n">
        <f aca="false">COUNTIFS('تفاصيل الفرص'!$B$2:$B$3,$B39,'تفاصيل الفرص'!$D$2:$D$3,$C39)</f>
        <v>0</v>
      </c>
      <c r="E39" s="13" t="n">
        <f aca="false">COUNTIFS('تفاصيل الفرص'!$B$2:$B$3,$B39,'تفاصيل الفرص'!$D$2:$D$3,$C39,'تفاصيل الفرص'!$X$2:$X$3,0)</f>
        <v>0</v>
      </c>
      <c r="F39" s="13" t="n">
        <f aca="false">COUNTIFS('سجل الأكشنات'!$B$2:$B$2,$B39,'سجل الأكشنات'!$D$2:$D$2,$C39)</f>
        <v>0</v>
      </c>
      <c r="G39" s="13" t="n">
        <f aca="false">COUNTIFS('سجل الأكشنات'!$B$2:$B$2,$B39,'سجل الأكشنات'!$D$2:$D$2,$C39,'سجل الأكشنات'!$H$2:$H$2,"تفصيلي")</f>
        <v>0</v>
      </c>
      <c r="H39" s="13" t="n">
        <f aca="false">F39-G39</f>
        <v>0</v>
      </c>
      <c r="I39" s="13" t="str">
        <f aca="false">IF($B39&gt;"2026-10-01","لا توجد بيانات بعد",IF(AND(D39=0,F39=0),"بدون نشاط","نشِط"))</f>
        <v>لا توجد بيانات بعد</v>
      </c>
    </row>
    <row r="40" customFormat="false" ht="15" hidden="false" customHeight="false" outlineLevel="0" collapsed="false">
      <c r="A40" s="5" t="s">
        <v>45</v>
      </c>
      <c r="B40" s="5" t="s">
        <v>62</v>
      </c>
      <c r="C40" s="4" t="s">
        <v>18</v>
      </c>
      <c r="D40" s="5" t="n">
        <f aca="false">COUNTIFS('تفاصيل الفرص'!$B$2:$B$3,$B40,'تفاصيل الفرص'!$D$2:$D$3,$C40)</f>
        <v>0</v>
      </c>
      <c r="E40" s="5" t="n">
        <f aca="false">COUNTIFS('تفاصيل الفرص'!$B$2:$B$3,$B40,'تفاصيل الفرص'!$D$2:$D$3,$C40,'تفاصيل الفرص'!$X$2:$X$3,0)</f>
        <v>0</v>
      </c>
      <c r="F40" s="5" t="n">
        <f aca="false">COUNTIFS('سجل الأكشنات'!$B$2:$B$2,$B40,'سجل الأكشنات'!$D$2:$D$2,$C40)</f>
        <v>0</v>
      </c>
      <c r="G40" s="5" t="n">
        <f aca="false">COUNTIFS('سجل الأكشنات'!$B$2:$B$2,$B40,'سجل الأكشنات'!$D$2:$D$2,$C40,'سجل الأكشنات'!$H$2:$H$2,"تفصيلي")</f>
        <v>0</v>
      </c>
      <c r="H40" s="5" t="n">
        <f aca="false">F40-G40</f>
        <v>0</v>
      </c>
      <c r="I40" s="12" t="str">
        <f aca="false">IF($B40&gt;"2026-10-01","لا توجد بيانات بعد",IF(AND(D40=0,F40=0),"بدون نشاط","نشِط"))</f>
        <v>لا توجد بيانات بعد</v>
      </c>
    </row>
    <row r="41" customFormat="false" ht="15" hidden="false" customHeight="false" outlineLevel="0" collapsed="false">
      <c r="A41" s="5" t="s">
        <v>45</v>
      </c>
      <c r="B41" s="5" t="s">
        <v>62</v>
      </c>
      <c r="C41" s="4" t="s">
        <v>20</v>
      </c>
      <c r="D41" s="5" t="n">
        <f aca="false">COUNTIFS('تفاصيل الفرص'!$B$2:$B$3,$B41,'تفاصيل الفرص'!$D$2:$D$3,$C41)</f>
        <v>0</v>
      </c>
      <c r="E41" s="5" t="n">
        <f aca="false">COUNTIFS('تفاصيل الفرص'!$B$2:$B$3,$B41,'تفاصيل الفرص'!$D$2:$D$3,$C41,'تفاصيل الفرص'!$X$2:$X$3,0)</f>
        <v>0</v>
      </c>
      <c r="F41" s="5" t="n">
        <f aca="false">COUNTIFS('سجل الأكشنات'!$B$2:$B$2,$B41,'سجل الأكشنات'!$D$2:$D$2,$C41)</f>
        <v>0</v>
      </c>
      <c r="G41" s="5" t="n">
        <f aca="false">COUNTIFS('سجل الأكشنات'!$B$2:$B$2,$B41,'سجل الأكشنات'!$D$2:$D$2,$C41,'سجل الأكشنات'!$H$2:$H$2,"تفصيلي")</f>
        <v>0</v>
      </c>
      <c r="H41" s="5" t="n">
        <f aca="false">F41-G41</f>
        <v>0</v>
      </c>
      <c r="I41" s="12" t="str">
        <f aca="false">IF($B41&gt;"2026-10-01","لا توجد بيانات بعد",IF(AND(D41=0,F41=0),"بدون نشاط","نشِط"))</f>
        <v>لا توجد بيانات بعد</v>
      </c>
    </row>
    <row r="42" customFormat="false" ht="15" hidden="false" customHeight="false" outlineLevel="0" collapsed="false">
      <c r="A42" s="13" t="s">
        <v>47</v>
      </c>
      <c r="B42" s="13" t="s">
        <v>63</v>
      </c>
      <c r="C42" s="14" t="s">
        <v>18</v>
      </c>
      <c r="D42" s="15" t="n">
        <f aca="false">COUNTIFS('تفاصيل الفرص'!$B$2:$B$3,$B42,'تفاصيل الفرص'!$D$2:$D$3,$C42)</f>
        <v>0</v>
      </c>
      <c r="E42" s="13" t="n">
        <f aca="false">COUNTIFS('تفاصيل الفرص'!$B$2:$B$3,$B42,'تفاصيل الفرص'!$D$2:$D$3,$C42,'تفاصيل الفرص'!$X$2:$X$3,0)</f>
        <v>0</v>
      </c>
      <c r="F42" s="13" t="n">
        <f aca="false">COUNTIFS('سجل الأكشنات'!$B$2:$B$2,$B42,'سجل الأكشنات'!$D$2:$D$2,$C42)</f>
        <v>0</v>
      </c>
      <c r="G42" s="13" t="n">
        <f aca="false">COUNTIFS('سجل الأكشنات'!$B$2:$B$2,$B42,'سجل الأكشنات'!$D$2:$D$2,$C42,'سجل الأكشنات'!$H$2:$H$2,"تفصيلي")</f>
        <v>0</v>
      </c>
      <c r="H42" s="13" t="n">
        <f aca="false">F42-G42</f>
        <v>0</v>
      </c>
      <c r="I42" s="13" t="str">
        <f aca="false">IF($B42&gt;"2026-10-01","لا توجد بيانات بعد",IF(AND(D42=0,F42=0),"بدون نشاط","نشِط"))</f>
        <v>لا توجد بيانات بعد</v>
      </c>
    </row>
    <row r="43" customFormat="false" ht="15" hidden="false" customHeight="false" outlineLevel="0" collapsed="false">
      <c r="A43" s="13" t="s">
        <v>47</v>
      </c>
      <c r="B43" s="13" t="s">
        <v>63</v>
      </c>
      <c r="C43" s="14" t="s">
        <v>20</v>
      </c>
      <c r="D43" s="15" t="n">
        <f aca="false">COUNTIFS('تفاصيل الفرص'!$B$2:$B$3,$B43,'تفاصيل الفرص'!$D$2:$D$3,$C43)</f>
        <v>0</v>
      </c>
      <c r="E43" s="13" t="n">
        <f aca="false">COUNTIFS('تفاصيل الفرص'!$B$2:$B$3,$B43,'تفاصيل الفرص'!$D$2:$D$3,$C43,'تفاصيل الفرص'!$X$2:$X$3,0)</f>
        <v>0</v>
      </c>
      <c r="F43" s="13" t="n">
        <f aca="false">COUNTIFS('سجل الأكشنات'!$B$2:$B$2,$B43,'سجل الأكشنات'!$D$2:$D$2,$C43)</f>
        <v>0</v>
      </c>
      <c r="G43" s="13" t="n">
        <f aca="false">COUNTIFS('سجل الأكشنات'!$B$2:$B$2,$B43,'سجل الأكشنات'!$D$2:$D$2,$C43,'سجل الأكشنات'!$H$2:$H$2,"تفصيلي")</f>
        <v>0</v>
      </c>
      <c r="H43" s="13" t="n">
        <f aca="false">F43-G43</f>
        <v>0</v>
      </c>
      <c r="I43" s="13" t="str">
        <f aca="false">IF($B43&gt;"2026-10-01","لا توجد بيانات بعد",IF(AND(D43=0,F43=0),"بدون نشاط","نشِط"))</f>
        <v>لا توجد بيانات بعد</v>
      </c>
    </row>
    <row r="44" customFormat="false" ht="15" hidden="false" customHeight="false" outlineLevel="0" collapsed="false">
      <c r="A44" s="5" t="s">
        <v>49</v>
      </c>
      <c r="B44" s="5" t="s">
        <v>64</v>
      </c>
      <c r="C44" s="4" t="s">
        <v>18</v>
      </c>
      <c r="D44" s="5" t="n">
        <f aca="false">COUNTIFS('تفاصيل الفرص'!$B$2:$B$3,$B44,'تفاصيل الفرص'!$D$2:$D$3,$C44)</f>
        <v>0</v>
      </c>
      <c r="E44" s="5" t="n">
        <f aca="false">COUNTIFS('تفاصيل الفرص'!$B$2:$B$3,$B44,'تفاصيل الفرص'!$D$2:$D$3,$C44,'تفاصيل الفرص'!$X$2:$X$3,0)</f>
        <v>0</v>
      </c>
      <c r="F44" s="5" t="n">
        <f aca="false">COUNTIFS('سجل الأكشنات'!$B$2:$B$2,$B44,'سجل الأكشنات'!$D$2:$D$2,$C44)</f>
        <v>0</v>
      </c>
      <c r="G44" s="5" t="n">
        <f aca="false">COUNTIFS('سجل الأكشنات'!$B$2:$B$2,$B44,'سجل الأكشنات'!$D$2:$D$2,$C44,'سجل الأكشنات'!$H$2:$H$2,"تفصيلي")</f>
        <v>0</v>
      </c>
      <c r="H44" s="5" t="n">
        <f aca="false">F44-G44</f>
        <v>0</v>
      </c>
      <c r="I44" s="12" t="str">
        <f aca="false">IF($B44&gt;"2026-10-01","لا توجد بيانات بعد",IF(AND(D44=0,F44=0),"بدون نشاط","نشِط"))</f>
        <v>لا توجد بيانات بعد</v>
      </c>
    </row>
    <row r="45" customFormat="false" ht="15" hidden="false" customHeight="false" outlineLevel="0" collapsed="false">
      <c r="A45" s="5" t="s">
        <v>49</v>
      </c>
      <c r="B45" s="5" t="s">
        <v>64</v>
      </c>
      <c r="C45" s="4" t="s">
        <v>20</v>
      </c>
      <c r="D45" s="5" t="n">
        <f aca="false">COUNTIFS('تفاصيل الفرص'!$B$2:$B$3,$B45,'تفاصيل الفرص'!$D$2:$D$3,$C45)</f>
        <v>0</v>
      </c>
      <c r="E45" s="5" t="n">
        <f aca="false">COUNTIFS('تفاصيل الفرص'!$B$2:$B$3,$B45,'تفاصيل الفرص'!$D$2:$D$3,$C45,'تفاصيل الفرص'!$X$2:$X$3,0)</f>
        <v>0</v>
      </c>
      <c r="F45" s="5" t="n">
        <f aca="false">COUNTIFS('سجل الأكشنات'!$B$2:$B$2,$B45,'سجل الأكشنات'!$D$2:$D$2,$C45)</f>
        <v>0</v>
      </c>
      <c r="G45" s="5" t="n">
        <f aca="false">COUNTIFS('سجل الأكشنات'!$B$2:$B$2,$B45,'سجل الأكشنات'!$D$2:$D$2,$C45,'سجل الأكشنات'!$H$2:$H$2,"تفصيلي")</f>
        <v>0</v>
      </c>
      <c r="H45" s="5" t="n">
        <f aca="false">F45-G45</f>
        <v>0</v>
      </c>
      <c r="I45" s="12" t="str">
        <f aca="false">IF($B45&gt;"2026-10-01","لا توجد بيانات بعد",IF(AND(D45=0,F45=0),"بدون نشاط","نشِط"))</f>
        <v>لا توجد بيانات بعد</v>
      </c>
    </row>
    <row r="46" customFormat="false" ht="15" hidden="false" customHeight="false" outlineLevel="0" collapsed="false">
      <c r="A46" s="13" t="s">
        <v>37</v>
      </c>
      <c r="B46" s="13" t="s">
        <v>65</v>
      </c>
      <c r="C46" s="14" t="s">
        <v>18</v>
      </c>
      <c r="D46" s="15" t="n">
        <f aca="false">COUNTIFS('تفاصيل الفرص'!$B$2:$B$3,$B46,'تفاصيل الفرص'!$D$2:$D$3,$C46)</f>
        <v>0</v>
      </c>
      <c r="E46" s="13" t="n">
        <f aca="false">COUNTIFS('تفاصيل الفرص'!$B$2:$B$3,$B46,'تفاصيل الفرص'!$D$2:$D$3,$C46,'تفاصيل الفرص'!$X$2:$X$3,0)</f>
        <v>0</v>
      </c>
      <c r="F46" s="13" t="n">
        <f aca="false">COUNTIFS('سجل الأكشنات'!$B$2:$B$2,$B46,'سجل الأكشنات'!$D$2:$D$2,$C46)</f>
        <v>0</v>
      </c>
      <c r="G46" s="13" t="n">
        <f aca="false">COUNTIFS('سجل الأكشنات'!$B$2:$B$2,$B46,'سجل الأكشنات'!$D$2:$D$2,$C46,'سجل الأكشنات'!$H$2:$H$2,"تفصيلي")</f>
        <v>0</v>
      </c>
      <c r="H46" s="13" t="n">
        <f aca="false">F46-G46</f>
        <v>0</v>
      </c>
      <c r="I46" s="13" t="str">
        <f aca="false">IF($B46&gt;"2026-10-01","لا توجد بيانات بعد",IF(AND(D46=0,F46=0),"بدون نشاط","نشِط"))</f>
        <v>لا توجد بيانات بعد</v>
      </c>
    </row>
    <row r="47" customFormat="false" ht="15" hidden="false" customHeight="false" outlineLevel="0" collapsed="false">
      <c r="A47" s="13" t="s">
        <v>37</v>
      </c>
      <c r="B47" s="13" t="s">
        <v>65</v>
      </c>
      <c r="C47" s="14" t="s">
        <v>20</v>
      </c>
      <c r="D47" s="15" t="n">
        <f aca="false">COUNTIFS('تفاصيل الفرص'!$B$2:$B$3,$B47,'تفاصيل الفرص'!$D$2:$D$3,$C47)</f>
        <v>0</v>
      </c>
      <c r="E47" s="13" t="n">
        <f aca="false">COUNTIFS('تفاصيل الفرص'!$B$2:$B$3,$B47,'تفاصيل الفرص'!$D$2:$D$3,$C47,'تفاصيل الفرص'!$X$2:$X$3,0)</f>
        <v>0</v>
      </c>
      <c r="F47" s="13" t="n">
        <f aca="false">COUNTIFS('سجل الأكشنات'!$B$2:$B$2,$B47,'سجل الأكشنات'!$D$2:$D$2,$C47)</f>
        <v>0</v>
      </c>
      <c r="G47" s="13" t="n">
        <f aca="false">COUNTIFS('سجل الأكشنات'!$B$2:$B$2,$B47,'سجل الأكشنات'!$D$2:$D$2,$C47,'سجل الأكشنات'!$H$2:$H$2,"تفصيلي")</f>
        <v>0</v>
      </c>
      <c r="H47" s="13" t="n">
        <f aca="false">F47-G47</f>
        <v>0</v>
      </c>
      <c r="I47" s="13" t="str">
        <f aca="false">IF($B47&gt;"2026-10-01","لا توجد بيانات بعد",IF(AND(D47=0,F47=0),"بدون نشاط","نشِط"))</f>
        <v>لا توجد بيانات بعد</v>
      </c>
    </row>
    <row r="48" customFormat="false" ht="15" hidden="false" customHeight="false" outlineLevel="0" collapsed="false">
      <c r="A48" s="5" t="s">
        <v>39</v>
      </c>
      <c r="B48" s="5" t="s">
        <v>66</v>
      </c>
      <c r="C48" s="4" t="s">
        <v>18</v>
      </c>
      <c r="D48" s="5" t="n">
        <f aca="false">COUNTIFS('تفاصيل الفرص'!$B$2:$B$3,$B48,'تفاصيل الفرص'!$D$2:$D$3,$C48)</f>
        <v>0</v>
      </c>
      <c r="E48" s="5" t="n">
        <f aca="false">COUNTIFS('تفاصيل الفرص'!$B$2:$B$3,$B48,'تفاصيل الفرص'!$D$2:$D$3,$C48,'تفاصيل الفرص'!$X$2:$X$3,0)</f>
        <v>0</v>
      </c>
      <c r="F48" s="5" t="n">
        <f aca="false">COUNTIFS('سجل الأكشنات'!$B$2:$B$2,$B48,'سجل الأكشنات'!$D$2:$D$2,$C48)</f>
        <v>0</v>
      </c>
      <c r="G48" s="5" t="n">
        <f aca="false">COUNTIFS('سجل الأكشنات'!$B$2:$B$2,$B48,'سجل الأكشنات'!$D$2:$D$2,$C48,'سجل الأكشنات'!$H$2:$H$2,"تفصيلي")</f>
        <v>0</v>
      </c>
      <c r="H48" s="5" t="n">
        <f aca="false">F48-G48</f>
        <v>0</v>
      </c>
      <c r="I48" s="12" t="str">
        <f aca="false">IF($B48&gt;"2026-10-01","لا توجد بيانات بعد",IF(AND(D48=0,F48=0),"بدون نشاط","نشِط"))</f>
        <v>لا توجد بيانات بعد</v>
      </c>
    </row>
    <row r="49" customFormat="false" ht="15" hidden="false" customHeight="false" outlineLevel="0" collapsed="false">
      <c r="A49" s="5" t="s">
        <v>39</v>
      </c>
      <c r="B49" s="5" t="s">
        <v>66</v>
      </c>
      <c r="C49" s="4" t="s">
        <v>20</v>
      </c>
      <c r="D49" s="5" t="n">
        <f aca="false">COUNTIFS('تفاصيل الفرص'!$B$2:$B$3,$B49,'تفاصيل الفرص'!$D$2:$D$3,$C49)</f>
        <v>0</v>
      </c>
      <c r="E49" s="5" t="n">
        <f aca="false">COUNTIFS('تفاصيل الفرص'!$B$2:$B$3,$B49,'تفاصيل الفرص'!$D$2:$D$3,$C49,'تفاصيل الفرص'!$X$2:$X$3,0)</f>
        <v>0</v>
      </c>
      <c r="F49" s="5" t="n">
        <f aca="false">COUNTIFS('سجل الأكشنات'!$B$2:$B$2,$B49,'سجل الأكشنات'!$D$2:$D$2,$C49)</f>
        <v>0</v>
      </c>
      <c r="G49" s="5" t="n">
        <f aca="false">COUNTIFS('سجل الأكشنات'!$B$2:$B$2,$B49,'سجل الأكشنات'!$D$2:$D$2,$C49,'سجل الأكشنات'!$H$2:$H$2,"تفصيلي")</f>
        <v>0</v>
      </c>
      <c r="H49" s="5" t="n">
        <f aca="false">F49-G49</f>
        <v>0</v>
      </c>
      <c r="I49" s="12" t="str">
        <f aca="false">IF($B49&gt;"2026-10-01","لا توجد بيانات بعد",IF(AND(D49=0,F49=0),"بدون نشاط","نشِط"))</f>
        <v>لا توجد بيانات بعد</v>
      </c>
    </row>
    <row r="50" customFormat="false" ht="15" hidden="false" customHeight="false" outlineLevel="0" collapsed="false">
      <c r="A50" s="13" t="s">
        <v>41</v>
      </c>
      <c r="B50" s="13" t="s">
        <v>67</v>
      </c>
      <c r="C50" s="14" t="s">
        <v>18</v>
      </c>
      <c r="D50" s="15" t="n">
        <f aca="false">COUNTIFS('تفاصيل الفرص'!$B$2:$B$3,$B50,'تفاصيل الفرص'!$D$2:$D$3,$C50)</f>
        <v>0</v>
      </c>
      <c r="E50" s="13" t="n">
        <f aca="false">COUNTIFS('تفاصيل الفرص'!$B$2:$B$3,$B50,'تفاصيل الفرص'!$D$2:$D$3,$C50,'تفاصيل الفرص'!$X$2:$X$3,0)</f>
        <v>0</v>
      </c>
      <c r="F50" s="13" t="n">
        <f aca="false">COUNTIFS('سجل الأكشنات'!$B$2:$B$2,$B50,'سجل الأكشنات'!$D$2:$D$2,$C50)</f>
        <v>0</v>
      </c>
      <c r="G50" s="13" t="n">
        <f aca="false">COUNTIFS('سجل الأكشنات'!$B$2:$B$2,$B50,'سجل الأكشنات'!$D$2:$D$2,$C50,'سجل الأكشنات'!$H$2:$H$2,"تفصيلي")</f>
        <v>0</v>
      </c>
      <c r="H50" s="13" t="n">
        <f aca="false">F50-G50</f>
        <v>0</v>
      </c>
      <c r="I50" s="13" t="str">
        <f aca="false">IF($B50&gt;"2026-10-01","لا توجد بيانات بعد",IF(AND(D50=0,F50=0),"بدون نشاط","نشِط"))</f>
        <v>لا توجد بيانات بعد</v>
      </c>
    </row>
    <row r="51" customFormat="false" ht="15" hidden="false" customHeight="false" outlineLevel="0" collapsed="false">
      <c r="A51" s="13" t="s">
        <v>41</v>
      </c>
      <c r="B51" s="13" t="s">
        <v>67</v>
      </c>
      <c r="C51" s="14" t="s">
        <v>20</v>
      </c>
      <c r="D51" s="15" t="n">
        <f aca="false">COUNTIFS('تفاصيل الفرص'!$B$2:$B$3,$B51,'تفاصيل الفرص'!$D$2:$D$3,$C51)</f>
        <v>0</v>
      </c>
      <c r="E51" s="13" t="n">
        <f aca="false">COUNTIFS('تفاصيل الفرص'!$B$2:$B$3,$B51,'تفاصيل الفرص'!$D$2:$D$3,$C51,'تفاصيل الفرص'!$X$2:$X$3,0)</f>
        <v>0</v>
      </c>
      <c r="F51" s="13" t="n">
        <f aca="false">COUNTIFS('سجل الأكشنات'!$B$2:$B$2,$B51,'سجل الأكشنات'!$D$2:$D$2,$C51)</f>
        <v>0</v>
      </c>
      <c r="G51" s="13" t="n">
        <f aca="false">COUNTIFS('سجل الأكشنات'!$B$2:$B$2,$B51,'سجل الأكشنات'!$D$2:$D$2,$C51,'سجل الأكشنات'!$H$2:$H$2,"تفصيلي")</f>
        <v>0</v>
      </c>
      <c r="H51" s="13" t="n">
        <f aca="false">F51-G51</f>
        <v>0</v>
      </c>
      <c r="I51" s="13" t="str">
        <f aca="false">IF($B51&gt;"2026-10-01","لا توجد بيانات بعد",IF(AND(D51=0,F51=0),"بدون نشاط","نشِط"))</f>
        <v>لا توجد بيانات بعد</v>
      </c>
    </row>
    <row r="52" customFormat="false" ht="15" hidden="false" customHeight="false" outlineLevel="0" collapsed="false">
      <c r="A52" s="5" t="s">
        <v>43</v>
      </c>
      <c r="B52" s="5" t="s">
        <v>68</v>
      </c>
      <c r="C52" s="4" t="s">
        <v>18</v>
      </c>
      <c r="D52" s="5" t="n">
        <f aca="false">COUNTIFS('تفاصيل الفرص'!$B$2:$B$3,$B52,'تفاصيل الفرص'!$D$2:$D$3,$C52)</f>
        <v>0</v>
      </c>
      <c r="E52" s="5" t="n">
        <f aca="false">COUNTIFS('تفاصيل الفرص'!$B$2:$B$3,$B52,'تفاصيل الفرص'!$D$2:$D$3,$C52,'تفاصيل الفرص'!$X$2:$X$3,0)</f>
        <v>0</v>
      </c>
      <c r="F52" s="5" t="n">
        <f aca="false">COUNTIFS('سجل الأكشنات'!$B$2:$B$2,$B52,'سجل الأكشنات'!$D$2:$D$2,$C52)</f>
        <v>0</v>
      </c>
      <c r="G52" s="5" t="n">
        <f aca="false">COUNTIFS('سجل الأكشنات'!$B$2:$B$2,$B52,'سجل الأكشنات'!$D$2:$D$2,$C52,'سجل الأكشنات'!$H$2:$H$2,"تفصيلي")</f>
        <v>0</v>
      </c>
      <c r="H52" s="5" t="n">
        <f aca="false">F52-G52</f>
        <v>0</v>
      </c>
      <c r="I52" s="12" t="str">
        <f aca="false">IF($B52&gt;"2026-10-01","لا توجد بيانات بعد",IF(AND(D52=0,F52=0),"بدون نشاط","نشِط"))</f>
        <v>لا توجد بيانات بعد</v>
      </c>
    </row>
    <row r="53" customFormat="false" ht="15" hidden="false" customHeight="false" outlineLevel="0" collapsed="false">
      <c r="A53" s="5" t="s">
        <v>43</v>
      </c>
      <c r="B53" s="5" t="s">
        <v>68</v>
      </c>
      <c r="C53" s="4" t="s">
        <v>20</v>
      </c>
      <c r="D53" s="5" t="n">
        <f aca="false">COUNTIFS('تفاصيل الفرص'!$B$2:$B$3,$B53,'تفاصيل الفرص'!$D$2:$D$3,$C53)</f>
        <v>0</v>
      </c>
      <c r="E53" s="5" t="n">
        <f aca="false">COUNTIFS('تفاصيل الفرص'!$B$2:$B$3,$B53,'تفاصيل الفرص'!$D$2:$D$3,$C53,'تفاصيل الفرص'!$X$2:$X$3,0)</f>
        <v>0</v>
      </c>
      <c r="F53" s="5" t="n">
        <f aca="false">COUNTIFS('سجل الأكشنات'!$B$2:$B$2,$B53,'سجل الأكشنات'!$D$2:$D$2,$C53)</f>
        <v>0</v>
      </c>
      <c r="G53" s="5" t="n">
        <f aca="false">COUNTIFS('سجل الأكشنات'!$B$2:$B$2,$B53,'سجل الأكشنات'!$D$2:$D$2,$C53,'سجل الأكشنات'!$H$2:$H$2,"تفصيلي")</f>
        <v>0</v>
      </c>
      <c r="H53" s="5" t="n">
        <f aca="false">F53-G53</f>
        <v>0</v>
      </c>
      <c r="I53" s="12" t="str">
        <f aca="false">IF($B53&gt;"2026-10-01","لا توجد بيانات بعد",IF(AND(D53=0,F53=0),"بدون نشاط","نشِط"))</f>
        <v>لا توجد بيانات بعد</v>
      </c>
    </row>
    <row r="54" customFormat="false" ht="15" hidden="false" customHeight="false" outlineLevel="0" collapsed="false">
      <c r="A54" s="13" t="s">
        <v>45</v>
      </c>
      <c r="B54" s="13" t="s">
        <v>69</v>
      </c>
      <c r="C54" s="14" t="s">
        <v>18</v>
      </c>
      <c r="D54" s="15" t="n">
        <f aca="false">COUNTIFS('تفاصيل الفرص'!$B$2:$B$3,$B54,'تفاصيل الفرص'!$D$2:$D$3,$C54)</f>
        <v>0</v>
      </c>
      <c r="E54" s="13" t="n">
        <f aca="false">COUNTIFS('تفاصيل الفرص'!$B$2:$B$3,$B54,'تفاصيل الفرص'!$D$2:$D$3,$C54,'تفاصيل الفرص'!$X$2:$X$3,0)</f>
        <v>0</v>
      </c>
      <c r="F54" s="13" t="n">
        <f aca="false">COUNTIFS('سجل الأكشنات'!$B$2:$B$2,$B54,'سجل الأكشنات'!$D$2:$D$2,$C54)</f>
        <v>0</v>
      </c>
      <c r="G54" s="13" t="n">
        <f aca="false">COUNTIFS('سجل الأكشنات'!$B$2:$B$2,$B54,'سجل الأكشنات'!$D$2:$D$2,$C54,'سجل الأكشنات'!$H$2:$H$2,"تفصيلي")</f>
        <v>0</v>
      </c>
      <c r="H54" s="13" t="n">
        <f aca="false">F54-G54</f>
        <v>0</v>
      </c>
      <c r="I54" s="13" t="str">
        <f aca="false">IF($B54&gt;"2026-10-01","لا توجد بيانات بعد",IF(AND(D54=0,F54=0),"بدون نشاط","نشِط"))</f>
        <v>لا توجد بيانات بعد</v>
      </c>
    </row>
    <row r="55" customFormat="false" ht="15" hidden="false" customHeight="false" outlineLevel="0" collapsed="false">
      <c r="A55" s="13" t="s">
        <v>45</v>
      </c>
      <c r="B55" s="13" t="s">
        <v>69</v>
      </c>
      <c r="C55" s="14" t="s">
        <v>20</v>
      </c>
      <c r="D55" s="15" t="n">
        <f aca="false">COUNTIFS('تفاصيل الفرص'!$B$2:$B$3,$B55,'تفاصيل الفرص'!$D$2:$D$3,$C55)</f>
        <v>0</v>
      </c>
      <c r="E55" s="13" t="n">
        <f aca="false">COUNTIFS('تفاصيل الفرص'!$B$2:$B$3,$B55,'تفاصيل الفرص'!$D$2:$D$3,$C55,'تفاصيل الفرص'!$X$2:$X$3,0)</f>
        <v>0</v>
      </c>
      <c r="F55" s="13" t="n">
        <f aca="false">COUNTIFS('سجل الأكشنات'!$B$2:$B$2,$B55,'سجل الأكشنات'!$D$2:$D$2,$C55)</f>
        <v>0</v>
      </c>
      <c r="G55" s="13" t="n">
        <f aca="false">COUNTIFS('سجل الأكشنات'!$B$2:$B$2,$B55,'سجل الأكشنات'!$D$2:$D$2,$C55,'سجل الأكشنات'!$H$2:$H$2,"تفصيلي")</f>
        <v>0</v>
      </c>
      <c r="H55" s="13" t="n">
        <f aca="false">F55-G55</f>
        <v>0</v>
      </c>
      <c r="I55" s="13" t="str">
        <f aca="false">IF($B55&gt;"2026-10-01","لا توجد بيانات بعد",IF(AND(D55=0,F55=0),"بدون نشاط","نشِط"))</f>
        <v>لا توجد بيانات بعد</v>
      </c>
    </row>
    <row r="56" customFormat="false" ht="15" hidden="false" customHeight="false" outlineLevel="0" collapsed="false">
      <c r="A56" s="5" t="s">
        <v>47</v>
      </c>
      <c r="B56" s="5" t="s">
        <v>70</v>
      </c>
      <c r="C56" s="4" t="s">
        <v>18</v>
      </c>
      <c r="D56" s="5" t="n">
        <f aca="false">COUNTIFS('تفاصيل الفرص'!$B$2:$B$3,$B56,'تفاصيل الفرص'!$D$2:$D$3,$C56)</f>
        <v>0</v>
      </c>
      <c r="E56" s="5" t="n">
        <f aca="false">COUNTIFS('تفاصيل الفرص'!$B$2:$B$3,$B56,'تفاصيل الفرص'!$D$2:$D$3,$C56,'تفاصيل الفرص'!$X$2:$X$3,0)</f>
        <v>0</v>
      </c>
      <c r="F56" s="5" t="n">
        <f aca="false">COUNTIFS('سجل الأكشنات'!$B$2:$B$2,$B56,'سجل الأكشنات'!$D$2:$D$2,$C56)</f>
        <v>0</v>
      </c>
      <c r="G56" s="5" t="n">
        <f aca="false">COUNTIFS('سجل الأكشنات'!$B$2:$B$2,$B56,'سجل الأكشنات'!$D$2:$D$2,$C56,'سجل الأكشنات'!$H$2:$H$2,"تفصيلي")</f>
        <v>0</v>
      </c>
      <c r="H56" s="5" t="n">
        <f aca="false">F56-G56</f>
        <v>0</v>
      </c>
      <c r="I56" s="12" t="str">
        <f aca="false">IF($B56&gt;"2026-10-01","لا توجد بيانات بعد",IF(AND(D56=0,F56=0),"بدون نشاط","نشِط"))</f>
        <v>لا توجد بيانات بعد</v>
      </c>
    </row>
    <row r="57" customFormat="false" ht="15" hidden="false" customHeight="false" outlineLevel="0" collapsed="false">
      <c r="A57" s="5" t="s">
        <v>47</v>
      </c>
      <c r="B57" s="5" t="s">
        <v>70</v>
      </c>
      <c r="C57" s="4" t="s">
        <v>20</v>
      </c>
      <c r="D57" s="5" t="n">
        <f aca="false">COUNTIFS('تفاصيل الفرص'!$B$2:$B$3,$B57,'تفاصيل الفرص'!$D$2:$D$3,$C57)</f>
        <v>0</v>
      </c>
      <c r="E57" s="5" t="n">
        <f aca="false">COUNTIFS('تفاصيل الفرص'!$B$2:$B$3,$B57,'تفاصيل الفرص'!$D$2:$D$3,$C57,'تفاصيل الفرص'!$X$2:$X$3,0)</f>
        <v>0</v>
      </c>
      <c r="F57" s="5" t="n">
        <f aca="false">COUNTIFS('سجل الأكشنات'!$B$2:$B$2,$B57,'سجل الأكشنات'!$D$2:$D$2,$C57)</f>
        <v>0</v>
      </c>
      <c r="G57" s="5" t="n">
        <f aca="false">COUNTIFS('سجل الأكشنات'!$B$2:$B$2,$B57,'سجل الأكشنات'!$D$2:$D$2,$C57,'سجل الأكشنات'!$H$2:$H$2,"تفصيلي")</f>
        <v>0</v>
      </c>
      <c r="H57" s="5" t="n">
        <f aca="false">F57-G57</f>
        <v>0</v>
      </c>
      <c r="I57" s="12" t="str">
        <f aca="false">IF($B57&gt;"2026-10-01","لا توجد بيانات بعد",IF(AND(D57=0,F57=0),"بدون نشاط","نشِط"))</f>
        <v>لا توجد بيانات بعد</v>
      </c>
    </row>
    <row r="58" customFormat="false" ht="15" hidden="false" customHeight="false" outlineLevel="0" collapsed="false">
      <c r="A58" s="13" t="s">
        <v>49</v>
      </c>
      <c r="B58" s="13" t="s">
        <v>71</v>
      </c>
      <c r="C58" s="14" t="s">
        <v>18</v>
      </c>
      <c r="D58" s="15" t="n">
        <f aca="false">COUNTIFS('تفاصيل الفرص'!$B$2:$B$3,$B58,'تفاصيل الفرص'!$D$2:$D$3,$C58)</f>
        <v>0</v>
      </c>
      <c r="E58" s="13" t="n">
        <f aca="false">COUNTIFS('تفاصيل الفرص'!$B$2:$B$3,$B58,'تفاصيل الفرص'!$D$2:$D$3,$C58,'تفاصيل الفرص'!$X$2:$X$3,0)</f>
        <v>0</v>
      </c>
      <c r="F58" s="13" t="n">
        <f aca="false">COUNTIFS('سجل الأكشنات'!$B$2:$B$2,$B58,'سجل الأكشنات'!$D$2:$D$2,$C58)</f>
        <v>0</v>
      </c>
      <c r="G58" s="13" t="n">
        <f aca="false">COUNTIFS('سجل الأكشنات'!$B$2:$B$2,$B58,'سجل الأكشنات'!$D$2:$D$2,$C58,'سجل الأكشنات'!$H$2:$H$2,"تفصيلي")</f>
        <v>0</v>
      </c>
      <c r="H58" s="13" t="n">
        <f aca="false">F58-G58</f>
        <v>0</v>
      </c>
      <c r="I58" s="13" t="str">
        <f aca="false">IF($B58&gt;"2026-10-01","لا توجد بيانات بعد",IF(AND(D58=0,F58=0),"بدون نشاط","نشِط"))</f>
        <v>لا توجد بيانات بعد</v>
      </c>
    </row>
    <row r="59" customFormat="false" ht="15" hidden="false" customHeight="false" outlineLevel="0" collapsed="false">
      <c r="A59" s="13" t="s">
        <v>49</v>
      </c>
      <c r="B59" s="13" t="s">
        <v>71</v>
      </c>
      <c r="C59" s="14" t="s">
        <v>20</v>
      </c>
      <c r="D59" s="15" t="n">
        <f aca="false">COUNTIFS('تفاصيل الفرص'!$B$2:$B$3,$B59,'تفاصيل الفرص'!$D$2:$D$3,$C59)</f>
        <v>0</v>
      </c>
      <c r="E59" s="13" t="n">
        <f aca="false">COUNTIFS('تفاصيل الفرص'!$B$2:$B$3,$B59,'تفاصيل الفرص'!$D$2:$D$3,$C59,'تفاصيل الفرص'!$X$2:$X$3,0)</f>
        <v>0</v>
      </c>
      <c r="F59" s="13" t="n">
        <f aca="false">COUNTIFS('سجل الأكشنات'!$B$2:$B$2,$B59,'سجل الأكشنات'!$D$2:$D$2,$C59)</f>
        <v>0</v>
      </c>
      <c r="G59" s="13" t="n">
        <f aca="false">COUNTIFS('سجل الأكشنات'!$B$2:$B$2,$B59,'سجل الأكشنات'!$D$2:$D$2,$C59,'سجل الأكشنات'!$H$2:$H$2,"تفصيلي")</f>
        <v>0</v>
      </c>
      <c r="H59" s="13" t="n">
        <f aca="false">F59-G59</f>
        <v>0</v>
      </c>
      <c r="I59" s="13" t="str">
        <f aca="false">IF($B59&gt;"2026-10-01","لا توجد بيانات بعد",IF(AND(D59=0,F59=0),"بدون نشاط","نشِط"))</f>
        <v>لا توجد بيانات بعد</v>
      </c>
    </row>
    <row r="60" customFormat="false" ht="15" hidden="false" customHeight="false" outlineLevel="0" collapsed="false">
      <c r="A60" s="5" t="s">
        <v>37</v>
      </c>
      <c r="B60" s="5" t="s">
        <v>72</v>
      </c>
      <c r="C60" s="4" t="s">
        <v>18</v>
      </c>
      <c r="D60" s="5" t="n">
        <f aca="false">COUNTIFS('تفاصيل الفرص'!$B$2:$B$3,$B60,'تفاصيل الفرص'!$D$2:$D$3,$C60)</f>
        <v>0</v>
      </c>
      <c r="E60" s="5" t="n">
        <f aca="false">COUNTIFS('تفاصيل الفرص'!$B$2:$B$3,$B60,'تفاصيل الفرص'!$D$2:$D$3,$C60,'تفاصيل الفرص'!$X$2:$X$3,0)</f>
        <v>0</v>
      </c>
      <c r="F60" s="5" t="n">
        <f aca="false">COUNTIFS('سجل الأكشنات'!$B$2:$B$2,$B60,'سجل الأكشنات'!$D$2:$D$2,$C60)</f>
        <v>0</v>
      </c>
      <c r="G60" s="5" t="n">
        <f aca="false">COUNTIFS('سجل الأكشنات'!$B$2:$B$2,$B60,'سجل الأكشنات'!$D$2:$D$2,$C60,'سجل الأكشنات'!$H$2:$H$2,"تفصيلي")</f>
        <v>0</v>
      </c>
      <c r="H60" s="5" t="n">
        <f aca="false">F60-G60</f>
        <v>0</v>
      </c>
      <c r="I60" s="12" t="str">
        <f aca="false">IF($B60&gt;"2026-10-01","لا توجد بيانات بعد",IF(AND(D60=0,F60=0),"بدون نشاط","نشِط"))</f>
        <v>لا توجد بيانات بعد</v>
      </c>
    </row>
    <row r="61" customFormat="false" ht="15" hidden="false" customHeight="false" outlineLevel="0" collapsed="false">
      <c r="A61" s="5" t="s">
        <v>37</v>
      </c>
      <c r="B61" s="5" t="s">
        <v>72</v>
      </c>
      <c r="C61" s="4" t="s">
        <v>20</v>
      </c>
      <c r="D61" s="5" t="n">
        <f aca="false">COUNTIFS('تفاصيل الفرص'!$B$2:$B$3,$B61,'تفاصيل الفرص'!$D$2:$D$3,$C61)</f>
        <v>0</v>
      </c>
      <c r="E61" s="5" t="n">
        <f aca="false">COUNTIFS('تفاصيل الفرص'!$B$2:$B$3,$B61,'تفاصيل الفرص'!$D$2:$D$3,$C61,'تفاصيل الفرص'!$X$2:$X$3,0)</f>
        <v>0</v>
      </c>
      <c r="F61" s="5" t="n">
        <f aca="false">COUNTIFS('سجل الأكشنات'!$B$2:$B$2,$B61,'سجل الأكشنات'!$D$2:$D$2,$C61)</f>
        <v>0</v>
      </c>
      <c r="G61" s="5" t="n">
        <f aca="false">COUNTIFS('سجل الأكشنات'!$B$2:$B$2,$B61,'سجل الأكشنات'!$D$2:$D$2,$C61,'سجل الأكشنات'!$H$2:$H$2,"تفصيلي")</f>
        <v>0</v>
      </c>
      <c r="H61" s="5" t="n">
        <f aca="false">F61-G61</f>
        <v>0</v>
      </c>
      <c r="I61" s="12" t="str">
        <f aca="false">IF($B61&gt;"2026-10-01","لا توجد بيانات بعد",IF(AND(D61=0,F61=0),"بدون نشاط","نشِط"))</f>
        <v>لا توجد بيانات بعد</v>
      </c>
    </row>
    <row r="62" customFormat="false" ht="15" hidden="false" customHeight="false" outlineLevel="0" collapsed="false">
      <c r="A62" s="13" t="s">
        <v>39</v>
      </c>
      <c r="B62" s="13" t="s">
        <v>73</v>
      </c>
      <c r="C62" s="14" t="s">
        <v>18</v>
      </c>
      <c r="D62" s="15" t="n">
        <f aca="false">COUNTIFS('تفاصيل الفرص'!$B$2:$B$3,$B62,'تفاصيل الفرص'!$D$2:$D$3,$C62)</f>
        <v>0</v>
      </c>
      <c r="E62" s="13" t="n">
        <f aca="false">COUNTIFS('تفاصيل الفرص'!$B$2:$B$3,$B62,'تفاصيل الفرص'!$D$2:$D$3,$C62,'تفاصيل الفرص'!$X$2:$X$3,0)</f>
        <v>0</v>
      </c>
      <c r="F62" s="13" t="n">
        <f aca="false">COUNTIFS('سجل الأكشنات'!$B$2:$B$2,$B62,'سجل الأكشنات'!$D$2:$D$2,$C62)</f>
        <v>0</v>
      </c>
      <c r="G62" s="13" t="n">
        <f aca="false">COUNTIFS('سجل الأكشنات'!$B$2:$B$2,$B62,'سجل الأكشنات'!$D$2:$D$2,$C62,'سجل الأكشنات'!$H$2:$H$2,"تفصيلي")</f>
        <v>0</v>
      </c>
      <c r="H62" s="13" t="n">
        <f aca="false">F62-G62</f>
        <v>0</v>
      </c>
      <c r="I62" s="13" t="str">
        <f aca="false">IF($B62&gt;"2026-10-01","لا توجد بيانات بعد",IF(AND(D62=0,F62=0),"بدون نشاط","نشِط"))</f>
        <v>لا توجد بيانات بعد</v>
      </c>
    </row>
    <row r="63" customFormat="false" ht="15" hidden="false" customHeight="false" outlineLevel="0" collapsed="false">
      <c r="A63" s="13" t="s">
        <v>39</v>
      </c>
      <c r="B63" s="13" t="s">
        <v>73</v>
      </c>
      <c r="C63" s="14" t="s">
        <v>20</v>
      </c>
      <c r="D63" s="15" t="n">
        <f aca="false">COUNTIFS('تفاصيل الفرص'!$B$2:$B$3,$B63,'تفاصيل الفرص'!$D$2:$D$3,$C63)</f>
        <v>0</v>
      </c>
      <c r="E63" s="13" t="n">
        <f aca="false">COUNTIFS('تفاصيل الفرص'!$B$2:$B$3,$B63,'تفاصيل الفرص'!$D$2:$D$3,$C63,'تفاصيل الفرص'!$X$2:$X$3,0)</f>
        <v>0</v>
      </c>
      <c r="F63" s="13" t="n">
        <f aca="false">COUNTIFS('سجل الأكشنات'!$B$2:$B$2,$B63,'سجل الأكشنات'!$D$2:$D$2,$C63)</f>
        <v>0</v>
      </c>
      <c r="G63" s="13" t="n">
        <f aca="false">COUNTIFS('سجل الأكشنات'!$B$2:$B$2,$B63,'سجل الأكشنات'!$D$2:$D$2,$C63,'سجل الأكشنات'!$H$2:$H$2,"تفصيلي")</f>
        <v>0</v>
      </c>
      <c r="H63" s="13" t="n">
        <f aca="false">F63-G63</f>
        <v>0</v>
      </c>
      <c r="I63" s="13" t="str">
        <f aca="false">IF($B63&gt;"2026-10-01","لا توجد بيانات بعد",IF(AND(D63=0,F63=0),"بدون نشاط","نشِط"))</f>
        <v>لا توجد بيانات بعد</v>
      </c>
    </row>
    <row r="64" customFormat="false" ht="15" hidden="false" customHeight="false" outlineLevel="0" collapsed="false">
      <c r="A64" s="5" t="s">
        <v>41</v>
      </c>
      <c r="B64" s="5" t="s">
        <v>74</v>
      </c>
      <c r="C64" s="4" t="s">
        <v>18</v>
      </c>
      <c r="D64" s="5" t="n">
        <f aca="false">COUNTIFS('تفاصيل الفرص'!$B$2:$B$3,$B64,'تفاصيل الفرص'!$D$2:$D$3,$C64)</f>
        <v>0</v>
      </c>
      <c r="E64" s="5" t="n">
        <f aca="false">COUNTIFS('تفاصيل الفرص'!$B$2:$B$3,$B64,'تفاصيل الفرص'!$D$2:$D$3,$C64,'تفاصيل الفرص'!$X$2:$X$3,0)</f>
        <v>0</v>
      </c>
      <c r="F64" s="5" t="n">
        <f aca="false">COUNTIFS('سجل الأكشنات'!$B$2:$B$2,$B64,'سجل الأكشنات'!$D$2:$D$2,$C64)</f>
        <v>0</v>
      </c>
      <c r="G64" s="5" t="n">
        <f aca="false">COUNTIFS('سجل الأكشنات'!$B$2:$B$2,$B64,'سجل الأكشنات'!$D$2:$D$2,$C64,'سجل الأكشنات'!$H$2:$H$2,"تفصيلي")</f>
        <v>0</v>
      </c>
      <c r="H64" s="5" t="n">
        <f aca="false">F64-G64</f>
        <v>0</v>
      </c>
      <c r="I64" s="12" t="str">
        <f aca="false">IF($B64&gt;"2026-10-01","لا توجد بيانات بعد",IF(AND(D64=0,F64=0),"بدون نشاط","نشِط"))</f>
        <v>لا توجد بيانات بعد</v>
      </c>
    </row>
    <row r="65" customFormat="false" ht="15" hidden="false" customHeight="false" outlineLevel="0" collapsed="false">
      <c r="A65" s="5" t="s">
        <v>41</v>
      </c>
      <c r="B65" s="5" t="s">
        <v>74</v>
      </c>
      <c r="C65" s="4" t="s">
        <v>20</v>
      </c>
      <c r="D65" s="5" t="n">
        <f aca="false">COUNTIFS('تفاصيل الفرص'!$B$2:$B$3,$B65,'تفاصيل الفرص'!$D$2:$D$3,$C65)</f>
        <v>0</v>
      </c>
      <c r="E65" s="5" t="n">
        <f aca="false">COUNTIFS('تفاصيل الفرص'!$B$2:$B$3,$B65,'تفاصيل الفرص'!$D$2:$D$3,$C65,'تفاصيل الفرص'!$X$2:$X$3,0)</f>
        <v>0</v>
      </c>
      <c r="F65" s="5" t="n">
        <f aca="false">COUNTIFS('سجل الأكشنات'!$B$2:$B$2,$B65,'سجل الأكشنات'!$D$2:$D$2,$C65)</f>
        <v>0</v>
      </c>
      <c r="G65" s="5" t="n">
        <f aca="false">COUNTIFS('سجل الأكشنات'!$B$2:$B$2,$B65,'سجل الأكشنات'!$D$2:$D$2,$C65,'سجل الأكشنات'!$H$2:$H$2,"تفصيلي")</f>
        <v>0</v>
      </c>
      <c r="H65" s="5" t="n">
        <f aca="false">F65-G65</f>
        <v>0</v>
      </c>
      <c r="I65" s="12" t="str">
        <f aca="false">IF($B65&gt;"2026-10-01","لا توجد بيانات بعد",IF(AND(D65=0,F65=0),"بدون نشاط","نشِط"))</f>
        <v>لا توجد بيانات بعد</v>
      </c>
    </row>
  </sheetData>
  <autoFilter ref="A3:I65"/>
  <mergeCells count="1">
    <mergeCell ref="A1:F1"/>
  </mergeCells>
  <conditionalFormatting sqref="I4:I65">
    <cfRule type="cellIs" priority="2" operator="equal" aboveAverage="0" equalAverage="0" bottom="0" percent="0" rank="0" text="" dxfId="0">
      <formula>"بدون نشاط"</formula>
    </cfRule>
    <cfRule type="cellIs" priority="3" operator="equal" aboveAverage="0" equalAverage="0" bottom="0" percent="0" rank="0" text="" dxfId="1">
      <formula>"نشِط"</formula>
    </cfRule>
  </conditionalFormatting>
  <conditionalFormatting sqref="D4:D65">
    <cfRule type="cellIs" priority="4" operator="greaterThan" aboveAverage="0" equalAverage="0" bottom="0" percent="0" rank="0" text="" dxfId="9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10" min="7" style="0" width="16"/>
  </cols>
  <sheetData>
    <row r="1" customFormat="false" ht="17.35" hidden="false" customHeight="false" outlineLevel="0" collapsed="false">
      <c r="A1" s="16" t="s">
        <v>75</v>
      </c>
    </row>
    <row r="2" customFormat="false" ht="15" hidden="false" customHeight="false" outlineLevel="0" collapsed="false">
      <c r="A2" s="17" t="s">
        <v>76</v>
      </c>
    </row>
    <row r="4" customFormat="false" ht="15" hidden="false" customHeight="false" outlineLevel="0" collapsed="false">
      <c r="A4" s="18" t="s">
        <v>77</v>
      </c>
    </row>
    <row r="5" customFormat="false" ht="51.75" hidden="false" customHeight="true" outlineLevel="0" collapsed="false">
      <c r="A5" s="3" t="s">
        <v>78</v>
      </c>
      <c r="B5" s="3" t="s">
        <v>79</v>
      </c>
      <c r="C5" s="3" t="s">
        <v>80</v>
      </c>
      <c r="D5" s="3" t="s">
        <v>81</v>
      </c>
      <c r="E5" s="3" t="s">
        <v>82</v>
      </c>
      <c r="F5" s="3" t="s">
        <v>83</v>
      </c>
      <c r="G5" s="3" t="s">
        <v>18</v>
      </c>
      <c r="H5" s="3" t="s">
        <v>20</v>
      </c>
    </row>
    <row r="6" customFormat="false" ht="15" hidden="false" customHeight="false" outlineLevel="0" collapsed="false">
      <c r="A6" s="4" t="s">
        <v>84</v>
      </c>
      <c r="B6" s="4" t="s">
        <v>85</v>
      </c>
      <c r="C6" s="5" t="n">
        <f aca="false">COUNTIF('تفاصيل الفرص'!$I$2:$I$3,"لا")</f>
        <v>0</v>
      </c>
      <c r="D6" s="6" t="n">
        <f aca="false">IF(2=0,0,C6/2)</f>
        <v>0</v>
      </c>
      <c r="E6" s="5" t="n">
        <v>0</v>
      </c>
      <c r="F6" s="4" t="s">
        <v>86</v>
      </c>
      <c r="G6" s="5" t="n">
        <f aca="false">COUNTIFS('تفاصيل الفرص'!$D$2:$D$3,G$5,'تفاصيل الفرص'!$I$2:$I$3,"لا")</f>
        <v>0</v>
      </c>
      <c r="H6" s="5" t="n">
        <f aca="false">COUNTIFS('تفاصيل الفرص'!$D$2:$D$3,H$5,'تفاصيل الفرص'!$I$2:$I$3,"لا")</f>
        <v>0</v>
      </c>
    </row>
    <row r="7" customFormat="false" ht="15" hidden="false" customHeight="false" outlineLevel="0" collapsed="false">
      <c r="A7" s="4" t="s">
        <v>87</v>
      </c>
      <c r="B7" s="4" t="s">
        <v>5</v>
      </c>
      <c r="C7" s="5" t="n">
        <f aca="false">COUNTIF('تفاصيل الفرص'!$K$2:$K$3,"لا")</f>
        <v>2</v>
      </c>
      <c r="D7" s="6" t="n">
        <f aca="false">IF(2=0,0,C7/2)</f>
        <v>1</v>
      </c>
      <c r="E7" s="5" t="n">
        <v>2</v>
      </c>
      <c r="F7" s="4" t="s">
        <v>88</v>
      </c>
      <c r="G7" s="5" t="n">
        <f aca="false">COUNTIFS('تفاصيل الفرص'!$D$2:$D$3,G$5,'تفاصيل الفرص'!$K$2:$K$3,"لا")</f>
        <v>1</v>
      </c>
      <c r="H7" s="5" t="n">
        <f aca="false">COUNTIFS('تفاصيل الفرص'!$D$2:$D$3,H$5,'تفاصيل الفرص'!$K$2:$K$3,"لا")</f>
        <v>1</v>
      </c>
    </row>
    <row r="8" customFormat="false" ht="15" hidden="false" customHeight="false" outlineLevel="0" collapsed="false">
      <c r="A8" s="4" t="s">
        <v>89</v>
      </c>
      <c r="B8" s="4" t="s">
        <v>6</v>
      </c>
      <c r="C8" s="5" t="n">
        <f aca="false">COUNTIF('تفاصيل الفرص'!$M$2:$M$3,"لا")</f>
        <v>1</v>
      </c>
      <c r="D8" s="6" t="n">
        <f aca="false">IF(2=0,0,C8/2)</f>
        <v>0.5</v>
      </c>
      <c r="E8" s="5" t="n">
        <v>1</v>
      </c>
      <c r="F8" s="4" t="s">
        <v>90</v>
      </c>
      <c r="G8" s="5" t="n">
        <f aca="false">COUNTIFS('تفاصيل الفرص'!$D$2:$D$3,G$5,'تفاصيل الفرص'!$M$2:$M$3,"لا")</f>
        <v>0</v>
      </c>
      <c r="H8" s="5" t="n">
        <f aca="false">COUNTIFS('تفاصيل الفرص'!$D$2:$D$3,H$5,'تفاصيل الفرص'!$M$2:$M$3,"لا")</f>
        <v>1</v>
      </c>
    </row>
    <row r="9" customFormat="false" ht="15" hidden="false" customHeight="false" outlineLevel="0" collapsed="false">
      <c r="A9" s="4" t="s">
        <v>91</v>
      </c>
      <c r="B9" s="4" t="s">
        <v>7</v>
      </c>
      <c r="C9" s="5" t="n">
        <f aca="false">COUNTIF('تفاصيل الفرص'!$O$2:$O$3,"لا")</f>
        <v>2</v>
      </c>
      <c r="D9" s="6" t="n">
        <f aca="false">IF(2=0,0,C9/2)</f>
        <v>1</v>
      </c>
      <c r="E9" s="5" t="n">
        <v>2</v>
      </c>
      <c r="F9" s="4" t="s">
        <v>88</v>
      </c>
      <c r="G9" s="5" t="n">
        <f aca="false">COUNTIFS('تفاصيل الفرص'!$D$2:$D$3,G$5,'تفاصيل الفرص'!$O$2:$O$3,"لا")</f>
        <v>1</v>
      </c>
      <c r="H9" s="5" t="n">
        <f aca="false">COUNTIFS('تفاصيل الفرص'!$D$2:$D$3,H$5,'تفاصيل الفرص'!$O$2:$O$3,"لا")</f>
        <v>1</v>
      </c>
    </row>
    <row r="10" customFormat="false" ht="15" hidden="false" customHeight="false" outlineLevel="0" collapsed="false">
      <c r="A10" s="4" t="s">
        <v>92</v>
      </c>
      <c r="B10" s="4" t="s">
        <v>8</v>
      </c>
      <c r="C10" s="5" t="n">
        <f aca="false">COUNTIF('تفاصيل الفرص'!$Q$2:$Q$3,"لا")</f>
        <v>1</v>
      </c>
      <c r="D10" s="6" t="n">
        <f aca="false">IF(2=0,0,C10/2)</f>
        <v>0.5</v>
      </c>
      <c r="E10" s="5" t="n">
        <v>1</v>
      </c>
      <c r="F10" s="4" t="s">
        <v>90</v>
      </c>
      <c r="G10" s="5" t="n">
        <f aca="false">COUNTIFS('تفاصيل الفرص'!$D$2:$D$3,G$5,'تفاصيل الفرص'!$Q$2:$Q$3,"لا")</f>
        <v>0</v>
      </c>
      <c r="H10" s="5" t="n">
        <f aca="false">COUNTIFS('تفاصيل الفرص'!$D$2:$D$3,H$5,'تفاصيل الفرص'!$Q$2:$Q$3,"لا")</f>
        <v>1</v>
      </c>
    </row>
    <row r="11" customFormat="false" ht="15" hidden="false" customHeight="false" outlineLevel="0" collapsed="false">
      <c r="A11" s="4" t="s">
        <v>93</v>
      </c>
      <c r="B11" s="4" t="s">
        <v>9</v>
      </c>
      <c r="C11" s="5" t="n">
        <f aca="false">COUNTIF('تفاصيل الفرص'!$S$2:$S$3,"لا")</f>
        <v>2</v>
      </c>
      <c r="D11" s="6" t="n">
        <f aca="false">IF(2=0,0,C11/2)</f>
        <v>1</v>
      </c>
      <c r="E11" s="5" t="n">
        <v>2</v>
      </c>
      <c r="F11" s="4" t="s">
        <v>88</v>
      </c>
      <c r="G11" s="5" t="n">
        <f aca="false">COUNTIFS('تفاصيل الفرص'!$D$2:$D$3,G$5,'تفاصيل الفرص'!$S$2:$S$3,"لا")</f>
        <v>1</v>
      </c>
      <c r="H11" s="5" t="n">
        <f aca="false">COUNTIFS('تفاصيل الفرص'!$D$2:$D$3,H$5,'تفاصيل الفرص'!$S$2:$S$3,"لا")</f>
        <v>1</v>
      </c>
    </row>
    <row r="12" customFormat="false" ht="15" hidden="false" customHeight="false" outlineLevel="0" collapsed="false">
      <c r="A12" s="4" t="s">
        <v>94</v>
      </c>
      <c r="B12" s="4" t="s">
        <v>10</v>
      </c>
      <c r="C12" s="5" t="n">
        <f aca="false">COUNTIF('تفاصيل الفرص'!$U$2:$U$3,"لا")</f>
        <v>1</v>
      </c>
      <c r="D12" s="6" t="n">
        <f aca="false">IF(2=0,0,C12/2)</f>
        <v>0.5</v>
      </c>
      <c r="E12" s="5" t="n">
        <v>1</v>
      </c>
      <c r="F12" s="4" t="s">
        <v>90</v>
      </c>
      <c r="G12" s="5" t="n">
        <f aca="false">COUNTIFS('تفاصيل الفرص'!$D$2:$D$3,G$5,'تفاصيل الفرص'!$U$2:$U$3,"لا")</f>
        <v>0</v>
      </c>
      <c r="H12" s="5" t="n">
        <f aca="false">COUNTIFS('تفاصيل الفرص'!$D$2:$D$3,H$5,'تفاصيل الفرص'!$U$2:$U$3,"لا")</f>
        <v>1</v>
      </c>
    </row>
    <row r="13" customFormat="false" ht="15" hidden="false" customHeight="false" outlineLevel="0" collapsed="false">
      <c r="A13" s="4" t="s">
        <v>95</v>
      </c>
      <c r="B13" s="4" t="s">
        <v>11</v>
      </c>
      <c r="C13" s="5" t="n">
        <f aca="false">COUNTIF('تفاصيل الفرص'!$W$2:$W$3,"لا")</f>
        <v>2</v>
      </c>
      <c r="D13" s="6" t="n">
        <f aca="false">IF(2=0,0,C13/2)</f>
        <v>1</v>
      </c>
      <c r="E13" s="5" t="n">
        <v>2</v>
      </c>
      <c r="F13" s="4" t="s">
        <v>88</v>
      </c>
      <c r="G13" s="5" t="n">
        <f aca="false">COUNTIFS('تفاصيل الفرص'!$D$2:$D$3,G$5,'تفاصيل الفرص'!$W$2:$W$3,"لا")</f>
        <v>1</v>
      </c>
      <c r="H13" s="5" t="n">
        <f aca="false">COUNTIFS('تفاصيل الفرص'!$D$2:$D$3,H$5,'تفاصيل الفرص'!$W$2:$W$3,"لا")</f>
        <v>1</v>
      </c>
    </row>
    <row r="16" customFormat="false" ht="15" hidden="false" customHeight="false" outlineLevel="0" collapsed="false">
      <c r="A16" s="18" t="s">
        <v>96</v>
      </c>
    </row>
    <row r="17" customFormat="false" ht="31.5" hidden="false" customHeight="true" outlineLevel="0" collapsed="false">
      <c r="A17" s="3" t="s">
        <v>97</v>
      </c>
      <c r="B17" s="3" t="s">
        <v>3</v>
      </c>
      <c r="C17" s="3" t="s">
        <v>98</v>
      </c>
    </row>
    <row r="18" customFormat="false" ht="23.85" hidden="false" customHeight="false" outlineLevel="0" collapsed="false">
      <c r="A18" s="4" t="s">
        <v>99</v>
      </c>
      <c r="B18" s="5" t="n">
        <v>1</v>
      </c>
      <c r="C18" s="6" t="n">
        <f aca="false">IF(2=0,0,B18/2)</f>
        <v>0.5</v>
      </c>
    </row>
    <row r="19" customFormat="false" ht="15" hidden="false" customHeight="false" outlineLevel="0" collapsed="false">
      <c r="A19" s="4" t="s">
        <v>100</v>
      </c>
      <c r="B19" s="5" t="n">
        <v>1</v>
      </c>
      <c r="C19" s="6" t="n">
        <f aca="false">IF(2=0,0,B19/2)</f>
        <v>0.5</v>
      </c>
    </row>
    <row r="22" customFormat="false" ht="15" hidden="false" customHeight="false" outlineLevel="0" collapsed="false">
      <c r="A22" s="18" t="s">
        <v>101</v>
      </c>
    </row>
    <row r="23" customFormat="false" ht="51.75" hidden="false" customHeight="true" outlineLevel="0" collapsed="false">
      <c r="A23" s="3" t="s">
        <v>102</v>
      </c>
      <c r="B23" s="3" t="s">
        <v>13</v>
      </c>
      <c r="C23" s="3" t="s">
        <v>103</v>
      </c>
      <c r="D23" s="3" t="s">
        <v>18</v>
      </c>
      <c r="E23" s="3" t="s">
        <v>20</v>
      </c>
    </row>
    <row r="24" customFormat="false" ht="15" hidden="false" customHeight="false" outlineLevel="0" collapsed="false">
      <c r="A24" s="4" t="s">
        <v>104</v>
      </c>
      <c r="B24" s="5" t="n">
        <f aca="false">COUNTIF('سجل الأكشنات'!$J$2:$J$2,$A24)</f>
        <v>1</v>
      </c>
      <c r="C24" s="6" t="n">
        <f aca="false">IF(1=0,0,B24/1)</f>
        <v>1</v>
      </c>
      <c r="D24" s="5" t="n">
        <f aca="false">COUNTIFS('سجل الأكشنات'!$D$2:$D$2,D$23,'سجل الأكشنات'!$J$2:$J$2,$A24)</f>
        <v>1</v>
      </c>
      <c r="E24" s="5" t="n">
        <f aca="false">COUNTIFS('سجل الأكشنات'!$D$2:$D$2,E$23,'سجل الأكشنات'!$J$2:$J$2,$A24)</f>
        <v>0</v>
      </c>
    </row>
    <row r="27" customFormat="false" ht="15" hidden="false" customHeight="false" outlineLevel="0" collapsed="false">
      <c r="A27" s="18" t="s">
        <v>105</v>
      </c>
    </row>
    <row r="28" customFormat="false" ht="31.5" hidden="false" customHeight="true" outlineLevel="0" collapsed="false">
      <c r="A28" s="3" t="s">
        <v>2</v>
      </c>
      <c r="B28" s="3" t="s">
        <v>3</v>
      </c>
      <c r="C28" s="3" t="s">
        <v>13</v>
      </c>
      <c r="D28" s="3" t="s">
        <v>106</v>
      </c>
      <c r="E28" s="3"/>
      <c r="F28" s="3"/>
      <c r="G28" s="3"/>
      <c r="H28" s="3"/>
      <c r="I28" s="3"/>
      <c r="J28" s="3"/>
    </row>
    <row r="29" customFormat="false" ht="45.75" hidden="false" customHeight="true" outlineLevel="0" collapsed="false">
      <c r="A29" s="4" t="s">
        <v>18</v>
      </c>
      <c r="B29" s="5" t="n">
        <v>1</v>
      </c>
      <c r="C29" s="5" t="n">
        <v>1</v>
      </c>
      <c r="D29" s="4"/>
      <c r="E29" s="4"/>
      <c r="F29" s="4"/>
      <c r="G29" s="4"/>
      <c r="H29" s="4"/>
      <c r="I29" s="4"/>
      <c r="J29" s="4"/>
    </row>
    <row r="30" customFormat="false" ht="45.75" hidden="false" customHeight="true" outlineLevel="0" collapsed="false">
      <c r="A30" s="4" t="s">
        <v>20</v>
      </c>
      <c r="B30" s="5" t="n">
        <v>1</v>
      </c>
      <c r="C30" s="5" t="n">
        <v>0</v>
      </c>
      <c r="D30" s="4"/>
      <c r="E30" s="4"/>
      <c r="F30" s="4"/>
      <c r="G30" s="4"/>
      <c r="H30" s="4"/>
      <c r="I30" s="4"/>
      <c r="J30" s="4"/>
    </row>
  </sheetData>
  <mergeCells count="3">
    <mergeCell ref="D28:J28"/>
    <mergeCell ref="D29:J29"/>
    <mergeCell ref="D30:J30"/>
  </mergeCells>
  <conditionalFormatting sqref="D6:D13">
    <cfRule type="cellIs" priority="2" operator="greaterThanOrEqual" aboveAverage="0" equalAverage="0" bottom="0" percent="0" rank="0" text="" dxfId="0">
      <formula>0.8</formula>
    </cfRule>
    <cfRule type="cellIs" priority="3" operator="between" aboveAverage="0" equalAverage="0" bottom="0" percent="0" rank="0" text="" dxfId="2">
      <formula>0.4</formula>
      <formula>0.8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34"/>
    <col collapsed="false" customWidth="true" hidden="false" outlineLevel="0" max="8" min="8" style="0" width="30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26"/>
    <col collapsed="false" customWidth="true" hidden="false" outlineLevel="0" max="13" min="13" style="0" width="10"/>
    <col collapsed="false" customWidth="true" hidden="false" outlineLevel="0" max="14" min="14" style="0" width="26"/>
    <col collapsed="false" customWidth="true" hidden="false" outlineLevel="0" max="15" min="15" style="0" width="10"/>
    <col collapsed="false" customWidth="true" hidden="false" outlineLevel="0" max="16" min="16" style="0" width="22"/>
    <col collapsed="false" customWidth="true" hidden="false" outlineLevel="0" max="17" min="17" style="0" width="10"/>
    <col collapsed="false" customWidth="true" hidden="false" outlineLevel="0" max="19" min="18" style="0" width="9"/>
    <col collapsed="false" customWidth="true" hidden="false" outlineLevel="0" max="20" min="20" style="0" width="12"/>
    <col collapsed="false" customWidth="true" hidden="false" outlineLevel="0" max="23" min="21" style="0" width="10"/>
    <col collapsed="false" customWidth="true" hidden="false" outlineLevel="0" max="24" min="24" style="0" width="9"/>
    <col collapsed="false" customWidth="true" hidden="false" outlineLevel="0" max="25" min="25" style="0" width="42"/>
  </cols>
  <sheetData>
    <row r="1" customFormat="false" ht="31.5" hidden="false" customHeight="true" outlineLevel="0" collapsed="false">
      <c r="A1" s="3" t="s">
        <v>107</v>
      </c>
      <c r="B1" s="3" t="s">
        <v>33</v>
      </c>
      <c r="C1" s="3" t="s">
        <v>108</v>
      </c>
      <c r="D1" s="3" t="s">
        <v>2</v>
      </c>
      <c r="E1" s="3" t="s">
        <v>109</v>
      </c>
      <c r="F1" s="3" t="s">
        <v>110</v>
      </c>
      <c r="G1" s="3" t="s">
        <v>111</v>
      </c>
      <c r="H1" s="3" t="s">
        <v>85</v>
      </c>
      <c r="I1" s="3" t="s">
        <v>112</v>
      </c>
      <c r="J1" s="3" t="s">
        <v>5</v>
      </c>
      <c r="K1" s="3" t="s">
        <v>113</v>
      </c>
      <c r="L1" s="3" t="s">
        <v>6</v>
      </c>
      <c r="M1" s="3" t="s">
        <v>114</v>
      </c>
      <c r="N1" s="3" t="s">
        <v>7</v>
      </c>
      <c r="O1" s="3" t="s">
        <v>115</v>
      </c>
      <c r="P1" s="3" t="s">
        <v>8</v>
      </c>
      <c r="Q1" s="3" t="s">
        <v>116</v>
      </c>
      <c r="R1" s="3" t="s">
        <v>117</v>
      </c>
      <c r="S1" s="3" t="s">
        <v>118</v>
      </c>
      <c r="T1" s="3" t="s">
        <v>10</v>
      </c>
      <c r="U1" s="3" t="s">
        <v>119</v>
      </c>
      <c r="V1" s="3" t="s">
        <v>120</v>
      </c>
      <c r="W1" s="3" t="s">
        <v>121</v>
      </c>
      <c r="X1" s="3" t="s">
        <v>122</v>
      </c>
      <c r="Y1" s="3" t="s">
        <v>106</v>
      </c>
    </row>
    <row r="2" customFormat="false" ht="23.85" hidden="false" customHeight="false" outlineLevel="0" collapsed="false">
      <c r="A2" s="5" t="n">
        <v>43965</v>
      </c>
      <c r="B2" s="5" t="s">
        <v>38</v>
      </c>
      <c r="C2" s="5" t="s">
        <v>123</v>
      </c>
      <c r="D2" s="4" t="s">
        <v>20</v>
      </c>
      <c r="E2" s="4" t="s">
        <v>124</v>
      </c>
      <c r="F2" s="4" t="s">
        <v>125</v>
      </c>
      <c r="G2" s="4" t="s">
        <v>126</v>
      </c>
      <c r="H2" s="4" t="s">
        <v>127</v>
      </c>
      <c r="I2" s="12" t="s">
        <v>128</v>
      </c>
      <c r="J2" s="4"/>
      <c r="K2" s="5" t="s">
        <v>129</v>
      </c>
      <c r="L2" s="4"/>
      <c r="M2" s="12" t="s">
        <v>129</v>
      </c>
      <c r="N2" s="4"/>
      <c r="O2" s="12" t="s">
        <v>129</v>
      </c>
      <c r="P2" s="4"/>
      <c r="Q2" s="12" t="s">
        <v>129</v>
      </c>
      <c r="R2" s="5" t="n">
        <v>0</v>
      </c>
      <c r="S2" s="12" t="s">
        <v>129</v>
      </c>
      <c r="T2" s="4"/>
      <c r="U2" s="12" t="s">
        <v>129</v>
      </c>
      <c r="V2" s="5" t="n">
        <v>0</v>
      </c>
      <c r="W2" s="12" t="s">
        <v>129</v>
      </c>
      <c r="X2" s="12" t="n">
        <v>7</v>
      </c>
      <c r="Y2" s="4" t="s">
        <v>130</v>
      </c>
    </row>
    <row r="3" customFormat="false" ht="23.85" hidden="false" customHeight="false" outlineLevel="0" collapsed="false">
      <c r="A3" s="5" t="n">
        <v>43966</v>
      </c>
      <c r="B3" s="5" t="s">
        <v>38</v>
      </c>
      <c r="C3" s="5" t="s">
        <v>131</v>
      </c>
      <c r="D3" s="4" t="s">
        <v>18</v>
      </c>
      <c r="E3" s="4" t="s">
        <v>132</v>
      </c>
      <c r="F3" s="4" t="s">
        <v>133</v>
      </c>
      <c r="G3" s="4" t="s">
        <v>134</v>
      </c>
      <c r="H3" s="4" t="s">
        <v>135</v>
      </c>
      <c r="I3" s="12" t="s">
        <v>128</v>
      </c>
      <c r="J3" s="4"/>
      <c r="K3" s="5" t="s">
        <v>129</v>
      </c>
      <c r="L3" s="4" t="s">
        <v>136</v>
      </c>
      <c r="M3" s="12" t="s">
        <v>128</v>
      </c>
      <c r="N3" s="4"/>
      <c r="O3" s="12" t="s">
        <v>129</v>
      </c>
      <c r="P3" s="4" t="s">
        <v>137</v>
      </c>
      <c r="Q3" s="12" t="s">
        <v>128</v>
      </c>
      <c r="R3" s="5" t="n">
        <v>0</v>
      </c>
      <c r="S3" s="12" t="s">
        <v>129</v>
      </c>
      <c r="T3" s="4" t="s">
        <v>138</v>
      </c>
      <c r="U3" s="12" t="s">
        <v>128</v>
      </c>
      <c r="V3" s="5" t="n">
        <v>0</v>
      </c>
      <c r="W3" s="12" t="s">
        <v>129</v>
      </c>
      <c r="X3" s="12" t="n">
        <v>4</v>
      </c>
      <c r="Y3" s="4" t="s">
        <v>139</v>
      </c>
    </row>
  </sheetData>
  <autoFilter ref="A1:Y3"/>
  <conditionalFormatting sqref="I2:I3">
    <cfRule type="cellIs" priority="2" operator="equal" aboveAverage="0" equalAverage="0" bottom="0" percent="0" rank="0" text="" dxfId="1">
      <formula>"نعم"</formula>
    </cfRule>
    <cfRule type="cellIs" priority="3" operator="equal" aboveAverage="0" equalAverage="0" bottom="0" percent="0" rank="0" text="" dxfId="0">
      <formula>"لا"</formula>
    </cfRule>
  </conditionalFormatting>
  <conditionalFormatting sqref="K2:K3">
    <cfRule type="cellIs" priority="4" operator="equal" aboveAverage="0" equalAverage="0" bottom="0" percent="0" rank="0" text="" dxfId="1">
      <formula>"نعم"</formula>
    </cfRule>
    <cfRule type="cellIs" priority="5" operator="equal" aboveAverage="0" equalAverage="0" bottom="0" percent="0" rank="0" text="" dxfId="0">
      <formula>"لا"</formula>
    </cfRule>
  </conditionalFormatting>
  <conditionalFormatting sqref="M2:M3">
    <cfRule type="cellIs" priority="6" operator="equal" aboveAverage="0" equalAverage="0" bottom="0" percent="0" rank="0" text="" dxfId="1">
      <formula>"نعم"</formula>
    </cfRule>
    <cfRule type="cellIs" priority="7" operator="equal" aboveAverage="0" equalAverage="0" bottom="0" percent="0" rank="0" text="" dxfId="0">
      <formula>"لا"</formula>
    </cfRule>
  </conditionalFormatting>
  <conditionalFormatting sqref="O2:O3">
    <cfRule type="cellIs" priority="8" operator="equal" aboveAverage="0" equalAverage="0" bottom="0" percent="0" rank="0" text="" dxfId="1">
      <formula>"نعم"</formula>
    </cfRule>
    <cfRule type="cellIs" priority="9" operator="equal" aboveAverage="0" equalAverage="0" bottom="0" percent="0" rank="0" text="" dxfId="0">
      <formula>"لا"</formula>
    </cfRule>
  </conditionalFormatting>
  <conditionalFormatting sqref="Q2:Q3">
    <cfRule type="cellIs" priority="10" operator="equal" aboveAverage="0" equalAverage="0" bottom="0" percent="0" rank="0" text="" dxfId="1">
      <formula>"نعم"</formula>
    </cfRule>
    <cfRule type="cellIs" priority="11" operator="equal" aboveAverage="0" equalAverage="0" bottom="0" percent="0" rank="0" text="" dxfId="0">
      <formula>"لا"</formula>
    </cfRule>
  </conditionalFormatting>
  <conditionalFormatting sqref="S2:S3">
    <cfRule type="cellIs" priority="12" operator="equal" aboveAverage="0" equalAverage="0" bottom="0" percent="0" rank="0" text="" dxfId="1">
      <formula>"نعم"</formula>
    </cfRule>
    <cfRule type="cellIs" priority="13" operator="equal" aboveAverage="0" equalAverage="0" bottom="0" percent="0" rank="0" text="" dxfId="0">
      <formula>"لا"</formula>
    </cfRule>
  </conditionalFormatting>
  <conditionalFormatting sqref="U2:U3">
    <cfRule type="cellIs" priority="14" operator="equal" aboveAverage="0" equalAverage="0" bottom="0" percent="0" rank="0" text="" dxfId="1">
      <formula>"نعم"</formula>
    </cfRule>
    <cfRule type="cellIs" priority="15" operator="equal" aboveAverage="0" equalAverage="0" bottom="0" percent="0" rank="0" text="" dxfId="0">
      <formula>"لا"</formula>
    </cfRule>
  </conditionalFormatting>
  <conditionalFormatting sqref="W2:W3">
    <cfRule type="cellIs" priority="16" operator="equal" aboveAverage="0" equalAverage="0" bottom="0" percent="0" rank="0" text="" dxfId="1">
      <formula>"نعم"</formula>
    </cfRule>
    <cfRule type="cellIs" priority="17" operator="equal" aboveAverage="0" equalAverage="0" bottom="0" percent="0" rank="0" text="" dxfId="0">
      <formula>"لا"</formula>
    </cfRule>
  </conditionalFormatting>
  <conditionalFormatting sqref="X2:X3">
    <cfRule type="cellIs" priority="18" operator="greaterThanOrEqual" aboveAverage="0" equalAverage="0" bottom="0" percent="0" rank="0" text="" dxfId="0">
      <formula>6</formula>
    </cfRule>
    <cfRule type="cellIs" priority="19" operator="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7"/>
    <col collapsed="false" customWidth="true" hidden="false" outlineLevel="0" max="9" min="9" style="0" width="52"/>
    <col collapsed="false" customWidth="true" hidden="false" outlineLevel="0" max="10" min="10" style="0" width="50"/>
  </cols>
  <sheetData>
    <row r="1" customFormat="false" ht="31.5" hidden="false" customHeight="true" outlineLevel="0" collapsed="false">
      <c r="A1" s="3" t="s">
        <v>107</v>
      </c>
      <c r="B1" s="3" t="s">
        <v>33</v>
      </c>
      <c r="C1" s="3" t="s">
        <v>108</v>
      </c>
      <c r="D1" s="3" t="s">
        <v>2</v>
      </c>
      <c r="E1" s="3" t="s">
        <v>140</v>
      </c>
      <c r="F1" s="3" t="s">
        <v>141</v>
      </c>
      <c r="G1" s="3" t="s">
        <v>142</v>
      </c>
      <c r="H1" s="3" t="s">
        <v>143</v>
      </c>
      <c r="I1" s="3" t="s">
        <v>144</v>
      </c>
      <c r="J1" s="3" t="s">
        <v>106</v>
      </c>
    </row>
    <row r="2" customFormat="false" ht="15" hidden="false" customHeight="false" outlineLevel="0" collapsed="false">
      <c r="A2" s="5" t="n">
        <v>43966</v>
      </c>
      <c r="B2" s="5" t="s">
        <v>38</v>
      </c>
      <c r="C2" s="5" t="s">
        <v>145</v>
      </c>
      <c r="D2" s="4" t="s">
        <v>18</v>
      </c>
      <c r="E2" s="4" t="s">
        <v>146</v>
      </c>
      <c r="F2" s="4" t="s">
        <v>147</v>
      </c>
      <c r="G2" s="5" t="n">
        <v>36</v>
      </c>
      <c r="H2" s="5" t="s">
        <v>148</v>
      </c>
      <c r="I2" s="4" t="s">
        <v>149</v>
      </c>
      <c r="J2" s="4" t="s">
        <v>104</v>
      </c>
    </row>
  </sheetData>
  <autoFilter ref="A1:J2"/>
  <conditionalFormatting sqref="J2">
    <cfRule type="expression" priority="2" aboveAverage="0" equalAverage="0" bottom="0" percent="0" rank="0" text="" dxfId="2">
      <formula>ISNUMBER(SEARCH("مختصر",$J2))</formula>
    </cfRule>
    <cfRule type="expression" priority="3" aboveAverage="0" equalAverage="0" bottom="0" percent="0" rank="0" text="" dxfId="0">
      <formula>ISNUMBER(SEARCH("بدون أي نص",$J2))</formula>
    </cfRule>
  </conditionalFormatting>
  <conditionalFormatting sqref="H2">
    <cfRule type="cellIs" priority="4" operator="equal" aboveAverage="0" equalAverage="0" bottom="0" percent="0" rank="0" text="" dxfId="1">
      <formula>"تفصيلي"</formula>
    </cfRule>
    <cfRule type="cellIs" priority="5" operator="equal" aboveAverage="0" equalAverage="0" bottom="0" percent="0" rank="0" text="" dxfId="2">
      <formula>"مختصر"</formula>
    </cfRule>
    <cfRule type="cellIs" priority="6" operator="equal" aboveAverage="0" equalAverage="0" bottom="0" percent="0" rank="0" text="" dxfId="0">
      <formula>"مختصر جداً / فارغ"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2026-10-01T08:36:49Z</dcterms:created>
  <dc:creator>openpyxl</dc:creator>
  <dc:description/>
  <dc:language>en-US</dc:language>
  <cp:lastModifiedBy/>
  <dcterms:modified xsi:type="dcterms:W3CDTF">2026-10-01T08:36:49Z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