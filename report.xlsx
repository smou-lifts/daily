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لخص المناديب" sheetId="1" state="visible" r:id="rId3"/>
    <sheet name="متابعة يومية" sheetId="2" state="visible" r:id="rId4"/>
    <sheet name="الملاحظات وتكرارها" sheetId="3" state="visible" r:id="rId5"/>
    <sheet name="تفاصيل الفرص" sheetId="4" state="visible" r:id="rId6"/>
    <sheet name="سجل الأكشنات" sheetId="5" state="visible" r:id="rId7"/>
  </sheets>
  <definedNames>
    <definedName function="false" hidden="true" localSheetId="3" name="_xlnm._FilterDatabase" vbProcedure="false">'تفاصيل الفرص'!$A$1:$Y$372</definedName>
    <definedName function="false" hidden="true" localSheetId="4" name="_xlnm._FilterDatabase" vbProcedure="false">'سجل الأكشنات'!$A$1:$J$933</definedName>
    <definedName function="false" hidden="true" localSheetId="1" name="_xlnm._FilterDatabase" vbProcedure="false">'متابعة يومية'!$A$3:$I$273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<sst xmlns="http://schemas.openxmlformats.org/spreadsheetml/2006/main" count="15044" uniqueCount="2545">
  <si>
    <t xml:space="preserve">شيت المتابعة اليومية للمناديب — Smou Lifts (Odoo CRM)</t>
  </si>
  <si>
    <t xml:space="preserve">الفترة: 01/09/2026 حتى 30/09/2026   |   البيانات متاحة فعلياً حتى 2026-09-30   |   المصدر: crm.lead   |   آخر تحديث: 01/10/2026</t>
  </si>
  <si>
    <t xml:space="preserve">المندوب</t>
  </si>
  <si>
    <t xml:space="preserve">عدد الفرص</t>
  </si>
  <si>
    <t xml:space="preserve">اسم العميل مكتوب</t>
  </si>
  <si>
    <t xml:space="preserve">Plot Number</t>
  </si>
  <si>
    <t xml:space="preserve">الاستشاري</t>
  </si>
  <si>
    <t xml:space="preserve">المقاول</t>
  </si>
  <si>
    <t xml:space="preserve">Tags</t>
  </si>
  <si>
    <t xml:space="preserve">مرفقات</t>
  </si>
  <si>
    <t xml:space="preserve">Source</t>
  </si>
  <si>
    <t xml:space="preserve">ملاحظات</t>
  </si>
  <si>
    <t xml:space="preserve">نسبة الاكتمال %</t>
  </si>
  <si>
    <t xml:space="preserve">عدد الأكشنات</t>
  </si>
  <si>
    <t xml:space="preserve">أكشنات تفصيلية</t>
  </si>
  <si>
    <t xml:space="preserve">أكشنات مختصرة</t>
  </si>
  <si>
    <t xml:space="preserve">نسبة التفصيل %</t>
  </si>
  <si>
    <t xml:space="preserve">الملاحظة العامة على المندوب</t>
  </si>
  <si>
    <t xml:space="preserve">Abdullhadi AlHariri</t>
  </si>
  <si>
    <t xml:space="preserve">لا يكتب إطلاقاً: مرفقات، Source (في كل الـ51 فرصة) · كثيراً ما يترك فارغاً: Plot Number (46/51)، ملاحظات (46/51)، المقاول (27/51)، الاستشاري (26/51) · الأكشنات: 132 أكشن منها 7 مختصر/بدون نص</t>
  </si>
  <si>
    <t xml:space="preserve">Ahmed AlDinary</t>
  </si>
  <si>
    <t xml:space="preserve">لا يكتب إطلاقاً: مرفقات، ملاحظات (في كل الـ47 فرصة) · كثيراً ما يترك فارغاً: Plot Number (45/47)، اسم العميل (43/47)، الاستشاري (43/47)، المقاول (43/47)، Tags (42/47)، Source (42/47) · الأكشنات: 124 أكشن منها 17 مختصر/بدون نص</t>
  </si>
  <si>
    <t xml:space="preserve">Ahmed Alattar</t>
  </si>
  <si>
    <t xml:space="preserve">لا يكتب إطلاقاً: Plot Number، مرفقات (في كل الـ30 فرصة) · كثيراً ما يترك فارغاً: ملاحظات (26/30)، Source (21/30) · الأكشنات: 73 أكشن منها 25 مختصر/بدون نص</t>
  </si>
  <si>
    <t xml:space="preserve">Ahmed Salah</t>
  </si>
  <si>
    <t xml:space="preserve">لا يكتب إطلاقاً: مرفقات، Source، ملاحظات (في كل الـ23 فرصة) · كثيراً ما يترك فارغاً: اسم العميل (21/23)، Plot Number (17/23) · الأكشنات: 80 أكشن منها 2 مختصر/بدون نص</t>
  </si>
  <si>
    <t xml:space="preserve">Hossam Radi</t>
  </si>
  <si>
    <t xml:space="preserve">لم ينشئ أي فرصة في الفترة · الأكشنات: 16 أكشن كلها مكتوبة بتفاصيل ✔</t>
  </si>
  <si>
    <t xml:space="preserve">Mohamed Saqr</t>
  </si>
  <si>
    <t xml:space="preserve">لا يكتب إطلاقاً: اسم العميل، Plot Number، مرفقات، ملاحظات (في كل الـ13 فرصة) · كثيراً ما يترك فارغاً: Source (12/13)، المقاول (11/13)، Tags (11/13)، الاستشاري (10/13) · الأكشنات: 73 أكشن منها 2 مختصر/بدون نص</t>
  </si>
  <si>
    <t xml:space="preserve">Mohammed Jamal</t>
  </si>
  <si>
    <t xml:space="preserve">لا يكتب إطلاقاً: مرفقات، ملاحظات (في كل الـ97 فرصة) · كثيراً ما يترك فارغاً: Plot Number (96/97)، المقاول (93/97)، الاستشاري (76/97) · الأكشنات: 101 أكشن منها 13 مختصر/بدون نص</t>
  </si>
  <si>
    <t xml:space="preserve">Ramy Moussa</t>
  </si>
  <si>
    <t xml:space="preserve">لا يكتب إطلاقاً: مرفقات، ملاحظات (في كل الـ34 فرصة) · كثيراً ما يترك فارغاً: Plot Number (31/34)، Tags (27/34)، Source (27/34)، المقاول (25/34)، الاستشاري (23/34) · الأكشنات: 95 أكشن منها 25 مختصر/بدون نص</t>
  </si>
  <si>
    <t xml:space="preserve">Yossry Fayez</t>
  </si>
  <si>
    <t xml:space="preserve">لا يكتب إطلاقاً: مرفقات، ملاحظات (في كل الـ76 فرصة) · كثيراً ما يترك فارغاً: Plot Number (74/76) · الأكشنات: 238 أكشن منها 25 مختصر/بدون نص</t>
  </si>
  <si>
    <t xml:space="preserve">الإجمالي</t>
  </si>
  <si>
    <t xml:space="preserve">ملاحظات على المنهجية:</t>
  </si>
  <si>
    <t xml:space="preserve">• «عدد الفرص» = الفرص (crm.lead) التي أنشأها المندوب في الفترة، بتوقيت الإمارات (UTC+4).</t>
  </si>
  <si>
    <t xml:space="preserve">• أعمدة الفحص تَعُدّ الفرص التي بها الخانة ممتلئة فعلياً (نعم) — التفاصيل سطراً بسطر في تاب «تفاصيل الفرص».</t>
  </si>
  <si>
    <t xml:space="preserve">• «نسبة الاكتمال %» = مجموع الخانات الممتلئة ÷ (عدد الفرص × 8 خانات مطلوبة).</t>
  </si>
  <si>
    <t xml:space="preserve">• «عدد الأكشنات» = الأنشطة المنفّذة (Activity done) + الملاحظات المسجّلة على الفرص خلال الفترة.</t>
  </si>
  <si>
    <t xml:space="preserve">• «تفصيلي» = نص الأكشن 40 حرفاً فأكثر · «مختصر» = أقل من 40 حرفاً أو فارغ.</t>
  </si>
  <si>
    <t xml:space="preserve">• البيانات مسحوبة من الأودو بتاريخ 01/10/2026 — آخر يوم به نشاط مسجّل هو 2026-09-30.</t>
  </si>
  <si>
    <t xml:space="preserve">• المناديب المستبعدون من الشيت: Sayed Samak.</t>
  </si>
  <si>
    <t xml:space="preserve">المتابعة اليومية لكل مندوب — 01/09/2026 إلى 30/09/2026</t>
  </si>
  <si>
    <t xml:space="preserve">اليوم</t>
  </si>
  <si>
    <t xml:space="preserve">التاريخ</t>
  </si>
  <si>
    <t xml:space="preserve">الفرص المكتملة 100%</t>
  </si>
  <si>
    <t xml:space="preserve">الأكشنات</t>
  </si>
  <si>
    <t xml:space="preserve">حالة اليوم</t>
  </si>
  <si>
    <t xml:space="preserve">الثلاثاء</t>
  </si>
  <si>
    <t xml:space="preserve">2026-09-01</t>
  </si>
  <si>
    <t xml:space="preserve">الأربعاء</t>
  </si>
  <si>
    <t xml:space="preserve">2026-09-02</t>
  </si>
  <si>
    <t xml:space="preserve">الخميس</t>
  </si>
  <si>
    <t xml:space="preserve">2026-09-03</t>
  </si>
  <si>
    <t xml:space="preserve">الجمعة</t>
  </si>
  <si>
    <t xml:space="preserve">2026-09-04</t>
  </si>
  <si>
    <t xml:space="preserve">السبت</t>
  </si>
  <si>
    <t xml:space="preserve">2026-09-05</t>
  </si>
  <si>
    <t xml:space="preserve">الأحد</t>
  </si>
  <si>
    <t xml:space="preserve">2026-09-06</t>
  </si>
  <si>
    <t xml:space="preserve">الإثنين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</si>
  <si>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</si>
  <si>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</si>
  <si>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</si>
  <si>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</si>
  <si>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</si>
  <si>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</si>
  <si>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</si>
  <si>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</si>
  <si>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</si>
  <si>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</si>
  <si>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</si>
  <si>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</si>
  <si>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</si>
  <si>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</si>
  <si>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</si>
  <si>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</si>
  <si>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</si>
  <si>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</si>
  <si>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</si>
  <si>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</si>
  <si>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</si>
  <si>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</si>
  <si>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</si>
  <si>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</si>
  <si>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الملاحظات المتكررة ومدى تكرارها</t>
  </si>
  <si>
    <t xml:space="preserve">إجمالي الفرص المفحوصة: 371   |   إجمالي الأكشنات المفحوصة: 932   |   الفترة 01/09 – 30/09/2026</t>
  </si>
  <si>
    <t xml:space="preserve">أولاً: الملاحظات على الفرص — أي خانة تُترك فارغة وكم مرة تكررت</t>
  </si>
  <si>
    <t xml:space="preserve">الملاحظة (نص التعليق)</t>
  </si>
  <si>
    <t xml:space="preserve">الخانة</t>
  </si>
  <si>
    <t xml:space="preserve">عدد الفرص المتأثرة</t>
  </si>
  <si>
    <t xml:space="preserve">نسبة التكرار من الفرص</t>
  </si>
  <si>
    <t xml:space="preserve">عدد المناديب المتأثرين</t>
  </si>
  <si>
    <t xml:space="preserve">أكثر مندوب تكراراً</t>
  </si>
  <si>
    <t xml:space="preserve">المندوب لم يكتب «اسم العميل» في الفرصة</t>
  </si>
  <si>
    <t xml:space="preserve">اسم العميل</t>
  </si>
  <si>
    <t xml:space="preserve">Ahmed AlDinary (43)</t>
  </si>
  <si>
    <t xml:space="preserve">المندوب لم يكتب «Plot Number» في الفرصة</t>
  </si>
  <si>
    <t xml:space="preserve">Mohammed Jamal (96)</t>
  </si>
  <si>
    <t xml:space="preserve">المندوب لم يكتب «الاستشاري» في الفرصة</t>
  </si>
  <si>
    <t xml:space="preserve">Mohammed Jamal (76)</t>
  </si>
  <si>
    <t xml:space="preserve">المندوب لم يكتب «المقاول» في الفرصة</t>
  </si>
  <si>
    <t xml:space="preserve">Mohammed Jamal (93)</t>
  </si>
  <si>
    <t xml:space="preserve">المندوب لم يكتب «Tags» في الفرصة</t>
  </si>
  <si>
    <t xml:space="preserve">Ahmed AlDinary (42)</t>
  </si>
  <si>
    <t xml:space="preserve">المندوب لم يكتب «مرفقات» في الفرصة</t>
  </si>
  <si>
    <t xml:space="preserve">Mohammed Jamal (97)</t>
  </si>
  <si>
    <t xml:space="preserve">المندوب لم يكتب «Source» في الفرصة</t>
  </si>
  <si>
    <t xml:space="preserve">Abdullhadi AlHariri (51)</t>
  </si>
  <si>
    <t xml:space="preserve">المندوب لم يكتب «ملاحظات» في الفرصة</t>
  </si>
  <si>
    <t xml:space="preserve">ثانياً: أكثر أنماط النقص تكراراً (نفس مجموعة الخانات الناقصة معاً)</t>
  </si>
  <si>
    <t xml:space="preserve">نمط النقص (الخانات الناقصة معاً)</t>
  </si>
  <si>
    <t xml:space="preserve">النسبة من الفرص</t>
  </si>
  <si>
    <t xml:space="preserve">ناقص: Plot Number، مرفقات، ملاحظات</t>
  </si>
  <si>
    <t xml:space="preserve">ناقص: Plot Number، الاستشاري، المقاول، مرفقات، ملاحظات</t>
  </si>
  <si>
    <t xml:space="preserve">ناقص: اسم العميل، Plot Number، الاستشاري، المقاول، Tags، مرفقات، Source، ملاحظات</t>
  </si>
  <si>
    <t xml:space="preserve">ناقص: Plot Number، الاستشاري، المقاول، Tags، مرفقات، Source، ملاحظات</t>
  </si>
  <si>
    <t xml:space="preserve">ناقص: Plot Number، المقاول، مرفقات، ملاحظات</t>
  </si>
  <si>
    <t xml:space="preserve">ناقص: Plot Number، المقاول، مرفقات، Source، ملاحظات</t>
  </si>
  <si>
    <t xml:space="preserve">ناقص: Plot Number، الاستشاري، مرفقات، Source، ملاحظات</t>
  </si>
  <si>
    <t xml:space="preserve">ناقص: Plot Number، الاستشاري، المقاول، مرفقات، Source، ملاحظات</t>
  </si>
  <si>
    <t xml:space="preserve">ناقص: Plot Number، مرفقات، Source، ملاحظات</t>
  </si>
  <si>
    <t xml:space="preserve">ناقص: Plot Number، الاستشاري، مرفقات، ملاحظات</t>
  </si>
  <si>
    <t xml:space="preserve">ناقص: مرفقات، ملاحظات</t>
  </si>
  <si>
    <t xml:space="preserve">ناقص: مرفقات، Source، ملاحظات</t>
  </si>
  <si>
    <t xml:space="preserve">ثالثاً: الملاحظات على الأكشنات وكم مرة تكررت</t>
  </si>
  <si>
    <t xml:space="preserve">الملاحظة على الأكشن</t>
  </si>
  <si>
    <t xml:space="preserve">النسبة من الأكشنات</t>
  </si>
  <si>
    <t xml:space="preserve">أكشن مكتوب بتفاصيل كافية ✔</t>
  </si>
  <si>
    <t xml:space="preserve">أكشن مختصر — لا يوضّح نتيجة التواصل أو الخطوة التالية</t>
  </si>
  <si>
    <t xml:space="preserve">أكشن مختصر جداً — النص تلقائي/عام بدون تفاصيل الزيارة أو نتيجتها</t>
  </si>
  <si>
    <t xml:space="preserve">ملاحظة مسجّلة بدون أي نص</t>
  </si>
  <si>
    <t xml:space="preserve">رابعاً: الملاحظة المجمّعة لكل مندوب</t>
  </si>
  <si>
    <t xml:space="preserve">الملاحظة</t>
  </si>
  <si>
    <t xml:space="preserve">رقم الفرصة</t>
  </si>
  <si>
    <t xml:space="preserve">الوقت</t>
  </si>
  <si>
    <t xml:space="preserve">الفريق</t>
  </si>
  <si>
    <t xml:space="preserve">المرحلة</t>
  </si>
  <si>
    <t xml:space="preserve">اسم الفرصة</t>
  </si>
  <si>
    <t xml:space="preserve">اسم العميل ✓</t>
  </si>
  <si>
    <t xml:space="preserve">Plot Number ✓</t>
  </si>
  <si>
    <t xml:space="preserve">الاستشاري ✓</t>
  </si>
  <si>
    <t xml:space="preserve">المقاول ✓</t>
  </si>
  <si>
    <t xml:space="preserve">Tags ✓</t>
  </si>
  <si>
    <t xml:space="preserve">عدد المرفقات</t>
  </si>
  <si>
    <t xml:space="preserve">مرفقات ✓</t>
  </si>
  <si>
    <t xml:space="preserve">Source ✓</t>
  </si>
  <si>
    <t xml:space="preserve">طول الملاحظات</t>
  </si>
  <si>
    <t xml:space="preserve">ملاحظات ✓</t>
  </si>
  <si>
    <t xml:space="preserve">عدد النواقص</t>
  </si>
  <si>
    <t xml:space="preserve">09:55</t>
  </si>
  <si>
    <t xml:space="preserve">Abu Dhabi, and Al Ain 1</t>
  </si>
  <si>
    <t xml:space="preserve">Quotation</t>
  </si>
  <si>
    <t xml:space="preserve">مكتب تربل زيرو للاستشارات الهندسية- جيان</t>
  </si>
  <si>
    <t xml:space="preserve">مكتب تربل زيرو للاستشارات الهندسية</t>
  </si>
  <si>
    <t xml:space="preserve">نعم</t>
  </si>
  <si>
    <t xml:space="preserve">لا</t>
  </si>
  <si>
    <t xml:space="preserve">تربل زيرو للاستشارات الهندسية</t>
  </si>
  <si>
    <t xml:space="preserve">جيانكم للمقاولات</t>
  </si>
  <si>
    <t xml:space="preserve">تكييف, مصعد, مواقع</t>
  </si>
  <si>
    <t xml:space="preserve">مواقع</t>
  </si>
  <si>
    <t xml:space="preserve">المندوب لم يكتب: Plot Number، مرفقات، ملاحظات  (3 خانة ناقصة)</t>
  </si>
  <si>
    <t xml:space="preserve">11:08</t>
  </si>
  <si>
    <t xml:space="preserve">Clients</t>
  </si>
  <si>
    <t xml:space="preserve">السلمانية للمقاولات والعقارات</t>
  </si>
  <si>
    <t xml:space="preserve">مكتب فراس للاستشارات الهندسية</t>
  </si>
  <si>
    <t xml:space="preserve">مصعد, مواقع</t>
  </si>
  <si>
    <t xml:space="preserve">17:20</t>
  </si>
  <si>
    <t xml:space="preserve">Abu Dhabi, and Al Ain</t>
  </si>
  <si>
    <t xml:space="preserve">الدوام اليوم's opportunity</t>
  </si>
  <si>
    <t xml:space="preserve">الدوام اليوم</t>
  </si>
  <si>
    <t xml:space="preserve">المندوب لم يكتب: Plot Number، الاستشاري، المقاول، Tags، مرفقات، Source، ملاحظات  (7 خانة ناقصة)</t>
  </si>
  <si>
    <t xml:space="preserve">21:02</t>
  </si>
  <si>
    <t xml:space="preserve">ADMIN</t>
  </si>
  <si>
    <t xml:space="preserve">مكتب اوتاد للاستشارات والمقاولات's oppor</t>
  </si>
  <si>
    <t xml:space="preserve">مكتب اوتاد للاستشارات والمقاولات</t>
  </si>
  <si>
    <t xml:space="preserve">مكتب اوتاد للاستشارات الهندسية</t>
  </si>
  <si>
    <t xml:space="preserve">اوتاد للمقاولات</t>
  </si>
  <si>
    <t xml:space="preserve">مكتب استشارات, مكتب مقاولات</t>
  </si>
  <si>
    <t xml:space="preserve">المندوب لم يكتب: Plot Number، مرفقات، Source، ملاحظات  (4 خانة ناقصة)</t>
  </si>
  <si>
    <t xml:space="preserve">10:59</t>
  </si>
  <si>
    <t xml:space="preserve">النشمي للاستشارات الهندسية- دلة البنيان </t>
  </si>
  <si>
    <t xml:space="preserve">النشمي للاستشارات</t>
  </si>
  <si>
    <t xml:space="preserve">النشمي للاستشارت الهندسية</t>
  </si>
  <si>
    <t xml:space="preserve">دلة البنيان للمقاولات العامة</t>
  </si>
  <si>
    <t xml:space="preserve">مكاتب</t>
  </si>
  <si>
    <t xml:space="preserve">13:04</t>
  </si>
  <si>
    <t xml:space="preserve">فرصة محمد الحارثي</t>
  </si>
  <si>
    <t xml:space="preserve">محمد الحارثي</t>
  </si>
  <si>
    <t xml:space="preserve">مصعد</t>
  </si>
  <si>
    <t xml:space="preserve">المندوب لم يكتب: Plot Number، الاستشاري، المقاول، مرفقات، Source  (5 خانة ناقصة)</t>
  </si>
  <si>
    <t xml:space="preserve">13:46</t>
  </si>
  <si>
    <t xml:space="preserve">فرصة ابوسلطان \\\\ خال بدر الكندي</t>
  </si>
  <si>
    <t xml:space="preserve">ابوسلطان \\\\ خال بدر الكندي</t>
  </si>
  <si>
    <t xml:space="preserve">13:57</t>
  </si>
  <si>
    <t xml:space="preserve">فرصة محمد احمد بن عمرو</t>
  </si>
  <si>
    <t xml:space="preserve">محمد احمد بن عمرو</t>
  </si>
  <si>
    <t xml:space="preserve">اركال</t>
  </si>
  <si>
    <t xml:space="preserve">كيس ديا كواليتي</t>
  </si>
  <si>
    <t xml:space="preserve">14:02</t>
  </si>
  <si>
    <t xml:space="preserve">مكتب بلديانو للعقارات's opportunity</t>
  </si>
  <si>
    <t xml:space="preserve">مكتب بلديانو للعقارات</t>
  </si>
  <si>
    <t xml:space="preserve">مكتب مقاولات</t>
  </si>
  <si>
    <t xml:space="preserve">15:29</t>
  </si>
  <si>
    <t xml:space="preserve">النهضة الذهبية للمقاولات- سبوكس للاستثما</t>
  </si>
  <si>
    <t xml:space="preserve">النهضة الذهبية للمقاولات</t>
  </si>
  <si>
    <t xml:space="preserve">رويال دوم للاستشارات الهندسية</t>
  </si>
  <si>
    <t xml:space="preserve">النهضة الذهبية</t>
  </si>
  <si>
    <t xml:space="preserve">عملاء مكاتب</t>
  </si>
  <si>
    <t xml:space="preserve">19:29</t>
  </si>
  <si>
    <t xml:space="preserve">لاميزون للمقاولات العامة's opportunity</t>
  </si>
  <si>
    <t xml:space="preserve">لاميزون للمقاولات العامة</t>
  </si>
  <si>
    <t xml:space="preserve">كالتشر للاستشارات الهندسية</t>
  </si>
  <si>
    <t xml:space="preserve">المندوب لم يكتب: Plot Number، المقاول، مرفقات، ملاحظات  (4 خانة ناقصة)</t>
  </si>
  <si>
    <t xml:space="preserve">19:30</t>
  </si>
  <si>
    <t xml:space="preserve">الكفاءات للمقاولات العامة's opportunity</t>
  </si>
  <si>
    <t xml:space="preserve">الكفاءات للمقاولات العامة</t>
  </si>
  <si>
    <t xml:space="preserve">فريد دزاين للاستشارات</t>
  </si>
  <si>
    <t xml:space="preserve">19:32</t>
  </si>
  <si>
    <t xml:space="preserve">ايجبيان للمقاولات العامة's opportunity</t>
  </si>
  <si>
    <t xml:space="preserve">ايجبيان للمقاولات العامة</t>
  </si>
  <si>
    <t xml:space="preserve">بارين للمقاولات العامة</t>
  </si>
  <si>
    <t xml:space="preserve">19:33</t>
  </si>
  <si>
    <t xml:space="preserve">معرض العين's opportunity</t>
  </si>
  <si>
    <t xml:space="preserve">معرض العين</t>
  </si>
  <si>
    <t xml:space="preserve">11:25</t>
  </si>
  <si>
    <t xml:space="preserve">الوشاح الابيض للمقاولات العامة- مسلم عوض</t>
  </si>
  <si>
    <t xml:space="preserve">الوشاح الابيض للمقاولات العامة</t>
  </si>
  <si>
    <t xml:space="preserve">مكتب ريفييرا للاستشارات الهندسية</t>
  </si>
  <si>
    <t xml:space="preserve">مكتب الوشاح الأبيض للمقاولات</t>
  </si>
  <si>
    <t xml:space="preserve">19:15</t>
  </si>
  <si>
    <t xml:space="preserve">معرض</t>
  </si>
  <si>
    <t xml:space="preserve">المندوب لم يكتب: Plot Number، الاستشاري، المقاول، مرفقات، ملاحظات  (5 خانة ناقصة)</t>
  </si>
  <si>
    <t xml:space="preserve">23:14</t>
  </si>
  <si>
    <t xml:space="preserve">مكتب جلف هيلز للمقاولات's opportunity</t>
  </si>
  <si>
    <t xml:space="preserve">مكتب جلف هيلز للمقاولات</t>
  </si>
  <si>
    <t xml:space="preserve">جلف هيلز للمقاولات</t>
  </si>
  <si>
    <t xml:space="preserve">المندوب لم يكتب: Plot Number، الاستشاري، مرفقات، Source، ملاحظات  (5 خانة ناقصة)</t>
  </si>
  <si>
    <t xml:space="preserve">23:22</t>
  </si>
  <si>
    <t xml:space="preserve">مكتب اليزان للمقاولات</t>
  </si>
  <si>
    <t xml:space="preserve">اليزان للمقاولات</t>
  </si>
  <si>
    <t xml:space="preserve">اليزان للمقاولات العامة</t>
  </si>
  <si>
    <t xml:space="preserve">23:26</t>
  </si>
  <si>
    <t xml:space="preserve">مكتب ذا بلو ابل للاستشارات والمقاولات's </t>
  </si>
  <si>
    <t xml:space="preserve">مكتب ذا بلو ابل للاستشارات والمقاولات</t>
  </si>
  <si>
    <t xml:space="preserve">ذا بلو ابل للاستشارات</t>
  </si>
  <si>
    <t xml:space="preserve">ذا بلو ابل للمقاولات</t>
  </si>
  <si>
    <t xml:space="preserve">المندوب لم يكتب: Plot Number، مرفقات، Source  (3 خانة ناقصة)</t>
  </si>
  <si>
    <t xml:space="preserve">23:34</t>
  </si>
  <si>
    <t xml:space="preserve">مكتب تكنوميك's opportunity</t>
  </si>
  <si>
    <t xml:space="preserve">مكتب تكنوميك</t>
  </si>
  <si>
    <t xml:space="preserve">تكنوميك للمقاولات</t>
  </si>
  <si>
    <t xml:space="preserve">المندوب لم يكتب: Plot Number، الاستشاري، مرفقات، Source  (4 خانة ناقصة)</t>
  </si>
  <si>
    <t xml:space="preserve">22:18</t>
  </si>
  <si>
    <t xml:space="preserve">Won</t>
  </si>
  <si>
    <t xml:space="preserve">فرصة بدر الكندي</t>
  </si>
  <si>
    <t xml:space="preserve">بدر الكندي</t>
  </si>
  <si>
    <t xml:space="preserve">١</t>
  </si>
  <si>
    <t xml:space="preserve">المؤيد</t>
  </si>
  <si>
    <t xml:space="preserve">اسناد الخليج</t>
  </si>
  <si>
    <t xml:space="preserve">متعاقد, مصعد</t>
  </si>
  <si>
    <t xml:space="preserve">المندوب لم يكتب: مرفقات، Source، ملاحظات  (3 خانة ناقصة)</t>
  </si>
  <si>
    <t xml:space="preserve">22:45</t>
  </si>
  <si>
    <t xml:space="preserve">ام احمد حصه</t>
  </si>
  <si>
    <t xml:space="preserve">المندوب لم يكتب: Plot Number، الاستشاري، المقاول، مرفقات، Source، ملاحظات  (6 خانة ناقصة)</t>
  </si>
  <si>
    <t xml:space="preserve">10:18</t>
  </si>
  <si>
    <t xml:space="preserve">سكاي للانشاءات- عبدالحكيم الزبيدي</t>
  </si>
  <si>
    <t xml:space="preserve">سكاي للانشاءات</t>
  </si>
  <si>
    <t xml:space="preserve">قواعد للاستشارات الهندسيه</t>
  </si>
  <si>
    <t xml:space="preserve">مصعد, مواقع, سمارت هوم</t>
  </si>
  <si>
    <t xml:space="preserve">12:06</t>
  </si>
  <si>
    <t xml:space="preserve">كابلرز للمقاولات العامة- ام بي اي للاستش</t>
  </si>
  <si>
    <t xml:space="preserve">كابلرز للمقاولات العامة</t>
  </si>
  <si>
    <t xml:space="preserve">مكتب ام بي اي للاستشارات الهندسي</t>
  </si>
  <si>
    <t xml:space="preserve">كابلرز</t>
  </si>
  <si>
    <t xml:space="preserve">12:13</t>
  </si>
  <si>
    <t xml:space="preserve">اونكس للاستشارات- للاستشارات- توليدو للم</t>
  </si>
  <si>
    <t xml:space="preserve">اونكس للاستشارات</t>
  </si>
  <si>
    <t xml:space="preserve">اونكس للاستشارات الهندسية</t>
  </si>
  <si>
    <t xml:space="preserve">توليدو للمقاولات العامة</t>
  </si>
  <si>
    <t xml:space="preserve">المندوب لم يكتب: Plot Number، Tags، مرفقات، ملاحظات  (4 خانة ناقصة)</t>
  </si>
  <si>
    <t xml:space="preserve">محمد بخيت سهيل الراشدي</t>
  </si>
  <si>
    <t xml:space="preserve">المندوب لم يكتب: اسم العميل، Plot Number، الاستشاري، المقاول، Tags، مرفقات، Source، ملاحظات  (8 خانة ناقصة)</t>
  </si>
  <si>
    <t xml:space="preserve">16:02</t>
  </si>
  <si>
    <t xml:space="preserve">مكتب ديار عجمان للمقاولات's opportunity</t>
  </si>
  <si>
    <t xml:space="preserve">مكتب ديار عجمان للمقاولات</t>
  </si>
  <si>
    <t xml:space="preserve">ديار عجمان للمقاولات</t>
  </si>
  <si>
    <t xml:space="preserve">16:30</t>
  </si>
  <si>
    <t xml:space="preserve">العصر الفضي للمقاولات's opportunity</t>
  </si>
  <si>
    <t xml:space="preserve">العصر الفضي للمقاولات</t>
  </si>
  <si>
    <t xml:space="preserve">البحري للاستشارات الهندسية</t>
  </si>
  <si>
    <t xml:space="preserve">16:32</t>
  </si>
  <si>
    <t xml:space="preserve">الكواكب للمقاولات العامة's opportunity</t>
  </si>
  <si>
    <t xml:space="preserve">الكواكب للمقاولات العامة</t>
  </si>
  <si>
    <t xml:space="preserve">16:34</t>
  </si>
  <si>
    <t xml:space="preserve">تلال الغدير للمقاولات's opportunity</t>
  </si>
  <si>
    <t xml:space="preserve">تلال الغدير للمقاولات</t>
  </si>
  <si>
    <t xml:space="preserve">ديماس للاستشارات الهندسية</t>
  </si>
  <si>
    <t xml:space="preserve">16:38</t>
  </si>
  <si>
    <t xml:space="preserve">التميز الهندسي للمقاولات العامة's opport</t>
  </si>
  <si>
    <t xml:space="preserve">التميز الهندسي للمقاولات العامة</t>
  </si>
  <si>
    <t xml:space="preserve">اركال للاستشارات الهندسية</t>
  </si>
  <si>
    <t xml:space="preserve">التميز الهندسي للمقاولات</t>
  </si>
  <si>
    <t xml:space="preserve">16:42</t>
  </si>
  <si>
    <t xml:space="preserve">ابراهيم بن عيسي العلي</t>
  </si>
  <si>
    <t xml:space="preserve">الامل</t>
  </si>
  <si>
    <t xml:space="preserve">معرض, مصعد</t>
  </si>
  <si>
    <t xml:space="preserve">المندوب لم يكتب: Plot Number، المقاول، مرفقات، Source، ملاحظات  (5 خانة ناقصة)</t>
  </si>
  <si>
    <t xml:space="preserve">16:45</t>
  </si>
  <si>
    <t xml:space="preserve">مؤسسه البحث للمقاولات's opportunity</t>
  </si>
  <si>
    <t xml:space="preserve">مؤسسه البحث للمقاولات</t>
  </si>
  <si>
    <t xml:space="preserve">16:46</t>
  </si>
  <si>
    <t xml:space="preserve">عبدالله مصبح الكعبي's opportunity</t>
  </si>
  <si>
    <t xml:space="preserve">عبدالله مصبح الكعبي</t>
  </si>
  <si>
    <t xml:space="preserve">17:04</t>
  </si>
  <si>
    <t xml:space="preserve">هيفين للمقاولات العامة- عباس درويش لاري</t>
  </si>
  <si>
    <t xml:space="preserve">هيفين للمقاولات العامة</t>
  </si>
  <si>
    <t xml:space="preserve">مصعد, عملاء مكاتب</t>
  </si>
  <si>
    <t xml:space="preserve">المندوب لم يكتب: Plot Number، الاستشاري، مرفقات، ملاحظات  (4 خانة ناقصة)</t>
  </si>
  <si>
    <t xml:space="preserve">21:12</t>
  </si>
  <si>
    <t xml:space="preserve">مكتب الحوتى للمقاولات's opportunity</t>
  </si>
  <si>
    <t xml:space="preserve">مكتب الحوتى للمقاولات</t>
  </si>
  <si>
    <t xml:space="preserve">الحوتى للمقاولات</t>
  </si>
  <si>
    <t xml:space="preserve">19:48</t>
  </si>
  <si>
    <t xml:space="preserve">مكتب</t>
  </si>
  <si>
    <t xml:space="preserve">المندوب لم يكتب: اسم العميل، Plot Number، الاستشاري، المقاول، مرفقات، Source، ملاحظات  (7 خانة ناقصة)</t>
  </si>
  <si>
    <t xml:space="preserve">11:30</t>
  </si>
  <si>
    <t xml:space="preserve">حمد الهاجري</t>
  </si>
  <si>
    <t xml:space="preserve">16:27</t>
  </si>
  <si>
    <t xml:space="preserve">السنابل الفنية للمقاولات العامة- فراس لل</t>
  </si>
  <si>
    <t xml:space="preserve">السنابل الفنية للمقاولات العامة</t>
  </si>
  <si>
    <t xml:space="preserve">السنابل الفنية</t>
  </si>
  <si>
    <t xml:space="preserve">16:58</t>
  </si>
  <si>
    <t xml:space="preserve">فيرست ستار للمقاولات العامة- محمد عوض ال</t>
  </si>
  <si>
    <t xml:space="preserve">فيرست ستار للمقاولات العامة</t>
  </si>
  <si>
    <t xml:space="preserve">ساكن البيت</t>
  </si>
  <si>
    <t xml:space="preserve">17:18</t>
  </si>
  <si>
    <t xml:space="preserve">الحصن الأخضر للمقاولات العامة- ايكوينوفا</t>
  </si>
  <si>
    <t xml:space="preserve">الحصن الأخضر للمقاولات العامة</t>
  </si>
  <si>
    <t xml:space="preserve">مكتب ايكوينوفا للاستشارات الهندس</t>
  </si>
  <si>
    <t xml:space="preserve">17:45</t>
  </si>
  <si>
    <t xml:space="preserve">دوام اليوم's opportunity</t>
  </si>
  <si>
    <t xml:space="preserve">دوام اليوم</t>
  </si>
  <si>
    <t xml:space="preserve">18:38</t>
  </si>
  <si>
    <t xml:space="preserve">سعيد مصبح الكعبي</t>
  </si>
  <si>
    <t xml:space="preserve">ارش انترناشيونال</t>
  </si>
  <si>
    <t xml:space="preserve">خط البنفسج</t>
  </si>
  <si>
    <t xml:space="preserve">تكييف, مصعد, Smart hoom</t>
  </si>
  <si>
    <t xml:space="preserve">18:42</t>
  </si>
  <si>
    <t xml:space="preserve">After Sale</t>
  </si>
  <si>
    <t xml:space="preserve">ناصر عبدالله حمدان الكعبي</t>
  </si>
  <si>
    <t xml:space="preserve">ناصر الكعبي</t>
  </si>
  <si>
    <t xml:space="preserve">18:44</t>
  </si>
  <si>
    <t xml:space="preserve">سالم عبدالله حمدان الكعبي</t>
  </si>
  <si>
    <t xml:space="preserve">سالم الكعبي</t>
  </si>
  <si>
    <t xml:space="preserve">مكتب برايم للاستشارات الهندسية</t>
  </si>
  <si>
    <t xml:space="preserve">نجوم الشام للمقاولات العامة</t>
  </si>
  <si>
    <t xml:space="preserve">المندوب لم يكتب: Plot Number، Tags، مرفقات، Source، ملاحظات  (5 خانة ناقصة)</t>
  </si>
  <si>
    <t xml:space="preserve">18:45</t>
  </si>
  <si>
    <t xml:space="preserve">سيف جمعه الكعبي</t>
  </si>
  <si>
    <t xml:space="preserve">سيف الكعبي</t>
  </si>
  <si>
    <t xml:space="preserve">19:34</t>
  </si>
  <si>
    <t xml:space="preserve">فرصة محمد جمال الخوري معرض ٩</t>
  </si>
  <si>
    <t xml:space="preserve">محمد جمال الخوري معرض ٩</t>
  </si>
  <si>
    <t xml:space="preserve">23:11</t>
  </si>
  <si>
    <t xml:space="preserve">عبدالله محمد سلطان ال علي</t>
  </si>
  <si>
    <t xml:space="preserve">57</t>
  </si>
  <si>
    <t xml:space="preserve">انتر سيتي للاستشارات</t>
  </si>
  <si>
    <t xml:space="preserve">مصاعد</t>
  </si>
  <si>
    <t xml:space="preserve">المندوب لم يكتب: اسم العميل، المقاول، مرفقات، Source، ملاحظات  (5 خانة ناقصة)</t>
  </si>
  <si>
    <t xml:space="preserve">08:57</t>
  </si>
  <si>
    <t xml:space="preserve">ايكوينوفا للاستشارات الهندسية- ريتان للم</t>
  </si>
  <si>
    <t xml:space="preserve">ايكوينوفا للاستشارات الهندسية</t>
  </si>
  <si>
    <t xml:space="preserve">ريتان للمقاولات العامة</t>
  </si>
  <si>
    <t xml:space="preserve">09:08</t>
  </si>
  <si>
    <t xml:space="preserve">ايبلا للاستشارات- ام جي كي اس للمقاولات </t>
  </si>
  <si>
    <t xml:space="preserve">ايبلا للاستشارات</t>
  </si>
  <si>
    <t xml:space="preserve">مكتب ايبلا للاستشارات الهندسية</t>
  </si>
  <si>
    <t xml:space="preserve">ام جي كي اس للمقاولات العامة</t>
  </si>
  <si>
    <t xml:space="preserve">14:43</t>
  </si>
  <si>
    <t xml:space="preserve">Offices </t>
  </si>
  <si>
    <t xml:space="preserve">فرصة حمدان اليافعي معرض 9</t>
  </si>
  <si>
    <t xml:space="preserve">حمدان اليافعي معرض 9</t>
  </si>
  <si>
    <t xml:space="preserve">166</t>
  </si>
  <si>
    <t xml:space="preserve">جلوري للاستشارات</t>
  </si>
  <si>
    <t xml:space="preserve">اوتكو</t>
  </si>
  <si>
    <t xml:space="preserve">تكييف, معرض, مصعد</t>
  </si>
  <si>
    <t xml:space="preserve">14:52</t>
  </si>
  <si>
    <t xml:space="preserve">فرصة م عمرو الفرماوي فلاريا للاستشارات</t>
  </si>
  <si>
    <t xml:space="preserve">م عمرو الفرماوي فلاريا للاستشارات</t>
  </si>
  <si>
    <t xml:space="preserve">فلاريا</t>
  </si>
  <si>
    <t xml:space="preserve">مكتب استشارات</t>
  </si>
  <si>
    <t xml:space="preserve">15:36</t>
  </si>
  <si>
    <t xml:space="preserve">عمر الفزاري</t>
  </si>
  <si>
    <t xml:space="preserve">فيلا خاصه</t>
  </si>
  <si>
    <t xml:space="preserve">59</t>
  </si>
  <si>
    <t xml:space="preserve">سايا للصيانه والمقاولات العامه</t>
  </si>
  <si>
    <t xml:space="preserve">عرض سعر مصعد</t>
  </si>
  <si>
    <t xml:space="preserve">المندوب لم يكتب: اسم العميل، مرفقات، Source، ملاحظات  (4 خانة ناقصة)</t>
  </si>
  <si>
    <t xml:space="preserve">حمد علي يوسف السويدي</t>
  </si>
  <si>
    <t xml:space="preserve">308</t>
  </si>
  <si>
    <t xml:space="preserve">16:19</t>
  </si>
  <si>
    <t xml:space="preserve">استون ماستر للمقاولات العامه</t>
  </si>
  <si>
    <t xml:space="preserve">الحوار للاستشارات الهندسية</t>
  </si>
  <si>
    <t xml:space="preserve">استون ماستر لللمقاولات</t>
  </si>
  <si>
    <t xml:space="preserve">المندوب لم يكتب: اسم العميل، Plot Number، Tags، مرفقات، Source، ملاحظات  (6 خانة ناقصة)</t>
  </si>
  <si>
    <t xml:space="preserve">17:29</t>
  </si>
  <si>
    <t xml:space="preserve">مكتب برو سيفيل للمقاولات العامة's opport</t>
  </si>
  <si>
    <t xml:space="preserve">مكتب برو سيفيل للمقاولات العامة</t>
  </si>
  <si>
    <t xml:space="preserve">برو سيفيل للمقاولات</t>
  </si>
  <si>
    <t xml:space="preserve">17:33</t>
  </si>
  <si>
    <t xml:space="preserve">مكتب النشمي للاستشارات الهندسية's opport</t>
  </si>
  <si>
    <t xml:space="preserve">مكتب النشمي للاستشارات الهندسية</t>
  </si>
  <si>
    <t xml:space="preserve">19:41</t>
  </si>
  <si>
    <t xml:space="preserve">كالتشر للاستشارات الهندسية's opportunity</t>
  </si>
  <si>
    <t xml:space="preserve">19:43</t>
  </si>
  <si>
    <t xml:space="preserve">الكفاءات الهندسه للمقاولات's opportunity</t>
  </si>
  <si>
    <t xml:space="preserve">الكفاءات الهندسه للمقاولات</t>
  </si>
  <si>
    <t xml:space="preserve">19:44</t>
  </si>
  <si>
    <t xml:space="preserve">19:46</t>
  </si>
  <si>
    <t xml:space="preserve">استفنس للمقاولات العامة's opportunity</t>
  </si>
  <si>
    <t xml:space="preserve">استفنس للمقاولات العامة</t>
  </si>
  <si>
    <t xml:space="preserve">19:47</t>
  </si>
  <si>
    <t xml:space="preserve">القصور العالمية للمقاولات العامة's oppor</t>
  </si>
  <si>
    <t xml:space="preserve">القصور العالمية للمقاولات العامة</t>
  </si>
  <si>
    <t xml:space="preserve">ديماس للاستشارات الهندسية's opportunity</t>
  </si>
  <si>
    <t xml:space="preserve">16:01</t>
  </si>
  <si>
    <t xml:space="preserve">فيلا خاصه الموناليزا</t>
  </si>
  <si>
    <t xml:space="preserve">Emp</t>
  </si>
  <si>
    <t xml:space="preserve">الموناليزا</t>
  </si>
  <si>
    <t xml:space="preserve">المندوب لم يكتب: اسم العميل، Plot Number، مرفقات، ملاحظات  (4 خانة ناقصة)</t>
  </si>
  <si>
    <t xml:space="preserve">16:04</t>
  </si>
  <si>
    <t xml:space="preserve">ام خليفه الملا</t>
  </si>
  <si>
    <t xml:space="preserve">مكتب الموناليزا للمقاولات العامه</t>
  </si>
  <si>
    <t xml:space="preserve">المندوب لم يكتب: اسم العميل، Plot Number، الاستشاري، مرفقات، Source، ملاحظات  (6 خانة ناقصة)</t>
  </si>
  <si>
    <t xml:space="preserve">راشد العريمي</t>
  </si>
  <si>
    <t xml:space="preserve">17:40</t>
  </si>
  <si>
    <t xml:space="preserve">فرصة م احمد طاهر هوم ميكر للاستشارات</t>
  </si>
  <si>
    <t xml:space="preserve">م احمد طاهر هوم ميكر للاستشارات</t>
  </si>
  <si>
    <t xml:space="preserve">هوم ميكر</t>
  </si>
  <si>
    <t xml:space="preserve">17:42</t>
  </si>
  <si>
    <t xml:space="preserve">فرصة م خالد مدير الحداثه للاستشارات</t>
  </si>
  <si>
    <t xml:space="preserve">م خالد مدير الحداثه للاستشارات</t>
  </si>
  <si>
    <t xml:space="preserve">20:15</t>
  </si>
  <si>
    <t xml:space="preserve">سيف الكتبي</t>
  </si>
  <si>
    <t xml:space="preserve">الطوية</t>
  </si>
  <si>
    <t xml:space="preserve">ديماس للاستشارات</t>
  </si>
  <si>
    <t xml:space="preserve">ثاني بالرقاد</t>
  </si>
  <si>
    <t xml:space="preserve">المندوب لم يكتب: مرفقات، ملاحظات  (2 خانة ناقصة)</t>
  </si>
  <si>
    <t xml:space="preserve">20:26</t>
  </si>
  <si>
    <t xml:space="preserve">سلطان الحاج الكعبي's opportunity</t>
  </si>
  <si>
    <t xml:space="preserve">سلطان الحاج الكعبي</t>
  </si>
  <si>
    <t xml:space="preserve">20:40</t>
  </si>
  <si>
    <t xml:space="preserve">احمد سيف الكعبي's opportunity</t>
  </si>
  <si>
    <t xml:space="preserve">احمد سيف الكعبي</t>
  </si>
  <si>
    <t xml:space="preserve">20:41</t>
  </si>
  <si>
    <t xml:space="preserve">خميس سرحان الكعبي's opportunity</t>
  </si>
  <si>
    <t xml:space="preserve">خميس سرحان الكعبي</t>
  </si>
  <si>
    <t xml:space="preserve">20:43</t>
  </si>
  <si>
    <t xml:space="preserve">مركز التصميمات للاستشارات الهندسية</t>
  </si>
  <si>
    <t xml:space="preserve">مركز التصميمات للاستشارات</t>
  </si>
  <si>
    <t xml:space="preserve">دكتور احمد الزرعوني</t>
  </si>
  <si>
    <t xml:space="preserve">المعمار الاسلامي للاستشارات</t>
  </si>
  <si>
    <t xml:space="preserve">المندوب لم يكتب: Plot Number، المقاول، Tags، مرفقات، Source، ملاحظات  (6 خانة ناقصة)</t>
  </si>
  <si>
    <t xml:space="preserve">20:45</t>
  </si>
  <si>
    <t xml:space="preserve">فريد دزاين للاستشارات الهندسية's opportu</t>
  </si>
  <si>
    <t xml:space="preserve">فريد دزاين للاستشارات الهندسية</t>
  </si>
  <si>
    <t xml:space="preserve">20:48</t>
  </si>
  <si>
    <t xml:space="preserve">لاي وايت للمقاولات العامة's opportunity</t>
  </si>
  <si>
    <t xml:space="preserve">لاي وايت للمقاولات العامة</t>
  </si>
  <si>
    <t xml:space="preserve">20:49</t>
  </si>
  <si>
    <t xml:space="preserve">سالم الحبسي عقد صيانة</t>
  </si>
  <si>
    <t xml:space="preserve">سالم الحبسي</t>
  </si>
  <si>
    <t xml:space="preserve">20:50</t>
  </si>
  <si>
    <t xml:space="preserve">المغرب العربي للاستشارات's opportunity</t>
  </si>
  <si>
    <t xml:space="preserve">المغرب العربي للاستشارات</t>
  </si>
  <si>
    <t xml:space="preserve">20:52</t>
  </si>
  <si>
    <t xml:space="preserve">مكتب العين's opportunity</t>
  </si>
  <si>
    <t xml:space="preserve">مكتب العين</t>
  </si>
  <si>
    <t xml:space="preserve">00:15</t>
  </si>
  <si>
    <t xml:space="preserve">سامى/ الفيراس للاستشارات/ مهندس ابوالفضل</t>
  </si>
  <si>
    <t xml:space="preserve">سامى/ الفيراس للاستشارات/ مهندس ابوالف</t>
  </si>
  <si>
    <t xml:space="preserve">05:56</t>
  </si>
  <si>
    <t xml:space="preserve">مكتب البدر المضئ للمقاولات العامة's oppo</t>
  </si>
  <si>
    <t xml:space="preserve">مكتب البدر المضئ للمقاولات العامة</t>
  </si>
  <si>
    <t xml:space="preserve">البدر المضئ للمقاولات</t>
  </si>
  <si>
    <t xml:space="preserve">06:00</t>
  </si>
  <si>
    <t xml:space="preserve">رائد الراشدى/ ميديكال سنتر/ مهندس شريف's</t>
  </si>
  <si>
    <t xml:space="preserve">رائد الراشدى/ ميديكال سنتر/ مهندس شريف</t>
  </si>
  <si>
    <t xml:space="preserve">10:01</t>
  </si>
  <si>
    <t xml:space="preserve">التخطيط الحديث للمقاولات - تارجيت للاستش</t>
  </si>
  <si>
    <t xml:space="preserve">التخطيط الحديث للمقاولات</t>
  </si>
  <si>
    <t xml:space="preserve">مكتب تارجيت للاستشارات الهندسية</t>
  </si>
  <si>
    <t xml:space="preserve">التخطيط الحديث للمقاولات العامة</t>
  </si>
  <si>
    <t xml:space="preserve">10:23</t>
  </si>
  <si>
    <t xml:space="preserve">Lost</t>
  </si>
  <si>
    <t xml:space="preserve">ماكرو هوم للمقاولات- شام للتصميم</t>
  </si>
  <si>
    <t xml:space="preserve">ماكرو هوم للمقاولات</t>
  </si>
  <si>
    <t xml:space="preserve">مكتب شام للتصميم والاستشارات اله</t>
  </si>
  <si>
    <t xml:space="preserve">ماكرو هوم للمقاولات العامة</t>
  </si>
  <si>
    <t xml:space="preserve">10:56</t>
  </si>
  <si>
    <t xml:space="preserve">ريبال للمقاولات- بينونة للاستشارات</t>
  </si>
  <si>
    <t xml:space="preserve">ريبال للمقاولات</t>
  </si>
  <si>
    <t xml:space="preserve">بينونة للاستشارات</t>
  </si>
  <si>
    <t xml:space="preserve">11:38</t>
  </si>
  <si>
    <t xml:space="preserve">محمد العامرى/ مركز تجارى/ الرحبة's oppor</t>
  </si>
  <si>
    <t xml:space="preserve">محمد العامرى/ مركز تجارى/ الرحبة</t>
  </si>
  <si>
    <t xml:space="preserve">16:40</t>
  </si>
  <si>
    <t xml:space="preserve">سيف الزعابي</t>
  </si>
  <si>
    <t xml:space="preserve">محمد ابوحليقه</t>
  </si>
  <si>
    <t xml:space="preserve">17:06</t>
  </si>
  <si>
    <t xml:space="preserve">هاوس فيجن</t>
  </si>
  <si>
    <t xml:space="preserve">20:20</t>
  </si>
  <si>
    <t xml:space="preserve">Proposition</t>
  </si>
  <si>
    <t xml:space="preserve">20:22</t>
  </si>
  <si>
    <t xml:space="preserve">اونيكس للمقاولات العامة's opportunity</t>
  </si>
  <si>
    <t xml:space="preserve">اونيكس للمقاولات العامة</t>
  </si>
  <si>
    <t xml:space="preserve">فراس للاستشارات الهندسية</t>
  </si>
  <si>
    <t xml:space="preserve">20:24</t>
  </si>
  <si>
    <t xml:space="preserve">دار الغد للمقاولات العامة's opportunity</t>
  </si>
  <si>
    <t xml:space="preserve">دار الغد للمقاولات العامة</t>
  </si>
  <si>
    <t xml:space="preserve">ابيلا للاستشارات الهندسية</t>
  </si>
  <si>
    <t xml:space="preserve">التخطيط الحديث للمقاولات العامة's opport</t>
  </si>
  <si>
    <t xml:space="preserve">مركز التصميمات المعماريه للاستشا</t>
  </si>
  <si>
    <t xml:space="preserve">21:37</t>
  </si>
  <si>
    <t xml:space="preserve">جاسم محمد النواد's opportunity</t>
  </si>
  <si>
    <t xml:space="preserve">جاسم محمد النواد</t>
  </si>
  <si>
    <t xml:space="preserve">11:07</t>
  </si>
  <si>
    <t xml:space="preserve">جلوري للاستشارات الهندسيه- اللبنة للمقاو</t>
  </si>
  <si>
    <t xml:space="preserve">جلوري للاستشارات الهندسيه</t>
  </si>
  <si>
    <t xml:space="preserve">مكتب جلوري للاستشارات الهندسية</t>
  </si>
  <si>
    <t xml:space="preserve">اللبنة للمقاولات العامة</t>
  </si>
  <si>
    <t xml:space="preserve">11:32</t>
  </si>
  <si>
    <t xml:space="preserve">11:55</t>
  </si>
  <si>
    <t xml:space="preserve">واحة السعديات</t>
  </si>
  <si>
    <t xml:space="preserve">C4</t>
  </si>
  <si>
    <t xml:space="preserve">اريكيوم للاستشارات</t>
  </si>
  <si>
    <t xml:space="preserve">واحة السعديات للمقاولات</t>
  </si>
  <si>
    <t xml:space="preserve">عرض سعر مكيف, عرض سعر مصعد</t>
  </si>
  <si>
    <t xml:space="preserve">المندوب لم يكتب: اسم العميل، مرفقات، ملاحظات  (3 خانة ناقصة)</t>
  </si>
  <si>
    <t xml:space="preserve">12:03</t>
  </si>
  <si>
    <t xml:space="preserve">مكتب فيرست تشويس للاستشارات الهندسية- مش</t>
  </si>
  <si>
    <t xml:space="preserve">مكتب فيرست تشويس للاستشارات الهندسية</t>
  </si>
  <si>
    <t xml:space="preserve">فيرست تشويس للاستشارات</t>
  </si>
  <si>
    <t xml:space="preserve">مشاربع الموج للمقاولات العامة</t>
  </si>
  <si>
    <t xml:space="preserve">12:10</t>
  </si>
  <si>
    <t xml:space="preserve">البدرالمضئ للمقاولات</t>
  </si>
  <si>
    <t xml:space="preserve">خلف الكتبي / السعيد ابو الفضل  /  / ال</t>
  </si>
  <si>
    <t xml:space="preserve">عرض سعر مكيف</t>
  </si>
  <si>
    <t xml:space="preserve">12:23</t>
  </si>
  <si>
    <t xml:space="preserve">منذر الكثيري</t>
  </si>
  <si>
    <t xml:space="preserve">منذر الكثيري / وزير جنان للمقاولات</t>
  </si>
  <si>
    <t xml:space="preserve">وزير جنان للمقاولات</t>
  </si>
  <si>
    <t xml:space="preserve">روعة الشام للمقاولات العامة's opportunit</t>
  </si>
  <si>
    <t xml:space="preserve">روعة الشام للمقاولات العامة</t>
  </si>
  <si>
    <t xml:space="preserve">19:51</t>
  </si>
  <si>
    <t xml:space="preserve">جبال الوادي للمقاولات العامة's opportuni</t>
  </si>
  <si>
    <t xml:space="preserve">جبال الوادي للمقاولات العامة</t>
  </si>
  <si>
    <t xml:space="preserve">ارابيلا هوم للاستشارات الهندسية</t>
  </si>
  <si>
    <t xml:space="preserve">19:53</t>
  </si>
  <si>
    <t xml:space="preserve">كريديت للمقاولات العامة's opportunity</t>
  </si>
  <si>
    <t xml:space="preserve">كريديت للمقاولات العامة</t>
  </si>
  <si>
    <t xml:space="preserve">19:57</t>
  </si>
  <si>
    <t xml:space="preserve">اسبير للمقاولات العامة's opportunity</t>
  </si>
  <si>
    <t xml:space="preserve">اسبير للمقاولات العامة</t>
  </si>
  <si>
    <t xml:space="preserve">20:54</t>
  </si>
  <si>
    <t xml:space="preserve">محمد الصيعري</t>
  </si>
  <si>
    <t xml:space="preserve">12</t>
  </si>
  <si>
    <t xml:space="preserve">مكتب اركال للاستشارات الهندسية</t>
  </si>
  <si>
    <t xml:space="preserve">ماس مون</t>
  </si>
  <si>
    <t xml:space="preserve">21:09</t>
  </si>
  <si>
    <t xml:space="preserve">بالم هيلزللمقاولات</t>
  </si>
  <si>
    <t xml:space="preserve">٦  مواقع بالم هيلزللمقاولات</t>
  </si>
  <si>
    <t xml:space="preserve">21:21</t>
  </si>
  <si>
    <t xml:space="preserve">احمد عبد الله التميمي للمقاولات</t>
  </si>
  <si>
    <t xml:space="preserve">21:24</t>
  </si>
  <si>
    <t xml:space="preserve">فاطمة عمر الحامد</t>
  </si>
  <si>
    <t xml:space="preserve">غلوري للاستشارات</t>
  </si>
  <si>
    <t xml:space="preserve">المندوب لم يكتب: اسم العميل، Plot Number، المقاول، Tags، مرفقات، Source، ملاحظات  (7 خانة ناقصة)</t>
  </si>
  <si>
    <t xml:space="preserve">22:25</t>
  </si>
  <si>
    <t xml:space="preserve">حمدة راشد الزعابي/ امبريم/ ابو احمد النش</t>
  </si>
  <si>
    <t xml:space="preserve">حمدة راشد الزعابي/ امبريم/ ابو احمد ال</t>
  </si>
  <si>
    <t xml:space="preserve">امبريوم جروب للاستشارات</t>
  </si>
  <si>
    <t xml:space="preserve">قمة النخبة للمقاولات</t>
  </si>
  <si>
    <t xml:space="preserve">22:48</t>
  </si>
  <si>
    <t xml:space="preserve">فرصة محمد المرزوقي معرض ٩</t>
  </si>
  <si>
    <t xml:space="preserve">محمد المرزوقي معرض ٩</t>
  </si>
  <si>
    <t xml:space="preserve">٩٦</t>
  </si>
  <si>
    <t xml:space="preserve">اكاد</t>
  </si>
  <si>
    <t xml:space="preserve">المندوب لم يكتب: المقاول، مرفقات، Source  (3 خانة ناقصة)</t>
  </si>
  <si>
    <t xml:space="preserve">22:55</t>
  </si>
  <si>
    <t xml:space="preserve">فرصة محمد الفلاحي معرض ٩</t>
  </si>
  <si>
    <t xml:space="preserve">محمد الفلاحي معرض ٩</t>
  </si>
  <si>
    <t xml:space="preserve">نفسه</t>
  </si>
  <si>
    <t xml:space="preserve">المندوب لم يكتب: Plot Number، الاستشاري، Tags، مرفقات، Source، ملاحظات  (6 خانة ناقصة)</t>
  </si>
  <si>
    <t xml:space="preserve">22:58</t>
  </si>
  <si>
    <t xml:space="preserve">فرصة دكتوره شيخه الحميري</t>
  </si>
  <si>
    <t xml:space="preserve">دكتوره شيخه الحميري</t>
  </si>
  <si>
    <t xml:space="preserve">براكسيز</t>
  </si>
  <si>
    <t xml:space="preserve">تكييف, مصعد, Private Data</t>
  </si>
  <si>
    <t xml:space="preserve">09:53</t>
  </si>
  <si>
    <t xml:space="preserve">اوتكو للمقاولات العامة- الريف للاستشارات</t>
  </si>
  <si>
    <t xml:space="preserve">اوتكو للمقاولات العامة</t>
  </si>
  <si>
    <t xml:space="preserve">الريف للاستشارات</t>
  </si>
  <si>
    <t xml:space="preserve">10:16</t>
  </si>
  <si>
    <t xml:space="preserve">اركال للاستشارات- الفوارس العربية</t>
  </si>
  <si>
    <t xml:space="preserve">اركال للاستشارات</t>
  </si>
  <si>
    <t xml:space="preserve">الفوارس العربية للمقاولات العامة</t>
  </si>
  <si>
    <t xml:space="preserve">14:07</t>
  </si>
  <si>
    <t xml:space="preserve">بيت الواحة للمقاولات العامة- جمال عبدالل</t>
  </si>
  <si>
    <t xml:space="preserve">بيت الواحة للمقاولات العامة</t>
  </si>
  <si>
    <t xml:space="preserve">هندسة العمارة استشاريون</t>
  </si>
  <si>
    <t xml:space="preserve">بيت الواحة للمقاولات</t>
  </si>
  <si>
    <t xml:space="preserve">14:10</t>
  </si>
  <si>
    <t xml:space="preserve">بيت الواحة للمقاولات العامة- جلوري للاست</t>
  </si>
  <si>
    <t xml:space="preserve">16:17</t>
  </si>
  <si>
    <t xml:space="preserve">لاشلان للمقاولات - البحري للاستشارات</t>
  </si>
  <si>
    <t xml:space="preserve">لاشلان للمقاولات</t>
  </si>
  <si>
    <t xml:space="preserve">مكتب البحري للاستشارات الهندسية</t>
  </si>
  <si>
    <t xml:space="preserve">16:22</t>
  </si>
  <si>
    <t xml:space="preserve">وردة النيل للمقاولات- ارش زون للاستشارات</t>
  </si>
  <si>
    <t xml:space="preserve">وردة النيل</t>
  </si>
  <si>
    <t xml:space="preserve">مكتب ارش زون للاستشارات الهندسيه</t>
  </si>
  <si>
    <t xml:space="preserve">18:04</t>
  </si>
  <si>
    <t xml:space="preserve">احمد سليمان باركيز</t>
  </si>
  <si>
    <t xml:space="preserve">تعاقد</t>
  </si>
  <si>
    <t xml:space="preserve">20:10</t>
  </si>
  <si>
    <t xml:space="preserve">اسماعيل الحوسني</t>
  </si>
  <si>
    <t xml:space="preserve">احمد الهطالى/ مكيف وتأسيس سمارت هوم/ موا</t>
  </si>
  <si>
    <t xml:space="preserve">احمد الهطالى/ مكيف وتأسيس سمارت هوم/ م</t>
  </si>
  <si>
    <t xml:space="preserve">تاج الواحة للاستشارات الهندسية</t>
  </si>
  <si>
    <t xml:space="preserve">عرض سعر مكيف, عرض سعر سمارت هوم</t>
  </si>
  <si>
    <t xml:space="preserve">21:29</t>
  </si>
  <si>
    <t xml:space="preserve">فريد دزاين للاستشارات's opportunity</t>
  </si>
  <si>
    <t xml:space="preserve">الهديل للمقاولات العامة</t>
  </si>
  <si>
    <t xml:space="preserve">21:32</t>
  </si>
  <si>
    <t xml:space="preserve">الطريق الثابت للمقاولات's opportunity</t>
  </si>
  <si>
    <t xml:space="preserve">الطريق الثابت للمقاولات</t>
  </si>
  <si>
    <t xml:space="preserve">العمران انترناشونال للاستشارات</t>
  </si>
  <si>
    <t xml:space="preserve">21:34</t>
  </si>
  <si>
    <t xml:space="preserve">الناموس للمقاولات العامة's opportunity</t>
  </si>
  <si>
    <t xml:space="preserve">الناموس للمقاولات العامة</t>
  </si>
  <si>
    <t xml:space="preserve">21:39</t>
  </si>
  <si>
    <t xml:space="preserve">الدوام من المكتب's opportunity</t>
  </si>
  <si>
    <t xml:space="preserve">الدوام من المكتب</t>
  </si>
  <si>
    <t xml:space="preserve">08:41</t>
  </si>
  <si>
    <t xml:space="preserve">الزوايا الشرقية للمقاولات العامة- شام لل</t>
  </si>
  <si>
    <t xml:space="preserve">الزوايا الشرقية للمقاولات العامة</t>
  </si>
  <si>
    <t xml:space="preserve">15:44</t>
  </si>
  <si>
    <t xml:space="preserve">فرصة م بيشوي \MEC لمقاولات</t>
  </si>
  <si>
    <t xml:space="preserve">م بيشوي \MEC لمقاولات</t>
  </si>
  <si>
    <t xml:space="preserve">MEC مصري</t>
  </si>
  <si>
    <t xml:space="preserve">15:47</t>
  </si>
  <si>
    <t xml:space="preserve">م مصطفي شرف ارت دومين للمقاولات</t>
  </si>
  <si>
    <t xml:space="preserve">ارت دومين للمقاولات</t>
  </si>
  <si>
    <t xml:space="preserve">15:54</t>
  </si>
  <si>
    <t xml:space="preserve">نايل فيوتشر للمقاولات العامة</t>
  </si>
  <si>
    <t xml:space="preserve">16:15</t>
  </si>
  <si>
    <t xml:space="preserve">اوسس للاستشارات</t>
  </si>
  <si>
    <t xml:space="preserve">اوسس</t>
  </si>
  <si>
    <t xml:space="preserve">17:16</t>
  </si>
  <si>
    <t xml:space="preserve">توضيح للمقاولات العامه</t>
  </si>
  <si>
    <t xml:space="preserve">17:17</t>
  </si>
  <si>
    <t xml:space="preserve">رابتوز للمقاولات العامه</t>
  </si>
  <si>
    <t xml:space="preserve">20:02</t>
  </si>
  <si>
    <t xml:space="preserve">الماسة المعمارية  للمقاولات's opportunit</t>
  </si>
  <si>
    <t xml:space="preserve">الماسة المعمارية  للمقاولات</t>
  </si>
  <si>
    <t xml:space="preserve">احمد سالم الكعبي's opportunity</t>
  </si>
  <si>
    <t xml:space="preserve">احمد سالم الكعبي</t>
  </si>
  <si>
    <t xml:space="preserve">20:25</t>
  </si>
  <si>
    <t xml:space="preserve">قبه المدينة's opportunity</t>
  </si>
  <si>
    <t xml:space="preserve">قبه المدينة</t>
  </si>
  <si>
    <t xml:space="preserve">22:37</t>
  </si>
  <si>
    <t xml:space="preserve">أجيال للمقاولات العامة's opportunity</t>
  </si>
  <si>
    <t xml:space="preserve">أجيال للمقاولات العامة</t>
  </si>
  <si>
    <t xml:space="preserve">22:38</t>
  </si>
  <si>
    <t xml:space="preserve">هندسه الابداع للاستشارات الهندسية's oppo</t>
  </si>
  <si>
    <t xml:space="preserve">هندسه الابداع للاستشارات الهندسية</t>
  </si>
  <si>
    <t xml:space="preserve">22:39</t>
  </si>
  <si>
    <t xml:space="preserve">المهندس الاماراتي للاستشارات's opportuni</t>
  </si>
  <si>
    <t xml:space="preserve">المهندس الاماراتي للاستشارات</t>
  </si>
  <si>
    <t xml:space="preserve">22:41</t>
  </si>
  <si>
    <t xml:space="preserve">البنفسج للاستشارات الهندسية's opportunit</t>
  </si>
  <si>
    <t xml:space="preserve">البنفسج للاستشارات الهندسية</t>
  </si>
  <si>
    <t xml:space="preserve">22:42</t>
  </si>
  <si>
    <t xml:space="preserve">مثلث البناء للمقاولات العامة's opportuni</t>
  </si>
  <si>
    <t xml:space="preserve">مثلث البناء للمقاولات العامة</t>
  </si>
  <si>
    <t xml:space="preserve">22:43</t>
  </si>
  <si>
    <t xml:space="preserve">تري ارك للاستشارات الهندسية's opportunit</t>
  </si>
  <si>
    <t xml:space="preserve">تري ارك للاستشارات الهندسية</t>
  </si>
  <si>
    <t xml:space="preserve">02:01</t>
  </si>
  <si>
    <t xml:space="preserve">هشام هاشم العبيدلي/ شام/ سمارت's opportu</t>
  </si>
  <si>
    <t xml:space="preserve">هشام هاشم العبيدلي/ شام/ سمارت</t>
  </si>
  <si>
    <t xml:space="preserve">عرض سعر سمارت هوم</t>
  </si>
  <si>
    <t xml:space="preserve">فاطمة النعيمى/ ديار عجمان's opportunity</t>
  </si>
  <si>
    <t xml:space="preserve">فاطمة النعيمى/ ديار عجمان</t>
  </si>
  <si>
    <t xml:space="preserve">النخيل للاستشارات الهندسية</t>
  </si>
  <si>
    <t xml:space="preserve">14:57</t>
  </si>
  <si>
    <t xml:space="preserve">عبدالله المزروعي's opportunity</t>
  </si>
  <si>
    <t xml:space="preserve">عبدالله المزروعي</t>
  </si>
  <si>
    <t xml:space="preserve">فرصة م محمود فاوندرز للاستشارات</t>
  </si>
  <si>
    <t xml:space="preserve">م محمود فاوندرز للاستشارات</t>
  </si>
  <si>
    <t xml:space="preserve">فاوندرز</t>
  </si>
  <si>
    <t xml:space="preserve">20:39</t>
  </si>
  <si>
    <t xml:space="preserve">ابي الفداء للمقاولات's opportunity</t>
  </si>
  <si>
    <t xml:space="preserve">ابي الفداء للمقاولات</t>
  </si>
  <si>
    <t xml:space="preserve">2~</t>
  </si>
  <si>
    <t xml:space="preserve">ماضي للاستشارات الهندسية</t>
  </si>
  <si>
    <t xml:space="preserve">المندوب لم يكتب: المقاول، مرفقات، ملاحظات  (3 خانة ناقصة)</t>
  </si>
  <si>
    <t xml:space="preserve">20:42</t>
  </si>
  <si>
    <t xml:space="preserve">سريانا للمقاولات العامة's opportunity</t>
  </si>
  <si>
    <t xml:space="preserve">سريانا للمقاولات العامة</t>
  </si>
  <si>
    <t xml:space="preserve">لاين للاستشارات الهندسية's opportunity</t>
  </si>
  <si>
    <t xml:space="preserve">لاين للاستشارات الهندسية</t>
  </si>
  <si>
    <t xml:space="preserve">20:47</t>
  </si>
  <si>
    <t xml:space="preserve">الحوار للاستشارات الهندسية's opportunity</t>
  </si>
  <si>
    <t xml:space="preserve">غرناطة للاستشارات الهندسية's opportunity</t>
  </si>
  <si>
    <t xml:space="preserve">غرناطة للاستشارات الهندسية</t>
  </si>
  <si>
    <t xml:space="preserve">21:27</t>
  </si>
  <si>
    <t xml:space="preserve">فرصة م احمد الهجام بوند للاستشارات</t>
  </si>
  <si>
    <t xml:space="preserve">م احمد الهجام بوند للاستشارات</t>
  </si>
  <si>
    <t xml:space="preserve">بوند</t>
  </si>
  <si>
    <t xml:space="preserve">21:30</t>
  </si>
  <si>
    <t xml:space="preserve">م محمد الفاتح بلديانو العقاريه</t>
  </si>
  <si>
    <t xml:space="preserve">15:53</t>
  </si>
  <si>
    <t xml:space="preserve">سالم النعيمي</t>
  </si>
  <si>
    <t xml:space="preserve">15:58</t>
  </si>
  <si>
    <t xml:space="preserve">سميحه المحروقي</t>
  </si>
  <si>
    <t xml:space="preserve">بيت الخبره للاستشارات الهندسية</t>
  </si>
  <si>
    <t xml:space="preserve">قلعة الحصن للمقاولات العامة- مبارك محمد </t>
  </si>
  <si>
    <t xml:space="preserve">قلعة الحصن للمقاولات العامة</t>
  </si>
  <si>
    <t xml:space="preserve">انماء للاستشارات الهندسية</t>
  </si>
  <si>
    <t xml:space="preserve">16:31</t>
  </si>
  <si>
    <t xml:space="preserve">يوسف وسلطان الهاشمي</t>
  </si>
  <si>
    <t xml:space="preserve">16:33</t>
  </si>
  <si>
    <t xml:space="preserve">سكانديوم للمقاولات</t>
  </si>
  <si>
    <t xml:space="preserve">المعمار للاستشارات</t>
  </si>
  <si>
    <t xml:space="preserve">16:36</t>
  </si>
  <si>
    <t xml:space="preserve">علي منصور بن حمدوش</t>
  </si>
  <si>
    <t xml:space="preserve">16:37</t>
  </si>
  <si>
    <t xml:space="preserve">عبد الله ابو ناصر</t>
  </si>
  <si>
    <t xml:space="preserve">17:07</t>
  </si>
  <si>
    <t xml:space="preserve">مكتب ارض الخير للاستشارات</t>
  </si>
  <si>
    <t xml:space="preserve">ارض الخير للاستشارات</t>
  </si>
  <si>
    <t xml:space="preserve">ارض الخير للاستشارات الهندسية</t>
  </si>
  <si>
    <t xml:space="preserve">17:51</t>
  </si>
  <si>
    <t xml:space="preserve">مكتب فيينا لادارة العقارات والمقاولات</t>
  </si>
  <si>
    <t xml:space="preserve">فيينا لادارة العقارات والمقاولات</t>
  </si>
  <si>
    <t xml:space="preserve">فيينا للمقاولات وادارة العقارات</t>
  </si>
  <si>
    <t xml:space="preserve">18:55</t>
  </si>
  <si>
    <t xml:space="preserve">19:11</t>
  </si>
  <si>
    <t xml:space="preserve">سيف المصعبي</t>
  </si>
  <si>
    <t xml:space="preserve">نخبة الصحراء للمقاولات's opportunity</t>
  </si>
  <si>
    <t xml:space="preserve">نخبة الصحراء للمقاولات</t>
  </si>
  <si>
    <t xml:space="preserve">محار الغرب للمقاولات's opportunity</t>
  </si>
  <si>
    <t xml:space="preserve">محار الغرب للمقاولات</t>
  </si>
  <si>
    <t xml:space="preserve">هندسه الابداع للاستشارات</t>
  </si>
  <si>
    <t xml:space="preserve">المتر الاول للمقاولات's opportunity</t>
  </si>
  <si>
    <t xml:space="preserve">المتر الاول للمقاولات</t>
  </si>
  <si>
    <t xml:space="preserve">هاي تك للاستشارات الهندسية</t>
  </si>
  <si>
    <t xml:space="preserve">القصور العالمية للمقاولات's opportunity</t>
  </si>
  <si>
    <t xml:space="preserve">القصور العالمية للمقاولات</t>
  </si>
  <si>
    <t xml:space="preserve">20:56</t>
  </si>
  <si>
    <t xml:space="preserve">20:58</t>
  </si>
  <si>
    <t xml:space="preserve">مركز التصميمات المعماريه للاستشارات's op</t>
  </si>
  <si>
    <t xml:space="preserve">مركز التصميمات المعماريه للاستشارات</t>
  </si>
  <si>
    <t xml:space="preserve">عبدالله خان/ الفرجان/ امبريم/ دبى's oppo</t>
  </si>
  <si>
    <t xml:space="preserve">عبدالله خان/ الفرجان/ امبريم/ دبى</t>
  </si>
  <si>
    <t xml:space="preserve">امبريوم جروب للاستشارات الهندسية</t>
  </si>
  <si>
    <t xml:space="preserve">مكتب اريك للاستشارات الهندسية's opportun</t>
  </si>
  <si>
    <t xml:space="preserve">مكتب اريك للاستشارات الهندسية</t>
  </si>
  <si>
    <t xml:space="preserve">22:53</t>
  </si>
  <si>
    <t xml:space="preserve">فرصة م احمد فؤاد لبنات للاستشارات</t>
  </si>
  <si>
    <t xml:space="preserve">م احمد فؤاد لبنات للاستشارات</t>
  </si>
  <si>
    <t xml:space="preserve">22:56</t>
  </si>
  <si>
    <t xml:space="preserve">فرصة م عبدالله التميمي ارتسان للمقاولات</t>
  </si>
  <si>
    <t xml:space="preserve">م عبدالله التميمي ارتسان للمقاولات</t>
  </si>
  <si>
    <t xml:space="preserve">ارتسان</t>
  </si>
  <si>
    <t xml:space="preserve">تكييف, مصعد, مكتب مقاولات</t>
  </si>
  <si>
    <t xml:space="preserve">12:52</t>
  </si>
  <si>
    <t xml:space="preserve">مكتب ماكس ديزاين للاستشارات الهندسية</t>
  </si>
  <si>
    <t xml:space="preserve">مكتب ماكس ديزاين للاستشارات الهن</t>
  </si>
  <si>
    <t xml:space="preserve">14:29</t>
  </si>
  <si>
    <t xml:space="preserve">احمد راشد مصبح الشامسي</t>
  </si>
  <si>
    <t xml:space="preserve">احمد الشامسي شليويح</t>
  </si>
  <si>
    <t xml:space="preserve">زاخر</t>
  </si>
  <si>
    <t xml:space="preserve">بيور لاين للاستشارات</t>
  </si>
  <si>
    <t xml:space="preserve">مباني الشرق للمقاولات</t>
  </si>
  <si>
    <t xml:space="preserve">عملاء سابقين</t>
  </si>
  <si>
    <t xml:space="preserve">14:34</t>
  </si>
  <si>
    <t xml:space="preserve">احمد عمران سقيط العامري's opportunity</t>
  </si>
  <si>
    <t xml:space="preserve">احمد عمران سقيط العامري</t>
  </si>
  <si>
    <t xml:space="preserve">14:39</t>
  </si>
  <si>
    <t xml:space="preserve">برينسبل للمقاولات's opportunity</t>
  </si>
  <si>
    <t xml:space="preserve">برينسبل للمقاولات</t>
  </si>
  <si>
    <t xml:space="preserve">هزاع الزعابي</t>
  </si>
  <si>
    <t xml:space="preserve">17:41</t>
  </si>
  <si>
    <t xml:space="preserve">احمد الزعابي</t>
  </si>
  <si>
    <t xml:space="preserve">21:26</t>
  </si>
  <si>
    <t xml:space="preserve">التصميم الحديث للاستشارات الهندسية's opp</t>
  </si>
  <si>
    <t xml:space="preserve">التصميم الحديث للاستشارات الهندسية</t>
  </si>
  <si>
    <t xml:space="preserve">21:28</t>
  </si>
  <si>
    <t xml:space="preserve">تراك للاستشارات الهندسية's opportunity</t>
  </si>
  <si>
    <t xml:space="preserve">تراك للاستشارات الهندسية</t>
  </si>
  <si>
    <t xml:space="preserve">ترانس للاستشارات الهندسية's opportunity</t>
  </si>
  <si>
    <t xml:space="preserve">ترانس للاستشارات الهندسية</t>
  </si>
  <si>
    <t xml:space="preserve">كود للاستشارات الهندسية's opportunity</t>
  </si>
  <si>
    <t xml:space="preserve">كود للاستشارات الهندسية</t>
  </si>
  <si>
    <t xml:space="preserve">21:31</t>
  </si>
  <si>
    <t xml:space="preserve">21:33</t>
  </si>
  <si>
    <t xml:space="preserve">العابد للاستشارات الهندسية's opportunity</t>
  </si>
  <si>
    <t xml:space="preserve">العابد للاستشارات الهندسية</t>
  </si>
  <si>
    <t xml:space="preserve">22:28</t>
  </si>
  <si>
    <t xml:space="preserve">محمد الخميرى/ معرض/ تكييف/ سمارت's oppor</t>
  </si>
  <si>
    <t xml:space="preserve">محمد الخميرى/ معرض/ تكييف/ سمارت</t>
  </si>
  <si>
    <t xml:space="preserve">دبل سكوير للاستشارات الهندسية</t>
  </si>
  <si>
    <t xml:space="preserve">المندوب لم يكتب: Plot Number، المقاول، مرفقات  (3 خانة ناقصة)</t>
  </si>
  <si>
    <t xml:space="preserve">22:34</t>
  </si>
  <si>
    <t xml:space="preserve">عبدالله بن طاسة العامرى/ تكييف/ العين's </t>
  </si>
  <si>
    <t xml:space="preserve">عبدالله بن طاسة العامرى/ تكييف/ العين</t>
  </si>
  <si>
    <t xml:space="preserve">معرفة</t>
  </si>
  <si>
    <t xml:space="preserve">عائلة احمد السويدى/ 4 فلل/ كنزو's opport</t>
  </si>
  <si>
    <t xml:space="preserve">عائلة احمد السويدى/ 4 فلل/ كنزو</t>
  </si>
  <si>
    <t xml:space="preserve">مكتب اساس انترناشيونال للاستشارا</t>
  </si>
  <si>
    <t xml:space="preserve">كينزو للمقاولات العامة</t>
  </si>
  <si>
    <t xml:space="preserve">عرض سعر تكييف</t>
  </si>
  <si>
    <t xml:space="preserve">09:19</t>
  </si>
  <si>
    <t xml:space="preserve">فرصة م امجد البدري دابل اتش للمقاولات</t>
  </si>
  <si>
    <t xml:space="preserve">م امجد البدري دابل اتش للمقاولات</t>
  </si>
  <si>
    <t xml:space="preserve">لبنات</t>
  </si>
  <si>
    <t xml:space="preserve">دابل اتش</t>
  </si>
  <si>
    <t xml:space="preserve">مصعد, مكتب مقاولات</t>
  </si>
  <si>
    <t xml:space="preserve">09:22</t>
  </si>
  <si>
    <t xml:space="preserve">عبدالرحمن ناصر سوشيال شهر ٩</t>
  </si>
  <si>
    <t xml:space="preserve">Social Media, مصعد</t>
  </si>
  <si>
    <t xml:space="preserve">09:24</t>
  </si>
  <si>
    <t xml:space="preserve">م هشام كريتيف تيم للاستشارات</t>
  </si>
  <si>
    <t xml:space="preserve">كريتيف تيم</t>
  </si>
  <si>
    <t xml:space="preserve">11:31</t>
  </si>
  <si>
    <t xml:space="preserve">سيوا للمقاولات العامة</t>
  </si>
  <si>
    <t xml:space="preserve">مكتب ري تاتش للاستشارات الهندسية</t>
  </si>
  <si>
    <t xml:space="preserve">14:19</t>
  </si>
  <si>
    <t xml:space="preserve">مكتب اساس انترناشيونال للاستشارات الهندس</t>
  </si>
  <si>
    <t xml:space="preserve">مكتب اساس انترناشيونال للاستشارات الهن</t>
  </si>
  <si>
    <t xml:space="preserve">البراجيل للمقاولات</t>
  </si>
  <si>
    <t xml:space="preserve">14:31</t>
  </si>
  <si>
    <t xml:space="preserve">مكتب سمارت للحلول الهندسية- مظلة الشرق</t>
  </si>
  <si>
    <t xml:space="preserve">مكتب سمارت للحلول الهندسية</t>
  </si>
  <si>
    <t xml:space="preserve">سمارت للحلول الهندسية</t>
  </si>
  <si>
    <t xml:space="preserve">مظلة الشرق للمقاولاتالعامة</t>
  </si>
  <si>
    <t xml:space="preserve">تكييف, مصعد</t>
  </si>
  <si>
    <t xml:space="preserve">رتاج للاستشارات الهندسية وادارة المشاريع</t>
  </si>
  <si>
    <t xml:space="preserve">رتاج للاستشارات الهندسية وادارة المشار</t>
  </si>
  <si>
    <t xml:space="preserve">رتاج للاستشارات</t>
  </si>
  <si>
    <t xml:space="preserve">كيس ديا</t>
  </si>
  <si>
    <t xml:space="preserve">15:12</t>
  </si>
  <si>
    <t xml:space="preserve">مكتب تربل زيرو للاستشارات الهندسية- سلفر</t>
  </si>
  <si>
    <t xml:space="preserve">سلفر هوم للمقاولات</t>
  </si>
  <si>
    <t xml:space="preserve">16:29</t>
  </si>
  <si>
    <t xml:space="preserve">يشام للمقاولات</t>
  </si>
  <si>
    <t xml:space="preserve">صقر سليمان</t>
  </si>
  <si>
    <t xml:space="preserve">تاج البناء للمقاولات</t>
  </si>
  <si>
    <t xml:space="preserve">ارتكاز للمقاولات</t>
  </si>
  <si>
    <t xml:space="preserve">عبد الله المرزوقي</t>
  </si>
  <si>
    <t xml:space="preserve">عبد الله الحمادي</t>
  </si>
  <si>
    <t xml:space="preserve">عبد الله الزعابي</t>
  </si>
  <si>
    <t xml:space="preserve">محمد العوايد</t>
  </si>
  <si>
    <t xml:space="preserve">16:44</t>
  </si>
  <si>
    <t xml:space="preserve">الجسر المعلق للمقاولات</t>
  </si>
  <si>
    <t xml:space="preserve">علي الهاشمي</t>
  </si>
  <si>
    <t xml:space="preserve">محمد الهاشمي ابو عبد العزيز</t>
  </si>
  <si>
    <t xml:space="preserve">16:47</t>
  </si>
  <si>
    <t xml:space="preserve">محمد ابراهيم ابو حليقه</t>
  </si>
  <si>
    <t xml:space="preserve">فرصة م ماهر داماك لمقاولات</t>
  </si>
  <si>
    <t xml:space="preserve">م ماهر داماك لمقاولات</t>
  </si>
  <si>
    <t xml:space="preserve">21:00</t>
  </si>
  <si>
    <t xml:space="preserve">مثلث البناء للمقاولات's opportunity</t>
  </si>
  <si>
    <t xml:space="preserve">مثلث البناء للمقاولات</t>
  </si>
  <si>
    <t xml:space="preserve">21:01</t>
  </si>
  <si>
    <t xml:space="preserve">حمد جمعة للمقاولات العامة's opportunity</t>
  </si>
  <si>
    <t xml:space="preserve">حمد جمعة للمقاولات العامة</t>
  </si>
  <si>
    <t xml:space="preserve">12:20</t>
  </si>
  <si>
    <t xml:space="preserve">عادل الخوري</t>
  </si>
  <si>
    <t xml:space="preserve">229</t>
  </si>
  <si>
    <t xml:space="preserve">مكتب محمود محمد محمود للاستشارات</t>
  </si>
  <si>
    <t xml:space="preserve">بيت البراحه للمقاولات العامه</t>
  </si>
  <si>
    <t xml:space="preserve">المندوب لم يكتب: اسم العميل، Tags، مرفقات، Source، ملاحظات  (5 خانة ناقصة)</t>
  </si>
  <si>
    <t xml:space="preserve">13:10</t>
  </si>
  <si>
    <t xml:space="preserve">ديزاينر اون لاين للمقاولات العامة</t>
  </si>
  <si>
    <t xml:space="preserve">باين للاستشارات الهندسية</t>
  </si>
  <si>
    <t xml:space="preserve">ديزاينر اون لاين للمقاولات</t>
  </si>
  <si>
    <t xml:space="preserve">تكييف, مكاتب</t>
  </si>
  <si>
    <t xml:space="preserve">14:50</t>
  </si>
  <si>
    <t xml:space="preserve">انوار الطيف للمقاولات العامة- كوريديرا ل</t>
  </si>
  <si>
    <t xml:space="preserve">انوار الطيف للمقاولات العامة</t>
  </si>
  <si>
    <t xml:space="preserve">مكتب كوريديرا للاستشارات الهندسي</t>
  </si>
  <si>
    <t xml:space="preserve">15:55</t>
  </si>
  <si>
    <t xml:space="preserve">مكتب يونيفرسال بيلدينج للاستشارات الهندس</t>
  </si>
  <si>
    <t xml:space="preserve">مكتب يونيفرسال بيلدينج للاستشارات الهن</t>
  </si>
  <si>
    <t xml:space="preserve">مكتب يونيفرسال بيلدينج للاستشارا</t>
  </si>
  <si>
    <t xml:space="preserve">هايبروغ بيلد للمقاولات العامة</t>
  </si>
  <si>
    <t xml:space="preserve">16:06</t>
  </si>
  <si>
    <t xml:space="preserve">مكتب عمدان للاستشارات الهندسيه- عمدان لم</t>
  </si>
  <si>
    <t xml:space="preserve">مكتب عمدان للاستشارات الهندسيه</t>
  </si>
  <si>
    <t xml:space="preserve">عمدان لمقاولات البناء</t>
  </si>
  <si>
    <t xml:space="preserve">16:28</t>
  </si>
  <si>
    <t xml:space="preserve">مكتب الاستشاري الاردني- كريستال بيلد  لل</t>
  </si>
  <si>
    <t xml:space="preserve">مكتب الاستشاري الاردني</t>
  </si>
  <si>
    <t xml:space="preserve">كريستال بيلد للمقاولات العامة</t>
  </si>
  <si>
    <t xml:space="preserve">فيوتشر ستيب للمقاولات العامة- اركال للاس</t>
  </si>
  <si>
    <t xml:space="preserve">فيوتشر ستيب للمقاولات العامة</t>
  </si>
  <si>
    <t xml:space="preserve">17:25</t>
  </si>
  <si>
    <t xml:space="preserve">مكتب ريماس للاستشارات الهندسية- براند لا</t>
  </si>
  <si>
    <t xml:space="preserve">مكتب ريماس للاستشارات الهندسية</t>
  </si>
  <si>
    <t xml:space="preserve">براند لاين للمقاولات العامة</t>
  </si>
  <si>
    <t xml:space="preserve">17:35</t>
  </si>
  <si>
    <t xml:space="preserve">مركز التصميمات المعماريه للاستشارات- مثل</t>
  </si>
  <si>
    <t xml:space="preserve">مركز التصميمات للاستشارات الهندس</t>
  </si>
  <si>
    <t xml:space="preserve">17:43</t>
  </si>
  <si>
    <t xml:space="preserve">نابولي للاستشارات- سبيس لايت للمقاولات</t>
  </si>
  <si>
    <t xml:space="preserve">نابولي للاستشارات</t>
  </si>
  <si>
    <t xml:space="preserve">مكتب نابولي للاستشارات الهندسية</t>
  </si>
  <si>
    <t xml:space="preserve">سبيس لايت للمقاولات العامة</t>
  </si>
  <si>
    <t xml:space="preserve">17:49</t>
  </si>
  <si>
    <t xml:space="preserve">ابو محمد المرزوقي</t>
  </si>
  <si>
    <t xml:space="preserve">17:53</t>
  </si>
  <si>
    <t xml:space="preserve">المشارف للاستشارات الهندسية- الدرة العال</t>
  </si>
  <si>
    <t xml:space="preserve">المشارف للاستشارات الهندسية</t>
  </si>
  <si>
    <t xml:space="preserve">86</t>
  </si>
  <si>
    <t xml:space="preserve">مكتب المشارف للاستشارات الهندسية</t>
  </si>
  <si>
    <t xml:space="preserve">الدرة العالمية للمقاولات العامة</t>
  </si>
  <si>
    <t xml:space="preserve">20:19</t>
  </si>
  <si>
    <t xml:space="preserve">بيور كورنر للمقاولات العامة's opportunit</t>
  </si>
  <si>
    <t xml:space="preserve">بيور كورنر للمقاولات العامة</t>
  </si>
  <si>
    <t xml:space="preserve">20:21</t>
  </si>
  <si>
    <t xml:space="preserve">سبيد انفنتي للمقاولات's opportunity</t>
  </si>
  <si>
    <t xml:space="preserve">سبيد انفنتي للمقاولات</t>
  </si>
  <si>
    <t xml:space="preserve">20:29</t>
  </si>
  <si>
    <t xml:space="preserve">بيلاين للاستشارات الهندسية</t>
  </si>
  <si>
    <t xml:space="preserve">الدوام من المعرض's opportunity</t>
  </si>
  <si>
    <t xml:space="preserve">الدوام من المعرض</t>
  </si>
  <si>
    <t xml:space="preserve">ابتسام عبدالنبى احمد/ظلال's opportunity</t>
  </si>
  <si>
    <t xml:space="preserve">ابتسام عبدالنبى احمد/ظلال</t>
  </si>
  <si>
    <t xml:space="preserve">مكتب ظلال للاستشارات الهندسية</t>
  </si>
  <si>
    <t xml:space="preserve">كريتيف بلان للمقاولات</t>
  </si>
  <si>
    <t xml:space="preserve">فرصة م طارق افيدينس للمقاولات</t>
  </si>
  <si>
    <t xml:space="preserve">م طارق افيدينس للمقاولات</t>
  </si>
  <si>
    <t xml:space="preserve">افيدينس</t>
  </si>
  <si>
    <t xml:space="preserve">مكتب مقاولات, مواقع</t>
  </si>
  <si>
    <t xml:space="preserve">23:01</t>
  </si>
  <si>
    <t xml:space="preserve">م محمد ماي دريم للاستشارات</t>
  </si>
  <si>
    <t xml:space="preserve">مكتب ماي دريم للاستشارات الهندسي</t>
  </si>
  <si>
    <t xml:space="preserve">09:49</t>
  </si>
  <si>
    <t xml:space="preserve">مدي العمارة للمقاولات العامة- نتبولي للا</t>
  </si>
  <si>
    <t xml:space="preserve">مدي العمارة للمقاولات العامة</t>
  </si>
  <si>
    <t xml:space="preserve">09:57</t>
  </si>
  <si>
    <t xml:space="preserve">عهد الفن للاستشارات الهندسيه- سيلوكس للم</t>
  </si>
  <si>
    <t xml:space="preserve">عهد الفن للاستشارات الهندسيه</t>
  </si>
  <si>
    <t xml:space="preserve">مكتب عهد الفن للاستشارات الهندسي</t>
  </si>
  <si>
    <t xml:space="preserve">سيلوكس للمقاولات العامة</t>
  </si>
  <si>
    <t xml:space="preserve">15:24</t>
  </si>
  <si>
    <t xml:space="preserve">موزة العامري</t>
  </si>
  <si>
    <t xml:space="preserve">ايبلا للاستشارات الهندسية</t>
  </si>
  <si>
    <t xml:space="preserve">ريجكسي</t>
  </si>
  <si>
    <t xml:space="preserve">15:27</t>
  </si>
  <si>
    <t xml:space="preserve">محمد النعيمي وادي  وفا</t>
  </si>
  <si>
    <t xml:space="preserve">محمد النعيمي وادي وفا</t>
  </si>
  <si>
    <t xml:space="preserve">وادي وفا للمقاولات</t>
  </si>
  <si>
    <t xml:space="preserve">15:40</t>
  </si>
  <si>
    <t xml:space="preserve">حمد العامري بنايه الصناعية</t>
  </si>
  <si>
    <t xml:space="preserve">انترناشونال للاستشارات الهندسية</t>
  </si>
  <si>
    <t xml:space="preserve">15:43</t>
  </si>
  <si>
    <t xml:space="preserve">حمدان البريكي</t>
  </si>
  <si>
    <t xml:space="preserve">اساس العمران للمقاولات</t>
  </si>
  <si>
    <t xml:space="preserve">كود للاستشارات</t>
  </si>
  <si>
    <t xml:space="preserve">جاسم البلوشي</t>
  </si>
  <si>
    <t xml:space="preserve">15:59</t>
  </si>
  <si>
    <t xml:space="preserve">مبارك الخيلي</t>
  </si>
  <si>
    <t xml:space="preserve">16:00</t>
  </si>
  <si>
    <t xml:space="preserve">خليفه التميمي</t>
  </si>
  <si>
    <t xml:space="preserve">16:03</t>
  </si>
  <si>
    <t xml:space="preserve">الرويه المتكامله للمقاولات</t>
  </si>
  <si>
    <t xml:space="preserve">16:05</t>
  </si>
  <si>
    <t xml:space="preserve">الموناليزا للمقاولات</t>
  </si>
  <si>
    <t xml:space="preserve">ام حمدان العدوي</t>
  </si>
  <si>
    <t xml:space="preserve">فرصة م رسول ميامي للمقاولات</t>
  </si>
  <si>
    <t xml:space="preserve">م رسول ميامي للمقاولات</t>
  </si>
  <si>
    <t xml:space="preserve">الحكيم الاول</t>
  </si>
  <si>
    <t xml:space="preserve">ميامي</t>
  </si>
  <si>
    <t xml:space="preserve">16:25</t>
  </si>
  <si>
    <t xml:space="preserve">م احمد اليم للمقاولات</t>
  </si>
  <si>
    <t xml:space="preserve">اليم</t>
  </si>
  <si>
    <t xml:space="preserve">تكييف, شركة مقاولات</t>
  </si>
  <si>
    <t xml:space="preserve">21:36</t>
  </si>
  <si>
    <t xml:space="preserve">محمد صالح عبدالله مطهر/ النجوم السبع's o</t>
  </si>
  <si>
    <t xml:space="preserve">محمد صالح عبدالله مطهر/ النجوم السبع</t>
  </si>
  <si>
    <t xml:space="preserve">البيت للاستشارات الهندسية</t>
  </si>
  <si>
    <t xml:space="preserve">النجوم السبع لمقاولات البناء</t>
  </si>
  <si>
    <t xml:space="preserve">21:47</t>
  </si>
  <si>
    <t xml:space="preserve">عمر تريم/ النجوم السبع's opportunity</t>
  </si>
  <si>
    <t xml:space="preserve">عمر تريم/ النجوم السبع</t>
  </si>
  <si>
    <t xml:space="preserve">اوركيد للاستشارات الهندسية</t>
  </si>
  <si>
    <t xml:space="preserve">21:50</t>
  </si>
  <si>
    <t xml:space="preserve">عبدالعزيز عبيد/ معرض/ فيلا تأجير's oppor</t>
  </si>
  <si>
    <t xml:space="preserve">عبدالعزيز عبيد/ معرض/ فيلا تأجير</t>
  </si>
  <si>
    <t xml:space="preserve">بكسل للاستشارات</t>
  </si>
  <si>
    <t xml:space="preserve">16:13</t>
  </si>
  <si>
    <t xml:space="preserve">يونايتد هوم للمقاولات- ظلال للاستشارات</t>
  </si>
  <si>
    <t xml:space="preserve">يونايتد هوم للمقاولات</t>
  </si>
  <si>
    <t xml:space="preserve">يونايتد هوم للمقاولات العامة</t>
  </si>
  <si>
    <t xml:space="preserve">16:16</t>
  </si>
  <si>
    <t xml:space="preserve">عائشه المنصوري   معرض</t>
  </si>
  <si>
    <t xml:space="preserve">246</t>
  </si>
  <si>
    <t xml:space="preserve">الديار انتر ناشيونال</t>
  </si>
  <si>
    <t xml:space="preserve">اونكس للمقاولات</t>
  </si>
  <si>
    <t xml:space="preserve">تارجيت للاستشارات الهندسية- السيف للمقاو</t>
  </si>
  <si>
    <t xml:space="preserve">تارجيت للاستشارات الهندسية</t>
  </si>
  <si>
    <t xml:space="preserve">السيف للمقاولات العامة</t>
  </si>
  <si>
    <t xml:space="preserve">اوتوكاد للاستشارات الهندسية- الموافجة لل</t>
  </si>
  <si>
    <t xml:space="preserve">اوتوكاد للاستشارات الهندسية</t>
  </si>
  <si>
    <t xml:space="preserve">مكتب اوتوكاد للاستشارات الهندسية</t>
  </si>
  <si>
    <t xml:space="preserve">الموافجة للمقاولات</t>
  </si>
  <si>
    <t xml:space="preserve">16:52</t>
  </si>
  <si>
    <t xml:space="preserve">فرصة الحوار للاستشارات</t>
  </si>
  <si>
    <t xml:space="preserve">الحوار للاستشارات الهندسيه</t>
  </si>
  <si>
    <t xml:space="preserve">مكتب استشارات هندسية</t>
  </si>
  <si>
    <t xml:space="preserve">16:53</t>
  </si>
  <si>
    <t xml:space="preserve">فرصة المخطط الماسي</t>
  </si>
  <si>
    <t xml:space="preserve">المخطط الماسي للمقاولات</t>
  </si>
  <si>
    <t xml:space="preserve">عون لادارة العقارات والمقاولات- اماكن لل</t>
  </si>
  <si>
    <t xml:space="preserve">عون لادارة العقارات والمقاولات</t>
  </si>
  <si>
    <t xml:space="preserve">اماكن للاستشارات الهندسيه</t>
  </si>
  <si>
    <t xml:space="preserve">ايلا للاستشارات الهندسية- داماك للمقاولا</t>
  </si>
  <si>
    <t xml:space="preserve">ايلا للاستشارات الهندسية</t>
  </si>
  <si>
    <t xml:space="preserve">داماك للمقاولات العامة</t>
  </si>
  <si>
    <t xml:space="preserve">17:08</t>
  </si>
  <si>
    <t xml:space="preserve">الدفة الغربيه للمقاولات</t>
  </si>
  <si>
    <t xml:space="preserve">17:14</t>
  </si>
  <si>
    <t xml:space="preserve">المجد الدوليه للمقاولات العامه- باوهاوس </t>
  </si>
  <si>
    <t xml:space="preserve">المجد الدوليه للمقاولات العامه</t>
  </si>
  <si>
    <t xml:space="preserve">مكتب باوهاوس للاستشارات الهندسية</t>
  </si>
  <si>
    <t xml:space="preserve">المجد الدولية للمقاولات العامة</t>
  </si>
  <si>
    <t xml:space="preserve">كوريديرا للاستشارات الهندسية- ميتاليك لل</t>
  </si>
  <si>
    <t xml:space="preserve">كوريديرا للاستشارات الهندسية</t>
  </si>
  <si>
    <t xml:space="preserve">ميتاليك للمقاولات العامة</t>
  </si>
  <si>
    <t xml:space="preserve">17:21</t>
  </si>
  <si>
    <t xml:space="preserve">تارجيت للاستشارات الهندسية- مظلة الشرق -</t>
  </si>
  <si>
    <t xml:space="preserve">17:57</t>
  </si>
  <si>
    <t xml:space="preserve">فرصة م احمد الجمال ظلال للاستشارات</t>
  </si>
  <si>
    <t xml:space="preserve">م احمد الجمال ظلال للاستشارات</t>
  </si>
  <si>
    <t xml:space="preserve">ظلال</t>
  </si>
  <si>
    <t xml:space="preserve">18:00</t>
  </si>
  <si>
    <t xml:space="preserve">م سيف اليافور للمقاولات</t>
  </si>
  <si>
    <t xml:space="preserve">اليافور</t>
  </si>
  <si>
    <t xml:space="preserve">18:02</t>
  </si>
  <si>
    <t xml:space="preserve">م همام المؤيد للاستشارات</t>
  </si>
  <si>
    <t xml:space="preserve">19:55</t>
  </si>
  <si>
    <t xml:space="preserve">سبيشل لاين للاستشارات's opportunity</t>
  </si>
  <si>
    <t xml:space="preserve">سبيشل لاين للاستشارات</t>
  </si>
  <si>
    <t xml:space="preserve">20:09</t>
  </si>
  <si>
    <t xml:space="preserve">الفوارس للمقاولات العامة's opportunity</t>
  </si>
  <si>
    <t xml:space="preserve">الفوارس للمقاولات العامة</t>
  </si>
  <si>
    <t xml:space="preserve">شام للاستشارات الهندسية</t>
  </si>
  <si>
    <t xml:space="preserve">20:11</t>
  </si>
  <si>
    <t xml:space="preserve">ابراج ليوا للمقاولات's opportunity</t>
  </si>
  <si>
    <t xml:space="preserve">ابراج ليوا للمقاولات</t>
  </si>
  <si>
    <t xml:space="preserve">سلفر سكوير</t>
  </si>
  <si>
    <t xml:space="preserve">20:14</t>
  </si>
  <si>
    <t xml:space="preserve">هابيرج للمقاولات العامة's opportunity</t>
  </si>
  <si>
    <t xml:space="preserve">هابيرج للمقاولات العامة</t>
  </si>
  <si>
    <t xml:space="preserve">20:16</t>
  </si>
  <si>
    <t xml:space="preserve">ترابل اتش للمقاولات's opportunity</t>
  </si>
  <si>
    <t xml:space="preserve">ترابل اتش للمقاولات</t>
  </si>
  <si>
    <t xml:space="preserve">20:18</t>
  </si>
  <si>
    <t xml:space="preserve">سفتي سايت للمقاولات's opportunity</t>
  </si>
  <si>
    <t xml:space="preserve">سفتي سايت للمقاولات</t>
  </si>
  <si>
    <t xml:space="preserve">15:19</t>
  </si>
  <si>
    <t xml:space="preserve">محمد بخيت عبيد سالم</t>
  </si>
  <si>
    <t xml:space="preserve">اساس انترناشيونال للاستشارات</t>
  </si>
  <si>
    <t xml:space="preserve">15:39</t>
  </si>
  <si>
    <t xml:space="preserve">روزنامة للمقاولات</t>
  </si>
  <si>
    <t xml:space="preserve">خالد الزعابي</t>
  </si>
  <si>
    <t xml:space="preserve">18:40</t>
  </si>
  <si>
    <t xml:space="preserve">محمد سالم الخميري's opportunity</t>
  </si>
  <si>
    <t xml:space="preserve">محمد سالم الخميري</t>
  </si>
  <si>
    <t xml:space="preserve">اراك للاستشارات</t>
  </si>
  <si>
    <t xml:space="preserve">الإمارات والنصر للمباني والانشأت</t>
  </si>
  <si>
    <t xml:space="preserve">18:53</t>
  </si>
  <si>
    <t xml:space="preserve">فرصة محمد الحارثي سوشيال ٩</t>
  </si>
  <si>
    <t xml:space="preserve">محمد الحارثي سوشيال ٩</t>
  </si>
  <si>
    <t xml:space="preserve">اماكن</t>
  </si>
  <si>
    <t xml:space="preserve">Social Media, تكييف, مصعد</t>
  </si>
  <si>
    <t xml:space="preserve">19:00</t>
  </si>
  <si>
    <t xml:space="preserve">Qualified</t>
  </si>
  <si>
    <t xml:space="preserve">فرصة ناصر المرزوقي الرياض</t>
  </si>
  <si>
    <t xml:space="preserve">ناصر المرزوقي الرياض</t>
  </si>
  <si>
    <t xml:space="preserve">بالانس</t>
  </si>
  <si>
    <t xml:space="preserve">فناء المدينة</t>
  </si>
  <si>
    <t xml:space="preserve">19:05</t>
  </si>
  <si>
    <t xml:space="preserve">م اثيل w&amp;mللاستشارات</t>
  </si>
  <si>
    <t xml:space="preserve">19:09</t>
  </si>
  <si>
    <t xml:space="preserve">د٠م محمد فؤاد ابني بيتك للمقاولات</t>
  </si>
  <si>
    <t xml:space="preserve">ابني بيتك للمقاولات</t>
  </si>
  <si>
    <t xml:space="preserve">19:10</t>
  </si>
  <si>
    <t xml:space="preserve">م ابراهيم الصاوي طارق السعدي للمقاولات</t>
  </si>
  <si>
    <t xml:space="preserve">طارق السعدي</t>
  </si>
  <si>
    <t xml:space="preserve">خرسانه للمقاولات العامة's opportunity</t>
  </si>
  <si>
    <t xml:space="preserve">خرسانه للمقاولات العامة</t>
  </si>
  <si>
    <t xml:space="preserve">اتوكاد للاستشارات الهندسية</t>
  </si>
  <si>
    <t xml:space="preserve">لم اتش للاستشارات الهندسية's opportunity</t>
  </si>
  <si>
    <t xml:space="preserve">لم اتش للاستشارات الهندسية</t>
  </si>
  <si>
    <t xml:space="preserve">قلعة حماه للمقاولات العامة's opportunity</t>
  </si>
  <si>
    <t xml:space="preserve">قلعة حماه للمقاولات العامة</t>
  </si>
  <si>
    <t xml:space="preserve">استون ماستر للمقاولات العامة's opportuni</t>
  </si>
  <si>
    <t xml:space="preserve">استون ماستر للمقاولات العامة</t>
  </si>
  <si>
    <t xml:space="preserve">20:23</t>
  </si>
  <si>
    <t xml:space="preserve">بداما للمقاولات العامة's opportunity</t>
  </si>
  <si>
    <t xml:space="preserve">بداما للمقاولات العامة</t>
  </si>
  <si>
    <t xml:space="preserve">12:59</t>
  </si>
  <si>
    <t xml:space="preserve">اول الحرمين للمقاولات العامه</t>
  </si>
  <si>
    <t xml:space="preserve">شركه مقاولات عامه</t>
  </si>
  <si>
    <t xml:space="preserve">13:14</t>
  </si>
  <si>
    <t xml:space="preserve">مني سعيد حمد السناني</t>
  </si>
  <si>
    <t xml:space="preserve">الشامخه للاستشارات</t>
  </si>
  <si>
    <t xml:space="preserve">ميرونيان بالاس للمقاولات العامه</t>
  </si>
  <si>
    <t xml:space="preserve">16:23</t>
  </si>
  <si>
    <t xml:space="preserve">الامير للاستشارات الهندسية- اوتاد المتكا</t>
  </si>
  <si>
    <t xml:space="preserve">الامير للاستشارات الهندسية</t>
  </si>
  <si>
    <t xml:space="preserve">مكتب الامير للاستشارات الهندسية</t>
  </si>
  <si>
    <t xml:space="preserve">اوتاد المتكاملة للمقاولات العامة</t>
  </si>
  <si>
    <t xml:space="preserve">الصدي الذهبي للمقاولات العامة- فيوتشر بي</t>
  </si>
  <si>
    <t xml:space="preserve">الصدي الذهبي للمقاولات العامة</t>
  </si>
  <si>
    <t xml:space="preserve">فيوتشر بيلد للاستشارات الهندسية</t>
  </si>
  <si>
    <t xml:space="preserve">الصدي الذهبي للمقاولات</t>
  </si>
  <si>
    <t xml:space="preserve">16:43</t>
  </si>
  <si>
    <t xml:space="preserve">شام للتصميم والاستشارات الهندسية - غمزة </t>
  </si>
  <si>
    <t xml:space="preserve">شام للتصميم والاستشارات الهندسية</t>
  </si>
  <si>
    <t xml:space="preserve">غمزة للمقاولات العامة</t>
  </si>
  <si>
    <t xml:space="preserve">16:50</t>
  </si>
  <si>
    <t xml:space="preserve">سراديب للاستشارات الهندسية - محمد العواب</t>
  </si>
  <si>
    <t xml:space="preserve">سراديب للاستشارات الهندسية -</t>
  </si>
  <si>
    <t xml:space="preserve">مكتب سراديب للاستشارات الهندسية</t>
  </si>
  <si>
    <t xml:space="preserve">محمد العوابد للمقاولات العامة</t>
  </si>
  <si>
    <t xml:space="preserve">16:54</t>
  </si>
  <si>
    <t xml:space="preserve">غمزة للمقاولات العامة - ابراهيم الحمادي-</t>
  </si>
  <si>
    <t xml:space="preserve">مكتب الغربية للاستشارات الهندسية</t>
  </si>
  <si>
    <t xml:space="preserve">16:56</t>
  </si>
  <si>
    <t xml:space="preserve">ظلال للاستشارات الهندسيه- رويال بروجكت ل</t>
  </si>
  <si>
    <t xml:space="preserve">ظلال للاستشارات الهندسيه</t>
  </si>
  <si>
    <t xml:space="preserve">رويال بروجكت للمقاولات</t>
  </si>
  <si>
    <t xml:space="preserve">17:02</t>
  </si>
  <si>
    <t xml:space="preserve">البيت الحديث للاستشارات-  الدمين للمقاول</t>
  </si>
  <si>
    <t xml:space="preserve">البيت الحديث للاستشارات</t>
  </si>
  <si>
    <t xml:space="preserve">مكتب البيت الحديث للاستشارات اله</t>
  </si>
  <si>
    <t xml:space="preserve">الدمين للمقاولات العامة</t>
  </si>
  <si>
    <t xml:space="preserve">17:09</t>
  </si>
  <si>
    <t xml:space="preserve">غلوري للاستشارات الهندسيه- سيستم تيم للم</t>
  </si>
  <si>
    <t xml:space="preserve">غلوري للاستشارات الهندسيه</t>
  </si>
  <si>
    <t xml:space="preserve">سيستم تيم للمقاولات العامة</t>
  </si>
  <si>
    <t xml:space="preserve">17:12</t>
  </si>
  <si>
    <t xml:space="preserve">سمبليفاي للمقاولات العامة- لمسات المعمار</t>
  </si>
  <si>
    <t xml:space="preserve">سمبليفاي للمقاولات العامة</t>
  </si>
  <si>
    <t xml:space="preserve">لمسات اعمارية</t>
  </si>
  <si>
    <t xml:space="preserve">سمبليفاي للمقاولات</t>
  </si>
  <si>
    <t xml:space="preserve">سعيد الجابري</t>
  </si>
  <si>
    <t xml:space="preserve">17:46</t>
  </si>
  <si>
    <t xml:space="preserve">اريكوم للاستشارات</t>
  </si>
  <si>
    <t xml:space="preserve">الامارا ت لاين للمقاولات العامة</t>
  </si>
  <si>
    <t xml:space="preserve">الامارات لاين للمقاولات العامة</t>
  </si>
  <si>
    <t xml:space="preserve">الامارات لاين</t>
  </si>
  <si>
    <t xml:space="preserve">18:51</t>
  </si>
  <si>
    <t xml:space="preserve">مكتب اية سي للاستشارات الهندسية</t>
  </si>
  <si>
    <t xml:space="preserve">اية سي للاستشارات الهندسية</t>
  </si>
  <si>
    <t xml:space="preserve">المندوب لم يكتب: اسم العميل، Plot Number، المقاول، مرفقات، ملاحظات  (5 خانة ناقصة)</t>
  </si>
  <si>
    <t xml:space="preserve">18:56</t>
  </si>
  <si>
    <t xml:space="preserve">المجيمر للمقاولات- اكسبو للاستشارات الهن</t>
  </si>
  <si>
    <t xml:space="preserve">المجيمر للمقاولات</t>
  </si>
  <si>
    <t xml:space="preserve">اكسبو للاستشارات الهندسية</t>
  </si>
  <si>
    <t xml:space="preserve">مكتب المجيمر للمقاولات العامه</t>
  </si>
  <si>
    <t xml:space="preserve">21:46</t>
  </si>
  <si>
    <t xml:space="preserve">التيسير جروب للمقاولات's opportunity</t>
  </si>
  <si>
    <t xml:space="preserve">التيسير جروب للمقاولات</t>
  </si>
  <si>
    <t xml:space="preserve">21:48</t>
  </si>
  <si>
    <t xml:space="preserve">الفابيتا للاستشارات الهندسية's opportuni</t>
  </si>
  <si>
    <t xml:space="preserve">الفابيتا للاستشارات الهندسية</t>
  </si>
  <si>
    <t xml:space="preserve">21:52</t>
  </si>
  <si>
    <t xml:space="preserve">18:09</t>
  </si>
  <si>
    <t xml:space="preserve">فرصة م حسن ظلال للاستشارات</t>
  </si>
  <si>
    <t xml:space="preserve">م حسن ظلال للاستشارات</t>
  </si>
  <si>
    <t xml:space="preserve">ظلال للاستشارات</t>
  </si>
  <si>
    <t xml:space="preserve">11:42</t>
  </si>
  <si>
    <t xml:space="preserve">تارجيت للاستشارات الهندسية- الارائك للمق</t>
  </si>
  <si>
    <t xml:space="preserve">الارائك للمقاولات</t>
  </si>
  <si>
    <t xml:space="preserve">ابوالسعود المرزوقي</t>
  </si>
  <si>
    <t xml:space="preserve">14:56</t>
  </si>
  <si>
    <t xml:space="preserve">البيت الحديث للاستشارات الهندسية- لوسيدا</t>
  </si>
  <si>
    <t xml:space="preserve">لوسيدا</t>
  </si>
  <si>
    <t xml:space="preserve">15:01</t>
  </si>
  <si>
    <t xml:space="preserve">اركال للاستشارات- كوفنتري للمقاولات</t>
  </si>
  <si>
    <t xml:space="preserve">كوفنترى للمقاولات</t>
  </si>
  <si>
    <t xml:space="preserve">تكييف, مواقع</t>
  </si>
  <si>
    <t xml:space="preserve">ريتشموند- ماكس ديزاين</t>
  </si>
  <si>
    <t xml:space="preserve">ريتشموند</t>
  </si>
  <si>
    <t xml:space="preserve">ريتشموند للمقاولات</t>
  </si>
  <si>
    <t xml:space="preserve">النشمي للاستشاراتالهندسية - ابو عاشر للم</t>
  </si>
  <si>
    <t xml:space="preserve">ابو عاشر للمقاولات</t>
  </si>
  <si>
    <t xml:space="preserve">16:57</t>
  </si>
  <si>
    <t xml:space="preserve">ريهام الخليج للمقاولات- باتنت للاستشارات</t>
  </si>
  <si>
    <t xml:space="preserve">ريهام الخليج للمقاولات</t>
  </si>
  <si>
    <t xml:space="preserve">باتنت للاستشارات الهندسية</t>
  </si>
  <si>
    <t xml:space="preserve">ام الثوب/ العقل للمقاولات's opportunity</t>
  </si>
  <si>
    <t xml:space="preserve">ام الثوب/ العقل للمقاولات</t>
  </si>
  <si>
    <t xml:space="preserve">المكتب الاستشارى المتحد</t>
  </si>
  <si>
    <t xml:space="preserve">العقل للمقاولات العامة</t>
  </si>
  <si>
    <t xml:space="preserve">23:05</t>
  </si>
  <si>
    <t xml:space="preserve">ماجد المرزوقي</t>
  </si>
  <si>
    <t xml:space="preserve">23:07</t>
  </si>
  <si>
    <t xml:space="preserve">جاسم المرزوقي</t>
  </si>
  <si>
    <t xml:space="preserve">23:50</t>
  </si>
  <si>
    <t xml:space="preserve">فرصة م اسامه براكسيز للمقاولات</t>
  </si>
  <si>
    <t xml:space="preserve">م اسامه براكسيز للمقاولات</t>
  </si>
  <si>
    <t xml:space="preserve">23:52</t>
  </si>
  <si>
    <t xml:space="preserve">فرصة م عادل دوسلدورف للمقاولات</t>
  </si>
  <si>
    <t xml:space="preserve">م عادل دوسلدورف للمقاولات</t>
  </si>
  <si>
    <t xml:space="preserve">دوسلدورف</t>
  </si>
  <si>
    <t xml:space="preserve">14:36</t>
  </si>
  <si>
    <t xml:space="preserve">م عمر  ام سلطان</t>
  </si>
  <si>
    <t xml:space="preserve">14:37</t>
  </si>
  <si>
    <t xml:space="preserve">الاصلاحات للمقاولات</t>
  </si>
  <si>
    <t xml:space="preserve">المندوب لم يكتب: اسم العميل، Plot Number، مرفقات، Source، ملاحظات  (5 خانة ناقصة)</t>
  </si>
  <si>
    <t xml:space="preserve">بيت الخبره للاستشارات</t>
  </si>
  <si>
    <t xml:space="preserve">ارجان للانشاءات</t>
  </si>
  <si>
    <t xml:space="preserve">14:48</t>
  </si>
  <si>
    <t xml:space="preserve">توب تارجت للمقاولات والصيانه العامه</t>
  </si>
  <si>
    <t xml:space="preserve">الحازم للمقاولات</t>
  </si>
  <si>
    <t xml:space="preserve">مسلم العامري</t>
  </si>
  <si>
    <t xml:space="preserve">الهير للمقاولات العامة's opportunity</t>
  </si>
  <si>
    <t xml:space="preserve">الهير للمقاولات العامة</t>
  </si>
  <si>
    <t xml:space="preserve">ترب للمقاولات العامة's opportunity</t>
  </si>
  <si>
    <t xml:space="preserve">ترب للمقاولات العامة</t>
  </si>
  <si>
    <t xml:space="preserve">19:49</t>
  </si>
  <si>
    <t xml:space="preserve">تريب للمقاولات العامة's opportunity</t>
  </si>
  <si>
    <t xml:space="preserve">تريب للمقاولات العامة</t>
  </si>
  <si>
    <t xml:space="preserve">22:10</t>
  </si>
  <si>
    <t xml:space="preserve">فرصة م مراد الاصيل للاستشارات</t>
  </si>
  <si>
    <t xml:space="preserve">م مراد الاصيل للاستشارات</t>
  </si>
  <si>
    <t xml:space="preserve">الاصيل</t>
  </si>
  <si>
    <t xml:space="preserve">22:12</t>
  </si>
  <si>
    <t xml:space="preserve">فرصة م محمد مصطفي الفن الخالد للمقاولات</t>
  </si>
  <si>
    <t xml:space="preserve">م محمد مصطفي الفن الخالد للمقاولات</t>
  </si>
  <si>
    <t xml:space="preserve">الفن الخالد</t>
  </si>
  <si>
    <t xml:space="preserve">فرصة ابوعبدالرحمن عميل معرض شهر ٩</t>
  </si>
  <si>
    <t xml:space="preserve">ابوعبدالرحمن عميل معرض شهر ٩</t>
  </si>
  <si>
    <t xml:space="preserve">معرض, مصعد, مصعد خارجي</t>
  </si>
  <si>
    <t xml:space="preserve">13:15</t>
  </si>
  <si>
    <t xml:space="preserve">فيوتشر ستيب للمقاولات</t>
  </si>
  <si>
    <t xml:space="preserve">يونيفرسال بيلدنج للاستشارات</t>
  </si>
  <si>
    <t xml:space="preserve">ام ناصر الجنيبي سوشيال</t>
  </si>
  <si>
    <t xml:space="preserve">21:14</t>
  </si>
  <si>
    <t xml:space="preserve">21:17</t>
  </si>
  <si>
    <t xml:space="preserve">فخر الأجيال للمقاولات's opportunity</t>
  </si>
  <si>
    <t xml:space="preserve">فخر الأجيال للمقاولات</t>
  </si>
  <si>
    <t xml:space="preserve">21:19</t>
  </si>
  <si>
    <t xml:space="preserve">سات بيس للمقاولات العامة's opportunity</t>
  </si>
  <si>
    <t xml:space="preserve">سات بيس للمقاولات العامة</t>
  </si>
  <si>
    <t xml:space="preserve">غلوري للاستشارات الهندسية's opportunity</t>
  </si>
  <si>
    <t xml:space="preserve">غلوري للاستشارات الهندسية</t>
  </si>
  <si>
    <t xml:space="preserve">21:23</t>
  </si>
  <si>
    <t xml:space="preserve">الوتد للمقاولات العامة's opportunity</t>
  </si>
  <si>
    <t xml:space="preserve">الوتد للمقاولات العامة</t>
  </si>
  <si>
    <t xml:space="preserve">22:21</t>
  </si>
  <si>
    <t xml:space="preserve">عبدالله الكعبي النود's opportunity</t>
  </si>
  <si>
    <t xml:space="preserve">عبدالله الكعبي النود</t>
  </si>
  <si>
    <t xml:space="preserve">22:23</t>
  </si>
  <si>
    <t xml:space="preserve">احمد الكعبي شعبه الوطاه's opportunity</t>
  </si>
  <si>
    <t xml:space="preserve">احمد الكعبي شعبه الوطاه</t>
  </si>
  <si>
    <t xml:space="preserve">شعبه الوطاه</t>
  </si>
  <si>
    <t xml:space="preserve">الحرمون للمقاولات</t>
  </si>
  <si>
    <t xml:space="preserve">22:30</t>
  </si>
  <si>
    <t xml:space="preserve">فهد الشامسي's opportunity</t>
  </si>
  <si>
    <t xml:space="preserve">فهد الشامسي</t>
  </si>
  <si>
    <t xml:space="preserve">social Media</t>
  </si>
  <si>
    <t xml:space="preserve">المندوب لم يكتب: Plot Number، الاستشاري، المقاول، Tags، مرفقات، ملاحظات  (6 خانة ناقصة)</t>
  </si>
  <si>
    <t xml:space="preserve">التميز الهندسي للمقاولات's opportunity</t>
  </si>
  <si>
    <t xml:space="preserve">رويال دوم للاستشارات</t>
  </si>
  <si>
    <t xml:space="preserve">القصور المتكامله للمقاولات</t>
  </si>
  <si>
    <t xml:space="preserve">14:25</t>
  </si>
  <si>
    <t xml:space="preserve">الشيخ هزاع بن طحنون's opportunity</t>
  </si>
  <si>
    <t xml:space="preserve">الشيخ هزاع بن طحنون</t>
  </si>
  <si>
    <t xml:space="preserve">حمد احمد حسن الحمادي</t>
  </si>
  <si>
    <t xml:space="preserve">لشلان للمقاولات العامه</t>
  </si>
  <si>
    <t xml:space="preserve">عميل معرض</t>
  </si>
  <si>
    <t xml:space="preserve">Follw -up</t>
  </si>
  <si>
    <t xml:space="preserve">محمد الحوسني معرض</t>
  </si>
  <si>
    <t xml:space="preserve">17:22</t>
  </si>
  <si>
    <t xml:space="preserve">فرصة م صلاح بروتك للمقاولات</t>
  </si>
  <si>
    <t xml:space="preserve">م صلاح بروتك للمقاولات</t>
  </si>
  <si>
    <t xml:space="preserve">بروتك للمقاولات</t>
  </si>
  <si>
    <t xml:space="preserve">مصعد, مكتب مقاولات, مواقع</t>
  </si>
  <si>
    <t xml:space="preserve">17:31</t>
  </si>
  <si>
    <t xml:space="preserve">ورده البريكي \اكاد للاستشارات</t>
  </si>
  <si>
    <t xml:space="preserve">51</t>
  </si>
  <si>
    <t xml:space="preserve">ونتر</t>
  </si>
  <si>
    <t xml:space="preserve">مالك, مصعد</t>
  </si>
  <si>
    <t xml:space="preserve">المندوب لم يكتب: مرفقات، Source  (2 خانة ناقصة)</t>
  </si>
  <si>
    <t xml:space="preserve">17:32</t>
  </si>
  <si>
    <t xml:space="preserve">م محمد باكير الحكيم الاول للاستشارات</t>
  </si>
  <si>
    <t xml:space="preserve">فرصة م عماد الحكيم الاول للاستشارات</t>
  </si>
  <si>
    <t xml:space="preserve">م عماد الحكيم الاول للاستشارات</t>
  </si>
  <si>
    <t xml:space="preserve">موديرن ديزاين</t>
  </si>
  <si>
    <t xml:space="preserve">تكييف, مكتب استشارات, مكتب مقاولات</t>
  </si>
  <si>
    <t xml:space="preserve">18:41</t>
  </si>
  <si>
    <t xml:space="preserve">مكتب كنزو للمقاولات العامة's opportunity</t>
  </si>
  <si>
    <t xml:space="preserve">مكتب كنزو للمقاولات العامة</t>
  </si>
  <si>
    <t xml:space="preserve">كنزو للمقاولات العامة</t>
  </si>
  <si>
    <t xml:space="preserve">مبارك الشامسي's opportunity</t>
  </si>
  <si>
    <t xml:space="preserve">مبارك الشامسي</t>
  </si>
  <si>
    <t xml:space="preserve">19:50</t>
  </si>
  <si>
    <t xml:space="preserve">تعمير بلس للمقاولات's opportunity</t>
  </si>
  <si>
    <t xml:space="preserve">تعمير بلس للمقاولات</t>
  </si>
  <si>
    <t xml:space="preserve">شام للاستشارات الهندسية's opportunity</t>
  </si>
  <si>
    <t xml:space="preserve">التخطيط الحديث للمقاولات's opportunity</t>
  </si>
  <si>
    <t xml:space="preserve">20:31</t>
  </si>
  <si>
    <t xml:space="preserve">البحري للاستشارات الهندسية's opportunity</t>
  </si>
  <si>
    <t xml:space="preserve">مكتب فراس للاستشارات الهندسية's opportun</t>
  </si>
  <si>
    <t xml:space="preserve">الشام للاستشارات</t>
  </si>
  <si>
    <t xml:space="preserve">15:50</t>
  </si>
  <si>
    <t xml:space="preserve">الاشفاق للمقاولات والنقليات العامه</t>
  </si>
  <si>
    <t xml:space="preserve">R16</t>
  </si>
  <si>
    <t xml:space="preserve">زوايا للاستشارات الهندسيه</t>
  </si>
  <si>
    <t xml:space="preserve">الاشفاق لللمقاولات والنقليات الع</t>
  </si>
  <si>
    <t xml:space="preserve">مصاعد  مكيفات</t>
  </si>
  <si>
    <t xml:space="preserve">فرصة م عبدالكريم فيرست تشويس للاستشارات</t>
  </si>
  <si>
    <t xml:space="preserve">م عبدالكريم فيرست تشويس للاستشارات</t>
  </si>
  <si>
    <t xml:space="preserve">فيرست تشويس</t>
  </si>
  <si>
    <t xml:space="preserve">متعاقد, مكتب استشارات, مصعد</t>
  </si>
  <si>
    <t xml:space="preserve">المندوب لم يكتب: Plot Number، المقاول، مرفقات، Source  (4 خانة ناقصة)</t>
  </si>
  <si>
    <t xml:space="preserve">م وليد عبدالسلام اوتيست للمقاولات</t>
  </si>
  <si>
    <t xml:space="preserve">اوتيست</t>
  </si>
  <si>
    <t xml:space="preserve">متعاقد, مكتب مقاولات</t>
  </si>
  <si>
    <t xml:space="preserve">فيصل عبيد قمبر</t>
  </si>
  <si>
    <t xml:space="preserve">١٠٤</t>
  </si>
  <si>
    <t xml:space="preserve">نوع السجل</t>
  </si>
  <si>
    <t xml:space="preserve">نوع النشاط</t>
  </si>
  <si>
    <t xml:space="preserve">عدد الحروف</t>
  </si>
  <si>
    <t xml:space="preserve">مستوى التفاصيل</t>
  </si>
  <si>
    <t xml:space="preserve">نص الأكشن (أول ٥٠ حرف)</t>
  </si>
  <si>
    <t xml:space="preserve">09:58</t>
  </si>
  <si>
    <t xml:space="preserve">نشاط منفذ</t>
  </si>
  <si>
    <t xml:space="preserve">Site Visit</t>
  </si>
  <si>
    <t xml:space="preserve">تفصيلي</t>
  </si>
  <si>
    <t xml:space="preserve">تم زيارة الموقع في مرحلة الخرسانة ويوجد مصعد وتم ا</t>
  </si>
  <si>
    <t xml:space="preserve">10:21</t>
  </si>
  <si>
    <t xml:space="preserve">Meeting</t>
  </si>
  <si>
    <t xml:space="preserve">تم زيارة المكتب ومقابلة المدير وتم مناقشة احد المش</t>
  </si>
  <si>
    <t xml:space="preserve">11:09</t>
  </si>
  <si>
    <t xml:space="preserve">تم زيار ة الموقع ومقابلة المقاول وهو نفسه المالك و</t>
  </si>
  <si>
    <t xml:space="preserve">11:29</t>
  </si>
  <si>
    <t xml:space="preserve">تم زيارة الموقع للمتابعة والمشروع شبه متوقف وتم ال</t>
  </si>
  <si>
    <t xml:space="preserve">الاجتماع تم : تم التواصل واتس اب والاستفسار عن سما</t>
  </si>
  <si>
    <t xml:space="preserve">11:56</t>
  </si>
  <si>
    <t xml:space="preserve">تم زيارة المكتب ومقابلة السكريتير وقال المدير مساف</t>
  </si>
  <si>
    <t xml:space="preserve">11:58</t>
  </si>
  <si>
    <t xml:space="preserve">تم زيارة المكتب ومقابلة المنندس عمر وقال مهندس محم</t>
  </si>
  <si>
    <t xml:space="preserve">13:36</t>
  </si>
  <si>
    <t xml:space="preserve">Call</t>
  </si>
  <si>
    <t xml:space="preserve">تم الاتصال بمكتب الاستشاري وقال لسه المطورن موقف ا</t>
  </si>
  <si>
    <t xml:space="preserve">WhatsApp</t>
  </si>
  <si>
    <t xml:space="preserve">WhatsApp done Original note: تم النتهاء من التؤكيب</t>
  </si>
  <si>
    <t xml:space="preserve">14:09</t>
  </si>
  <si>
    <t xml:space="preserve">Call done Original note: تم التواصل والمتابعه وقال</t>
  </si>
  <si>
    <t xml:space="preserve">14:12</t>
  </si>
  <si>
    <t xml:space="preserve">Call done Original note: تم التواصل ولم يرد وسيت م</t>
  </si>
  <si>
    <t xml:space="preserve">14:14</t>
  </si>
  <si>
    <t xml:space="preserve">To Do</t>
  </si>
  <si>
    <t xml:space="preserve">To Do done Original note: تم دفع 5000 ودا الايصال </t>
  </si>
  <si>
    <t xml:space="preserve">14:15</t>
  </si>
  <si>
    <t xml:space="preserve">Call done Original note: تم التواصل والمتابعه مع ا</t>
  </si>
  <si>
    <t xml:space="preserve">14:17</t>
  </si>
  <si>
    <t xml:space="preserve">To Do done Original note: تم تسليم المصعد</t>
  </si>
  <si>
    <t xml:space="preserve">14:18</t>
  </si>
  <si>
    <t xml:space="preserve">تم الاتصال بالمقاول وقال المالك وقع مع شركة اخري و</t>
  </si>
  <si>
    <t xml:space="preserve">14:26</t>
  </si>
  <si>
    <t xml:space="preserve">WhatsApp done Original note: تم التواصل عن طريق ال</t>
  </si>
  <si>
    <t xml:space="preserve">14:30</t>
  </si>
  <si>
    <t xml:space="preserve">تم المقابله ودفع 4000 درهم من باقي قيمه المصعد وهي</t>
  </si>
  <si>
    <t xml:space="preserve">Call done Original note: تم اعتماد الديكور من دون </t>
  </si>
  <si>
    <t xml:space="preserve">Call done Original note: تم اعتماد مواصفات التصنيع</t>
  </si>
  <si>
    <t xml:space="preserve">14:40</t>
  </si>
  <si>
    <t xml:space="preserve">WhatsApp done Original note: تم التواصل ع الواتس ا</t>
  </si>
  <si>
    <t xml:space="preserve">14:41</t>
  </si>
  <si>
    <t xml:space="preserve">WhatsApp done Original note: تم التواصل وقال لسه م</t>
  </si>
  <si>
    <t xml:space="preserve">الاجتماع تم : تم التواصل ووعد ان خلال الشهر بيتم ا</t>
  </si>
  <si>
    <t xml:space="preserve">الاجتماع تم : تم التواصل لمتابعه عرض سعر المصعد وت</t>
  </si>
  <si>
    <t xml:space="preserve">مختصر</t>
  </si>
  <si>
    <t xml:space="preserve">الدوام من المكتب لمتابعة عروض الاسعار</t>
  </si>
  <si>
    <t xml:space="preserve">18:32</t>
  </si>
  <si>
    <t xml:space="preserve">تم عمل ملحق عقد بقيمة 10000 درهم لزيادة 4 طن</t>
  </si>
  <si>
    <t xml:space="preserve">18:33</t>
  </si>
  <si>
    <t xml:space="preserve">المالك مسافر وسيتم التواصل بعد الرجوع</t>
  </si>
  <si>
    <t xml:space="preserve">18:34</t>
  </si>
  <si>
    <t xml:space="preserve">تم التواصل مع المالك وستتم المتابعة مع مهندس شريف </t>
  </si>
  <si>
    <t xml:space="preserve">18:35</t>
  </si>
  <si>
    <t xml:space="preserve">تم عمل تعديل بعد مكالمة جماعية مع مهندس اسلام ومهن</t>
  </si>
  <si>
    <t xml:space="preserve">20:03</t>
  </si>
  <si>
    <t xml:space="preserve">زياره الموقع ومقابله المالك ومهندس سيد والكهربائي</t>
  </si>
  <si>
    <t xml:space="preserve">21:05</t>
  </si>
  <si>
    <t xml:space="preserve">تم مقابلة مهندس سام وتم ارسال اللينك واتساب</t>
  </si>
  <si>
    <t xml:space="preserve">21:45</t>
  </si>
  <si>
    <t xml:space="preserve">الاجتماع تم : تم زياره للمكتب وانتظار م ياسر وعدم </t>
  </si>
  <si>
    <t xml:space="preserve">21:49</t>
  </si>
  <si>
    <t xml:space="preserve">الاجتماع تم : نم زياره للمكتب ومقابله م عمر وعدم ت</t>
  </si>
  <si>
    <t xml:space="preserve">الاجتماع تم : تم زياره للمكتب ومقابله م عمر وتم بح</t>
  </si>
  <si>
    <t xml:space="preserve">10:06</t>
  </si>
  <si>
    <t xml:space="preserve">تم زيارة الموقع للتاكد من جاهزية الموقع ولكن الباي</t>
  </si>
  <si>
    <t xml:space="preserve">ملاحظة</t>
  </si>
  <si>
    <t xml:space="preserve">مختصر جداً / فارغ</t>
  </si>
  <si>
    <t xml:space="preserve">10:36</t>
  </si>
  <si>
    <t xml:space="preserve">تم زيارة الموقع لمتابعة عروض الاسعار وتم توقيع عقد</t>
  </si>
  <si>
    <t xml:space="preserve">11:01</t>
  </si>
  <si>
    <t xml:space="preserve">تم زيارة الموقع في مرحلة الاساسات وتم الاتصال بالم</t>
  </si>
  <si>
    <t xml:space="preserve">12:30</t>
  </si>
  <si>
    <t xml:space="preserve">تم الاتصال من المالك طلب اجتماع غدا بالموقع لمقابل</t>
  </si>
  <si>
    <t xml:space="preserve">تم الاتصال بالمالك وقال محتاج يعمل معاينة لمصعد فو</t>
  </si>
  <si>
    <t xml:space="preserve">To Do done</t>
  </si>
  <si>
    <t xml:space="preserve">13:09</t>
  </si>
  <si>
    <t xml:space="preserve">الاجتماع تم : عميل من داتا استاذ فراس تم التواصل و</t>
  </si>
  <si>
    <t xml:space="preserve">13:11</t>
  </si>
  <si>
    <t xml:space="preserve">الاجتماع تم : تمت زياره للمكتب وعدم تواجد م حسن وم</t>
  </si>
  <si>
    <t xml:space="preserve">13:13</t>
  </si>
  <si>
    <t xml:space="preserve">الاجتماع تم : تمت زياره للمكتب ومقابله م ياسر ومنا</t>
  </si>
  <si>
    <t xml:space="preserve">13:17</t>
  </si>
  <si>
    <t xml:space="preserve">الاجتماع تم : تمت زياره للمكتب لمتابعه التحصيل وعم</t>
  </si>
  <si>
    <t xml:space="preserve">13:48</t>
  </si>
  <si>
    <t xml:space="preserve">الاجتماع تم : عميل خال العميل بدر الكندي بيستفسر ع</t>
  </si>
  <si>
    <t xml:space="preserve">13:49</t>
  </si>
  <si>
    <t xml:space="preserve">الاجتماع تم : تم زياره الموقع اليوم لمتابعه الموقع</t>
  </si>
  <si>
    <t xml:space="preserve">13:52</t>
  </si>
  <si>
    <t xml:space="preserve">الاجتماع تم : تم زياره الموقع ومقابله المقاول لمتا</t>
  </si>
  <si>
    <t xml:space="preserve">تم زيارة المكتب ومقابلة استاذ مصطفى .. حاج رمضان ف</t>
  </si>
  <si>
    <t xml:space="preserve">14:04</t>
  </si>
  <si>
    <t xml:space="preserve">تم مقابلة مهندس محمد الفاتح وارسال البروفايل واتسا</t>
  </si>
  <si>
    <t xml:space="preserve">14:11</t>
  </si>
  <si>
    <t xml:space="preserve">الاجتماع تم : زياره الموقع لملاحظات والارسال للعمي</t>
  </si>
  <si>
    <t xml:space="preserve">15:31</t>
  </si>
  <si>
    <t xml:space="preserve">تم التواصل بالواتس اب مع المقاول وارسل عرض سعر تكي</t>
  </si>
  <si>
    <t xml:space="preserve">18:21</t>
  </si>
  <si>
    <t xml:space="preserve">تم ارسال ٣ مخططات ٣ عروض اسعار تكيف و ٣ عروض اسعار</t>
  </si>
  <si>
    <t xml:space="preserve">زيارة الموقع وتم الاتصال على مهندس عبدالله متابعة </t>
  </si>
  <si>
    <t xml:space="preserve">زيارة الموقع ومقابلة المهندس عمر متابعة موقع العمي</t>
  </si>
  <si>
    <t xml:space="preserve">زيارة الموقع للمعاينة موقع صالح الكعبي</t>
  </si>
  <si>
    <t xml:space="preserve">مقابله الاستاذ صالح الكعبي وتم توقيع عقد مصعد</t>
  </si>
  <si>
    <t xml:space="preserve">تم التواصل مع المقاول بالواتس اب وارسل مخطط مصعد و</t>
  </si>
  <si>
    <t xml:space="preserve">11:49</t>
  </si>
  <si>
    <t xml:space="preserve">المالك طارق الكثيري - معرض - 8 - 2026 تم التواصل و</t>
  </si>
  <si>
    <t xml:space="preserve">11:50</t>
  </si>
  <si>
    <t xml:space="preserve">To Do done Original note: تم التواصل ومتابعه وف ان</t>
  </si>
  <si>
    <t xml:space="preserve">11:53</t>
  </si>
  <si>
    <t xml:space="preserve">Call done Original note: تم التواصل ولم ىيرد وسيتم</t>
  </si>
  <si>
    <t xml:space="preserve">11:54</t>
  </si>
  <si>
    <t xml:space="preserve">To Do done Original note: تم التواصل ولم يرد وسيتم</t>
  </si>
  <si>
    <t xml:space="preserve">12:42</t>
  </si>
  <si>
    <t xml:space="preserve">الاجتماع تم : تمت زياره للمكتب ومقابله م ياسر وتسل</t>
  </si>
  <si>
    <t xml:space="preserve">12:44</t>
  </si>
  <si>
    <t xml:space="preserve">الاجتماع تم : تمت زياره للمكتب ومقابله ابوسلطان وم</t>
  </si>
  <si>
    <t xml:space="preserve">الاجتماع تم : تمت زياره للمكتب وعدم تواجد م محمد و</t>
  </si>
  <si>
    <t xml:space="preserve">15:22</t>
  </si>
  <si>
    <t xml:space="preserve">مكالمة تم : تم التواصل مع المهندس والمحاسب لتحصيل </t>
  </si>
  <si>
    <t xml:space="preserve">19:18</t>
  </si>
  <si>
    <t xml:space="preserve">الدوام من المعرض لمتابعة عروض الاسعار .. وتم مقابل</t>
  </si>
  <si>
    <t xml:space="preserve">23:16</t>
  </si>
  <si>
    <t xml:space="preserve">تم مقابلة مهندسة ايمان وسيتم ارسال مشروع لتسعير ال</t>
  </si>
  <si>
    <t xml:space="preserve">23:19</t>
  </si>
  <si>
    <t xml:space="preserve">تم مقابلة صاحب الشركة والمهندس المسؤول عن الموقع..</t>
  </si>
  <si>
    <t xml:space="preserve">23:23</t>
  </si>
  <si>
    <t xml:space="preserve">تم مقابلة مهندس ساديش وسيتم ارسال مشروع لعمل عرض س</t>
  </si>
  <si>
    <t xml:space="preserve">23:29</t>
  </si>
  <si>
    <t xml:space="preserve">تم مقابلة المدير اشوك وارسال البروفايل وهو سيقوم ب</t>
  </si>
  <si>
    <t xml:space="preserve">23:35</t>
  </si>
  <si>
    <t xml:space="preserve">تم مقابلة مهندس مصطفى ومهندس احمد بيومى/ فيه فندق </t>
  </si>
  <si>
    <t xml:space="preserve">08:49</t>
  </si>
  <si>
    <t xml:space="preserve">Meeting done</t>
  </si>
  <si>
    <t xml:space="preserve">الاجتماع تم : تم التواصل للاستفسار عن بعض الامور و</t>
  </si>
  <si>
    <t xml:space="preserve">22:44</t>
  </si>
  <si>
    <t xml:space="preserve">الاجتماع تم : تم التواصل لمتابعه الاعمال ودفع دفعخ</t>
  </si>
  <si>
    <t xml:space="preserve">22:46</t>
  </si>
  <si>
    <t xml:space="preserve">الاجتماع تم : تم عمل عرض سعر والارسال وتم الاتصال </t>
  </si>
  <si>
    <t xml:space="preserve">تم زيارة الموقع ويوجد 2 مصعد في مرحلة الطابوق تم ر</t>
  </si>
  <si>
    <t xml:space="preserve">11:22</t>
  </si>
  <si>
    <t xml:space="preserve">الاجتماع تم : تمت زياره للمكتب وتحصيل بقيه دفعه ال</t>
  </si>
  <si>
    <t xml:space="preserve">11:24</t>
  </si>
  <si>
    <t xml:space="preserve">الاجتماع تم : تمت زياره للمكتب ومقابله م ذيد وتحصي</t>
  </si>
  <si>
    <t xml:space="preserve">تم زيارة الموقع لمتابعة بعد التعاقد وتم ارسال صورة</t>
  </si>
  <si>
    <t xml:space="preserve">12:07</t>
  </si>
  <si>
    <t xml:space="preserve">تم زيارة الموقع به مصعد بمرحلة الخرسانة وتم الاتصا</t>
  </si>
  <si>
    <t xml:space="preserve">12:11</t>
  </si>
  <si>
    <t xml:space="preserve">تم زيارة الموقع بمرحلة التشطيب ولكن المالك قفل الب</t>
  </si>
  <si>
    <t xml:space="preserve">12:16</t>
  </si>
  <si>
    <t xml:space="preserve">تم زيارة الموقع ولا يوجد مصعد وتم الاتصال بالمقاول</t>
  </si>
  <si>
    <t xml:space="preserve">13:50</t>
  </si>
  <si>
    <t xml:space="preserve">تم التواصل مع العميل يوم الخميس وتم التوقيع والتحو</t>
  </si>
  <si>
    <t xml:space="preserve">15:33</t>
  </si>
  <si>
    <t xml:space="preserve">Site Visit تم : تمت زياره للموقعين ورفع المقاسات ل</t>
  </si>
  <si>
    <t xml:space="preserve">تم مقابلة المالك وسيتم عمل عرض سعر ل 4 بنايات مصاع</t>
  </si>
  <si>
    <t xml:space="preserve">زيارة الموقع ومقابلة المهندس عمر مطلوب عرض سعر مصع</t>
  </si>
  <si>
    <t xml:space="preserve">زيارة الموقع ومقابلة المهندس شاهر متابعة موقع العم</t>
  </si>
  <si>
    <t xml:space="preserve">16:35</t>
  </si>
  <si>
    <t xml:space="preserve">زيارة موقع الاستاذ ثاني الرميثي للمعاينة والمتابعة</t>
  </si>
  <si>
    <t xml:space="preserve">16:39</t>
  </si>
  <si>
    <t xml:space="preserve">الاجتماع تم : تم الاجتماع صباحا بالموقع لمتابعه ال</t>
  </si>
  <si>
    <t xml:space="preserve">زيارة الموقع وتم الاتصال على مهندس قالي اشوف المال</t>
  </si>
  <si>
    <t xml:space="preserve">زياره الموقع حسب الموعد ومقابله م صبري والتواصل مع</t>
  </si>
  <si>
    <t xml:space="preserve">الاجتماع تم : تم الاجتماع بالمعرض والشرح والتفاوض </t>
  </si>
  <si>
    <t xml:space="preserve">زياره الموقع ومعاينه</t>
  </si>
  <si>
    <t xml:space="preserve">الاجتماع تم : م التواصل لتديد موعد للدفه التصنيع و</t>
  </si>
  <si>
    <t xml:space="preserve">الاجتماع تم : ت التواصل لطلب دفع التصنيع واختيار ا</t>
  </si>
  <si>
    <t xml:space="preserve">زياره الموقع ومقابله مهندس عبدالله وتم تقديم البرو</t>
  </si>
  <si>
    <t xml:space="preserve">زياره الموقع ومتابعه مع مهندس امير شركه وردة موده </t>
  </si>
  <si>
    <t xml:space="preserve">16:49</t>
  </si>
  <si>
    <t xml:space="preserve">تم زياره المعرض استاذ ناصر الكعبي وزوجته وتم التوق</t>
  </si>
  <si>
    <t xml:space="preserve">الاجتماع تم : تم التواصل لمتابعه مشروع تكييف علي ا</t>
  </si>
  <si>
    <t xml:space="preserve">تم زيارة الموقع ويوجد مصعد في الخرسانة وتم التواصل</t>
  </si>
  <si>
    <t xml:space="preserve">تم زيارة الموقع لمتابعة عرض السعر وتم عمل المعاينة</t>
  </si>
  <si>
    <t xml:space="preserve">21:13</t>
  </si>
  <si>
    <t xml:space="preserve">تم مقابلة المهندس وارسال البروفايل واتساب .. لا تو</t>
  </si>
  <si>
    <t xml:space="preserve">08:42</t>
  </si>
  <si>
    <t xml:space="preserve">تم التواصل بالواتس اب مع المالك وقال وقع مع شركة ا</t>
  </si>
  <si>
    <t xml:space="preserve">اجتماع الشارقه</t>
  </si>
  <si>
    <t xml:space="preserve">10:00</t>
  </si>
  <si>
    <t xml:space="preserve">تم زيارة الموقع لمتابعة ما بعد البيع وتم عمل المعا</t>
  </si>
  <si>
    <t xml:space="preserve">الاجتماع تم : تم التواصل مع العميل واخبرني ازوره ف</t>
  </si>
  <si>
    <t xml:space="preserve">11:34</t>
  </si>
  <si>
    <t xml:space="preserve">مكالمة تم : تم التواصل مع العميل وطلب معاينه ومقاب</t>
  </si>
  <si>
    <t xml:space="preserve">اتصل بي المقاول وارسل الموقع وتم عمل المعاينة وفي </t>
  </si>
  <si>
    <t xml:space="preserve">تم التواصل مع المالك وتم اختيار الديكور للمصعد</t>
  </si>
  <si>
    <t xml:space="preserve">تم زيارة الموقع وتم عمل المعاينة وارسالها للمالك و</t>
  </si>
  <si>
    <t xml:space="preserve">16:48</t>
  </si>
  <si>
    <t xml:space="preserve">الاجتماع تم : تم زياره المكتب لاستلام الشيك ولم يك</t>
  </si>
  <si>
    <t xml:space="preserve">16:55</t>
  </si>
  <si>
    <t xml:space="preserve">الاجتماع تم : تم عمل اتصالات من الكشف المرسل من اس</t>
  </si>
  <si>
    <t xml:space="preserve">17:01</t>
  </si>
  <si>
    <t xml:space="preserve">تم التواصل مع المقاول وتم الاتصال بالمالك عنده مصع</t>
  </si>
  <si>
    <t xml:space="preserve">17:23</t>
  </si>
  <si>
    <t xml:space="preserve">تم زيارة الموقع ويوجد مصعد في مرحلة الخرسانة ومقاب</t>
  </si>
  <si>
    <t xml:space="preserve">الدوام من المكتب متابعة كشف العقود القديمه تحصيل</t>
  </si>
  <si>
    <t xml:space="preserve">18:39</t>
  </si>
  <si>
    <t xml:space="preserve">تم زياره معرض العين من المالك والاستشاري مهندس محم</t>
  </si>
  <si>
    <t xml:space="preserve">تم االتواصل من مهندس عز الدين وارسال مخطط لعمل عرض</t>
  </si>
  <si>
    <t xml:space="preserve">18:43</t>
  </si>
  <si>
    <t xml:space="preserve">زياره الموقع ومقابله مهندس مصعب حسب الموعد وتم الت</t>
  </si>
  <si>
    <t xml:space="preserve">زياره الموقع ومقابله مهندس مصعب وتم التواصل مع الم</t>
  </si>
  <si>
    <t xml:space="preserve">زياره الموقع مع مهندس مصعب والتواصل مع الاستشاري و</t>
  </si>
  <si>
    <t xml:space="preserve">19:21</t>
  </si>
  <si>
    <t xml:space="preserve">الاجتماع تم : تم التواصل لمتابعه التركيب وطلب الدف</t>
  </si>
  <si>
    <t xml:space="preserve">19:25</t>
  </si>
  <si>
    <t xml:space="preserve">الاجتماع تم : تم الاجتماع بالمنزل للمره ... لاختيا</t>
  </si>
  <si>
    <t xml:space="preserve">19:27</t>
  </si>
  <si>
    <t xml:space="preserve">الاجتماع تم : تم الاتصال وطلب دفعه تركيب الماكينات</t>
  </si>
  <si>
    <t xml:space="preserve">19:28</t>
  </si>
  <si>
    <t xml:space="preserve">تم زيارة المكتب والاجتماع مع على المالود لمناقشة ع</t>
  </si>
  <si>
    <t xml:space="preserve">الاجتماع تم : عقود فراس... تم الاجتماع بالاستشاري </t>
  </si>
  <si>
    <t xml:space="preserve">تم ارسال تعديل عرض السعر عالواتساب</t>
  </si>
  <si>
    <t xml:space="preserve">19:37</t>
  </si>
  <si>
    <t xml:space="preserve">الاجتماع تم : عميل معرض وعنده استفسار عن ملحوظه في</t>
  </si>
  <si>
    <t xml:space="preserve">23:08</t>
  </si>
  <si>
    <t xml:space="preserve">المهام المراد تنفيذها تم : الدوام بمعرض ابو ظبي لم</t>
  </si>
  <si>
    <t xml:space="preserve">23:09</t>
  </si>
  <si>
    <t xml:space="preserve">الاجتماع تم : تمت زياره للمكتب ومقابله م ياسر وطلب</t>
  </si>
  <si>
    <t xml:space="preserve">23:15</t>
  </si>
  <si>
    <t xml:space="preserve">الاجتماع تم : تم التواصل مع المالك وزياره للمعرض م</t>
  </si>
  <si>
    <t xml:space="preserve">مكالمة تم : تم التواصل مع المالك لذياره المعرض وال</t>
  </si>
  <si>
    <t xml:space="preserve">09:00</t>
  </si>
  <si>
    <t xml:space="preserve">تم. يارة الموقع ويوجد 2 مصعد في مرحلة الخرسانة وتم</t>
  </si>
  <si>
    <t xml:space="preserve">09:20</t>
  </si>
  <si>
    <t xml:space="preserve">تم زيارة الموقع ويوجد 3 مصاعد في مرحلة الخرسانة وت</t>
  </si>
  <si>
    <t xml:space="preserve">14:38</t>
  </si>
  <si>
    <t xml:space="preserve">Site Visit تم : تم مقابله المقاول لتوضيح الاعمال ا</t>
  </si>
  <si>
    <t xml:space="preserve">الاجتماع تم : عميل معرض تم الاجتماع به لمده ساعتين</t>
  </si>
  <si>
    <t xml:space="preserve">14:51</t>
  </si>
  <si>
    <t xml:space="preserve">الاجتماع تم : تم الاجتماع بالمكتب والتعريف بسمارت </t>
  </si>
  <si>
    <t xml:space="preserve">14:54</t>
  </si>
  <si>
    <t xml:space="preserve">الاجتماع تم : تم الاجتماع بالمكتب وشرح الخدمات كام</t>
  </si>
  <si>
    <t xml:space="preserve">الاجتماع تم : تم التواصل وارسال مطالبه التسليم ومن</t>
  </si>
  <si>
    <t xml:space="preserve">15:11</t>
  </si>
  <si>
    <t xml:space="preserve">تم زيارة الموقع لمتابعة ما بعد البيع وتمعمل المعاي</t>
  </si>
  <si>
    <t xml:space="preserve">15:14</t>
  </si>
  <si>
    <t xml:space="preserve">15:15</t>
  </si>
  <si>
    <t xml:space="preserve">تم زيارة الموقع لمتابعة ما بعد البيع والموقع مغلق</t>
  </si>
  <si>
    <t xml:space="preserve">15:16</t>
  </si>
  <si>
    <t xml:space="preserve">تم زيارة الموقع لمتابعة ما بعد البيع والباب مغلق</t>
  </si>
  <si>
    <t xml:space="preserve">15:17</t>
  </si>
  <si>
    <t xml:space="preserve">15:18</t>
  </si>
  <si>
    <t xml:space="preserve">تم الاتصال بالمقاول وارسل المخطط وتم مناقشة بعض ال</t>
  </si>
  <si>
    <t xml:space="preserve">Site Visit تم : تم زياره الموقع ومقابله والتفكير م</t>
  </si>
  <si>
    <t xml:space="preserve">Site Visit تم : تمت زياره للموقع ورفع كافه التفاصي</t>
  </si>
  <si>
    <t xml:space="preserve">مكالمة تم : تم التواصل مع المالك وعمل مطالبه بالمر</t>
  </si>
  <si>
    <t xml:space="preserve">الاجتماع تم : تم تحصيل دفعه المرحله الثالثه</t>
  </si>
  <si>
    <t xml:space="preserve">Site Visit تم : تمت زياره للموقع ورفع المقاسات وار</t>
  </si>
  <si>
    <t xml:space="preserve">Site Visit تم : تمت زياره للموقع بمرحله القواعد وس</t>
  </si>
  <si>
    <t xml:space="preserve">16:20</t>
  </si>
  <si>
    <t xml:space="preserve">Site Visit تم : تمت زياره لموقعين تحت الانشاء ومتا</t>
  </si>
  <si>
    <t xml:space="preserve">تم زيارة المكتب ومقابلة المدير وتم مناقشة بعض المش</t>
  </si>
  <si>
    <t xml:space="preserve">تم زيارة المكتب ومقابلة المدير وتم تعريفه ببند سما</t>
  </si>
  <si>
    <t xml:space="preserve">17:11</t>
  </si>
  <si>
    <t xml:space="preserve">زياره الموقع ومقابله مهندس حضرت وجاري عمل الحفرة</t>
  </si>
  <si>
    <t xml:space="preserve">17:13</t>
  </si>
  <si>
    <t xml:space="preserve">زياره المكتب ومقابله مهندس سمير والاتفاق علي كافه </t>
  </si>
  <si>
    <t xml:space="preserve">17:15</t>
  </si>
  <si>
    <t xml:space="preserve">تم ارسال لوكيشن وطلب عرض سعر لتكيف</t>
  </si>
  <si>
    <t xml:space="preserve">تم زيارة المكتب ومقابلة مهندس احمد خليل</t>
  </si>
  <si>
    <t xml:space="preserve">17:36</t>
  </si>
  <si>
    <t xml:space="preserve">تم مقابلة مهندس مصطفى .. وسيتم متابعة بناية جديدة </t>
  </si>
  <si>
    <t xml:space="preserve">17:38</t>
  </si>
  <si>
    <t xml:space="preserve">تم اعتماد الديكور وتم تحويل دفعه تصنيع</t>
  </si>
  <si>
    <t xml:space="preserve">17:39</t>
  </si>
  <si>
    <t xml:space="preserve">دوام من معرض العين متابعات</t>
  </si>
  <si>
    <t xml:space="preserve">19:42</t>
  </si>
  <si>
    <t xml:space="preserve">زيارة المكتب ومقابلة المهندس محمود وتم تسليم مصعد </t>
  </si>
  <si>
    <t xml:space="preserve">زيارة المكتب ومقابلة المهندس محمود متابعة العقود و</t>
  </si>
  <si>
    <t xml:space="preserve">19:45</t>
  </si>
  <si>
    <t xml:space="preserve">زيارة المكتب ومقابلة المهندس باسل متابعة العقود ال</t>
  </si>
  <si>
    <t xml:space="preserve">زيارة المكتب ومقابلة المهندس عمر متابعة موقع حمد ق</t>
  </si>
  <si>
    <t xml:space="preserve">زيارة المكتب ومقابلة المهندس مجتبى متابعة العقود ا</t>
  </si>
  <si>
    <t xml:space="preserve">زيارة المكتب لمتابعة المشاريع القديمه المهندس أحمد</t>
  </si>
  <si>
    <t xml:space="preserve">22:20</t>
  </si>
  <si>
    <t xml:space="preserve">الاجتماع تم : ٩ مكتب / ٥ مقابله / ٢ موقع/ ١ مصعد /</t>
  </si>
  <si>
    <t xml:space="preserve">10:13</t>
  </si>
  <si>
    <t xml:space="preserve">تم زيارة الموقع لمتابعة عرض السعر وتم التواصل مع و</t>
  </si>
  <si>
    <t xml:space="preserve">11:14</t>
  </si>
  <si>
    <t xml:space="preserve">تم زيارة الموقع ويوجد مصعد تم رفع المقاسات وتم الا</t>
  </si>
  <si>
    <t xml:space="preserve">11:35</t>
  </si>
  <si>
    <t xml:space="preserve">تم زيارة الموقع لمتابعة عرض سعر التكييف وتم مقابلة</t>
  </si>
  <si>
    <t xml:space="preserve">Site Visit تم : تم زياره الموقع ومقابله المهندس وا</t>
  </si>
  <si>
    <t xml:space="preserve">تم زيارة الموقع ويوجد مصعد بمرحلة الخرسانة وتم عمل</t>
  </si>
  <si>
    <t xml:space="preserve">Site Visit تم : تم زياره الموقع ومقابله وشرح التفا</t>
  </si>
  <si>
    <t xml:space="preserve">الاجتماع تم : تم الاجتماع اليوم معه بالكتب وايضا م</t>
  </si>
  <si>
    <t xml:space="preserve">الاجتماع تم : تم الاجتماع بالمكتب للمره الاولي لان</t>
  </si>
  <si>
    <t xml:space="preserve">17:44</t>
  </si>
  <si>
    <t xml:space="preserve">الاجتماع تم : م الاجتماع اليوم والشرح كاملا وشرح ا</t>
  </si>
  <si>
    <t xml:space="preserve">18:20</t>
  </si>
  <si>
    <t xml:space="preserve">الاجتماع تم : تم الاجتماع لمتابعه عقد مصعد بالاضاف</t>
  </si>
  <si>
    <t xml:space="preserve">18:22</t>
  </si>
  <si>
    <t xml:space="preserve">الاجتماع تم : تم الاجتماع والتاكيد علي التكييف وسم</t>
  </si>
  <si>
    <t xml:space="preserve">18:28</t>
  </si>
  <si>
    <t xml:space="preserve">مكالمة تم : التواصل واتس اب ومتابعه عرض سعر مصعد و</t>
  </si>
  <si>
    <t xml:space="preserve">19:52</t>
  </si>
  <si>
    <t xml:space="preserve">Site Visit تم : تم زياره لمجمع 5فيلل ورفع المقاسات</t>
  </si>
  <si>
    <t xml:space="preserve">19:54</t>
  </si>
  <si>
    <t xml:space="preserve">الاجتماع تم : تم زياره للمكتب ومقابله م ياسر وتسلي</t>
  </si>
  <si>
    <t xml:space="preserve">الاجتماع تم : تمت زياره للمكتب ومقابله م تمام لمتا</t>
  </si>
  <si>
    <t xml:space="preserve">تم ارسال لوكيشن وتم المعاينه ورفع المقاسات عرض سعر</t>
  </si>
  <si>
    <t xml:space="preserve">زياره الموقع وارسال فيديو للمالك وتم التاكيد علي ط</t>
  </si>
  <si>
    <t xml:space="preserve">20:27</t>
  </si>
  <si>
    <t xml:space="preserve">زياره الموقع وتم الإرسال للمالك ومطالبه تصنيع المص</t>
  </si>
  <si>
    <t xml:space="preserve">زياره الموقع ومقابله المالك ولايوجد مصعد والتكييف </t>
  </si>
  <si>
    <t xml:space="preserve">زياره الموقع ومقابله مهندس مجاهد شركه محارة الغرب </t>
  </si>
  <si>
    <t xml:space="preserve">20:44</t>
  </si>
  <si>
    <t xml:space="preserve">تم التواصل من المالك وارسل مخطط بنايه ولوكيشن وطلب</t>
  </si>
  <si>
    <t xml:space="preserve">زيارة المكتب ومقابلة المهندس أحمد متابعة العقود ال</t>
  </si>
  <si>
    <t xml:space="preserve">زيارة المكتب ومقابلة المهندس محمد متابعة العقود ال</t>
  </si>
  <si>
    <t xml:space="preserve">تم زياره معؤض العين وتم استلام الدفعه وتم االايداع</t>
  </si>
  <si>
    <t xml:space="preserve">زيارة المكتب ومقابلة المهندس فارس متابعة مشروع محم</t>
  </si>
  <si>
    <t xml:space="preserve">20:51</t>
  </si>
  <si>
    <t xml:space="preserve">زيارة المكتب لمتابعة عرض سعر مصعد محمد الجابري</t>
  </si>
  <si>
    <t xml:space="preserve">20:53</t>
  </si>
  <si>
    <t xml:space="preserve">مقابله الاستاذ هلال الهنائي أختيار ديكور</t>
  </si>
  <si>
    <t xml:space="preserve">الاجتماع تم : تم الاجتماع بالمعرض بصحبه استاذ رؤوف</t>
  </si>
  <si>
    <t xml:space="preserve">23:21</t>
  </si>
  <si>
    <t xml:space="preserve">Office Visit</t>
  </si>
  <si>
    <t xml:space="preserve">Office Visit تم : ١٠ مكاتب ** ٦ مقابله</t>
  </si>
  <si>
    <t xml:space="preserve">00:16</t>
  </si>
  <si>
    <t xml:space="preserve">تم عمل معاينة وعرض سعر لمصعد بانوراما وتم ارساله ل</t>
  </si>
  <si>
    <t xml:space="preserve">00:18</t>
  </si>
  <si>
    <t xml:space="preserve">تم مقابلة المالك وعمل معاينة لمصعد بانوراما وسيتم </t>
  </si>
  <si>
    <t xml:space="preserve">00:20</t>
  </si>
  <si>
    <t xml:space="preserve">تم مقابلة المالك ومعاينة الفيلا وسيتم عمل عرض سعر</t>
  </si>
  <si>
    <t xml:space="preserve">05:55</t>
  </si>
  <si>
    <t xml:space="preserve">تم مقابلة الهندس لمتابعة عروض الاسعار</t>
  </si>
  <si>
    <t xml:space="preserve">05:57</t>
  </si>
  <si>
    <t xml:space="preserve">تم تحصيل مرحلة التصنيع للمصعدين</t>
  </si>
  <si>
    <t xml:space="preserve">05:58</t>
  </si>
  <si>
    <t xml:space="preserve">تم زيارة الموقع واعطاء الملاحظات للمقاول</t>
  </si>
  <si>
    <t xml:space="preserve">06:01</t>
  </si>
  <si>
    <t xml:space="preserve">تم مقابلة مهندس شريف بالموقع وارسال عرض سعر</t>
  </si>
  <si>
    <t xml:space="preserve">10:02</t>
  </si>
  <si>
    <t xml:space="preserve">10:24</t>
  </si>
  <si>
    <t xml:space="preserve">تم زيارة الموقع ويوجد مصعد في مرحلة الخرسانة وتم ا</t>
  </si>
  <si>
    <t xml:space="preserve">10:58</t>
  </si>
  <si>
    <t xml:space="preserve">تم زيارة الموقع ويوجد مصعد في مرحلة الخرسانة وتم م</t>
  </si>
  <si>
    <t xml:space="preserve">11:28</t>
  </si>
  <si>
    <t xml:space="preserve">تم زيارة الموقع في مرحلة التشطيب ولا يوجد مصعد وتم</t>
  </si>
  <si>
    <t xml:space="preserve">11:39</t>
  </si>
  <si>
    <t xml:space="preserve">تم مقابلة المالك وارسال عرض سعر للمصعدين</t>
  </si>
  <si>
    <t xml:space="preserve">Site Visit تم : تم مقابله م حاتم وزميله وتقديم عرض</t>
  </si>
  <si>
    <t xml:space="preserve">12:45</t>
  </si>
  <si>
    <t xml:space="preserve">Site Visit تم : تم مقابله م حاتم وتسليمه عرض السعر</t>
  </si>
  <si>
    <t xml:space="preserve">12:47</t>
  </si>
  <si>
    <t xml:space="preserve">Site Visit تم : تم زياره الموقع للتاكد من جاهزيه ا</t>
  </si>
  <si>
    <t xml:space="preserve">15:04</t>
  </si>
  <si>
    <t xml:space="preserve">تم التواصل مع المالك بالواتس اب وطلب عرض سعر للتكي</t>
  </si>
  <si>
    <t xml:space="preserve">15:30</t>
  </si>
  <si>
    <t xml:space="preserve">تم الاتصال بالمالك وقال هياجل المصعد شوية عنده بعض</t>
  </si>
  <si>
    <t xml:space="preserve">16:41</t>
  </si>
  <si>
    <t xml:space="preserve">Site Visit تم : تم زياره الموقع والتواصل مع المالك</t>
  </si>
  <si>
    <t xml:space="preserve">مكالمة تم : تم عمل 5 عروض لمجمع الفيلل ومتابعه مع </t>
  </si>
  <si>
    <t xml:space="preserve">17:05</t>
  </si>
  <si>
    <t xml:space="preserve">Site Visit تم : تمت زياره للموقع ومقابله م محمد وا</t>
  </si>
  <si>
    <t xml:space="preserve">Site Visit تم : تمت زياره للموقع ورفع المقاسات وعم</t>
  </si>
  <si>
    <t xml:space="preserve">زيارة الموقع ومقابلة المهندس عبدالعزيز المالك تعاق</t>
  </si>
  <si>
    <t xml:space="preserve">زيارة الموقع ومقابلة المهندس حذيفة يوجد مصعد وتم ع</t>
  </si>
  <si>
    <t xml:space="preserve">زيارة الموقع ومقابلة المهندس ماهر المالك تعاقد مع </t>
  </si>
  <si>
    <t xml:space="preserve">زيارة الموقع ومقابلة المهندس أحمد قالي تعاقد مع شر</t>
  </si>
  <si>
    <t xml:space="preserve">21:08</t>
  </si>
  <si>
    <t xml:space="preserve">تم زيارة البيت ومقابلة مهندس نواف ابن اخو المالك و</t>
  </si>
  <si>
    <t xml:space="preserve">21:35</t>
  </si>
  <si>
    <t xml:space="preserve">زياره الموقع ومقابله مهندس حضرة وتعديل مكان الحفره</t>
  </si>
  <si>
    <t xml:space="preserve">زياره الموقع ومقابله مهندس علاء ومتابعه المشروع وم</t>
  </si>
  <si>
    <t xml:space="preserve">21:38</t>
  </si>
  <si>
    <t xml:space="preserve">زياره الموقع ورفع المقاسات واخذ رقم المالك وعمل عر</t>
  </si>
  <si>
    <t xml:space="preserve">21:57</t>
  </si>
  <si>
    <t xml:space="preserve">الاجتماع تم : تمت عمل عرض سعر لعرضه علي المالك</t>
  </si>
  <si>
    <t xml:space="preserve">21:59</t>
  </si>
  <si>
    <t xml:space="preserve">المهام المراد تنفيذها تم : تمت زياره 5 مواقع 2 مكت</t>
  </si>
  <si>
    <t xml:space="preserve">22:02</t>
  </si>
  <si>
    <t xml:space="preserve">دوام من المعرض</t>
  </si>
  <si>
    <t xml:space="preserve">23:57</t>
  </si>
  <si>
    <t xml:space="preserve">الاجتماع تم : تم التواصل لمتابعه مشروع المصعبي واي</t>
  </si>
  <si>
    <t xml:space="preserve">23:59</t>
  </si>
  <si>
    <t xml:space="preserve">مكالمة تم : تم التواصل ومتابعه الدفع لعبدالله مخيي</t>
  </si>
  <si>
    <t xml:space="preserve">09:12</t>
  </si>
  <si>
    <t xml:space="preserve">الاجتماع تم : تم الاجتماع بالمكتب وشرج سمارت هوم ب</t>
  </si>
  <si>
    <t xml:space="preserve">09:14</t>
  </si>
  <si>
    <t xml:space="preserve">الاجتماع تم : تم التواصل وتوضيح الامور وتم ارسال ع</t>
  </si>
  <si>
    <t xml:space="preserve">09:15</t>
  </si>
  <si>
    <t xml:space="preserve">الاجتماع تم : تم التواصل والتحفير بعمل التعاقد لار</t>
  </si>
  <si>
    <t xml:space="preserve">09:16</t>
  </si>
  <si>
    <t xml:space="preserve">الاجتماع تم : تم الاجتماع امس بالمعرض والحمد لله ت</t>
  </si>
  <si>
    <t xml:space="preserve">الاجتماع تم : 8 مكاتب 4 مقابلات 1 عقد مصعد</t>
  </si>
  <si>
    <t xml:space="preserve">11:10</t>
  </si>
  <si>
    <t xml:space="preserve">تم زيارة الموقع ويوجد مصعد في مرحلة البلاستر وتم ر</t>
  </si>
  <si>
    <t xml:space="preserve">11:13</t>
  </si>
  <si>
    <t xml:space="preserve">تم زيارة الموقع لمتابعة ما بعد التعاقد وتم مقابلة </t>
  </si>
  <si>
    <t xml:space="preserve">تم الدوام من المعرض وترتيب الشغل والتقارير</t>
  </si>
  <si>
    <t xml:space="preserve">12:01</t>
  </si>
  <si>
    <t xml:space="preserve">المهام المراد تنفيذها تم</t>
  </si>
  <si>
    <t xml:space="preserve">تم التواصل مع م مناف الاستشاري وارسل مخطط وعمل عرض</t>
  </si>
  <si>
    <t xml:space="preserve">Site Visit تم : تم زياره الموقع ومقابله المالك ومط</t>
  </si>
  <si>
    <t xml:space="preserve">12:04</t>
  </si>
  <si>
    <t xml:space="preserve">تم زيارة الموقع ويوجد مصعد في مرحلة الطابوق تم رفع</t>
  </si>
  <si>
    <t xml:space="preserve">تم التواصل مع المالك والاستشاري وعمل عرض سعر مصعد</t>
  </si>
  <si>
    <t xml:space="preserve">12:21</t>
  </si>
  <si>
    <t xml:space="preserve">تم التواصل مع م ابو الفضل وارسل مخططين لعتمل عرض س</t>
  </si>
  <si>
    <t xml:space="preserve">12:24</t>
  </si>
  <si>
    <t xml:space="preserve">12:25</t>
  </si>
  <si>
    <t xml:space="preserve">تم التواصل مع م احمد وارسل مخطط وعمل عرض سعر مكيفا</t>
  </si>
  <si>
    <t xml:space="preserve">14:58</t>
  </si>
  <si>
    <t xml:space="preserve">الاجتماع تم : زياره للمكتب وكقابله م حسن ومتابعه ل</t>
  </si>
  <si>
    <t xml:space="preserve">مكالمة تم : تم التواصل وتحديد موعد غدا بالموقع</t>
  </si>
  <si>
    <t xml:space="preserve">تم زيارة الموقع مرة اخري وتم مقابلة المالك والمقاو</t>
  </si>
  <si>
    <t xml:space="preserve">15:03</t>
  </si>
  <si>
    <t xml:space="preserve">تم زيارة الموقع للمتابعة وتم مقابلة المقاول وشرح ا</t>
  </si>
  <si>
    <t xml:space="preserve">15:07</t>
  </si>
  <si>
    <t xml:space="preserve">مكالمة تم : تواصل مع المالك وتحديد موعد غدا للاجتم</t>
  </si>
  <si>
    <t xml:space="preserve">متابعه اول شهر اكتوبر</t>
  </si>
  <si>
    <t xml:space="preserve">تم التواصل / المشروع موقوف حاليا/ متابعة بعد شهرين</t>
  </si>
  <si>
    <t xml:space="preserve">تم تعديل المخطط وارساله لمهندس احمد</t>
  </si>
  <si>
    <t xml:space="preserve">تم التواصل/ القرار مع الزوجة/ تم الاتصال بالزوجة و</t>
  </si>
  <si>
    <t xml:space="preserve">تم التواصل مع المهندس/ سيتم حسم الأمر غدا</t>
  </si>
  <si>
    <t xml:space="preserve">زيارة الموقع ومقابلة المهندس زيارة مطلوب عرض سعر م</t>
  </si>
  <si>
    <t xml:space="preserve">زيارة الموقع ومقابلة المالك سيتم المتابعه لعمل عرض</t>
  </si>
  <si>
    <t xml:space="preserve">زيارة الموقع ومقابلة المهندس محمود صاحب الشركة تم </t>
  </si>
  <si>
    <t xml:space="preserve">19:58</t>
  </si>
  <si>
    <t xml:space="preserve">زيارة الموقع وتم الاتصال على مهندس لم يرد</t>
  </si>
  <si>
    <t xml:space="preserve">تم زيارة الموقع وتصوير في والتواصل مع المالك</t>
  </si>
  <si>
    <t xml:space="preserve">تم زيارة الموقع والمعاينه والتواصل مع المالك وقال </t>
  </si>
  <si>
    <t xml:space="preserve">تم زيارة الموقع والمعاينه والفيلا شبه خلصانه وتم ا</t>
  </si>
  <si>
    <t xml:space="preserve">تم زيارة الموقع وتصوير فديو للموقع وارساله للمالك</t>
  </si>
  <si>
    <t xml:space="preserve">20:57</t>
  </si>
  <si>
    <t xml:space="preserve">تم زيارة الموقع ومقابلة م هادي وعمل عرض سعر مصعد</t>
  </si>
  <si>
    <t xml:space="preserve">تم زيارة الموقع في جزيرة ياس والتواصل مع المالك وم</t>
  </si>
  <si>
    <t xml:space="preserve">زياره الموقع وارسال للمالك</t>
  </si>
  <si>
    <t xml:space="preserve">تم زياره معرض العينوتم اختيار الديكور وتم تحويل ال</t>
  </si>
  <si>
    <t xml:space="preserve">21:04</t>
  </si>
  <si>
    <t xml:space="preserve">تم زياره الموقع ومقابله المهندس وتم ارسال فيديو لل</t>
  </si>
  <si>
    <t xml:space="preserve">21:07</t>
  </si>
  <si>
    <t xml:space="preserve">تم التوقيع والتحويل بحمدالله</t>
  </si>
  <si>
    <t xml:space="preserve">21:10</t>
  </si>
  <si>
    <t xml:space="preserve">زياره ٦ مواقع ورفع المقاسات والتواصل مع مهندس تامر</t>
  </si>
  <si>
    <t xml:space="preserve">21:11</t>
  </si>
  <si>
    <t xml:space="preserve">تم زياره معرض العين امس الجمعه وتم المقابله ومناقش</t>
  </si>
  <si>
    <t xml:space="preserve">21:22</t>
  </si>
  <si>
    <t xml:space="preserve">تم زيارة الموقع ومقابله م مصطفي ولا يوجد مصعد وقال</t>
  </si>
  <si>
    <t xml:space="preserve">تم زيارة الموقع والاجتماع مع المالكه ومتابعه المشر</t>
  </si>
  <si>
    <t xml:space="preserve">22:29</t>
  </si>
  <si>
    <t xml:space="preserve">تم التواصل وارسال المخطط لعمل عرض السعر</t>
  </si>
  <si>
    <t xml:space="preserve">22:50</t>
  </si>
  <si>
    <t xml:space="preserve">الاجتماع تم : تم الاجتماع بالمعرض ثم المعاينه وعمل</t>
  </si>
  <si>
    <t xml:space="preserve">22:57</t>
  </si>
  <si>
    <t xml:space="preserve">الاجتماع تم : تم الاجتماع والشرح وطلب المخطط واللو</t>
  </si>
  <si>
    <t xml:space="preserve">23:00</t>
  </si>
  <si>
    <t xml:space="preserve">الاجتماع تم : عميل عن طريق عميل عندي تم التواصل لل</t>
  </si>
  <si>
    <t xml:space="preserve">23:02</t>
  </si>
  <si>
    <t xml:space="preserve">الاجتماع تم : ١٥ موقع ٣ مقابله ١ مصعد</t>
  </si>
  <si>
    <t xml:space="preserve">تم زيارة الموقع في مرحله القواعد وتم الاتصال بالمق</t>
  </si>
  <si>
    <t xml:space="preserve">13:03</t>
  </si>
  <si>
    <t xml:space="preserve">الاجتماع تم : تمت مقابله المالك ومتابعه الموقع وطا</t>
  </si>
  <si>
    <t xml:space="preserve">13:55</t>
  </si>
  <si>
    <t xml:space="preserve">Site Visit تم : تمت زياره للموقع لطلب المالك تغير </t>
  </si>
  <si>
    <t xml:space="preserve">تم زيارة الموقع في مرحلة القواعد وتم مقابلة المقاو</t>
  </si>
  <si>
    <t xml:space="preserve">تم زيارة الموقع وتم مقابلة المقاول والموقع بالتشطي</t>
  </si>
  <si>
    <t xml:space="preserve">15:28</t>
  </si>
  <si>
    <t xml:space="preserve">مكالمة تم : تم التواصل مع المالك واخباري بانتظار ا</t>
  </si>
  <si>
    <t xml:space="preserve">تم زيارة الموقع في مرحلة القواعد وتم الاتصال بالمق</t>
  </si>
  <si>
    <t xml:space="preserve">16:21</t>
  </si>
  <si>
    <t xml:space="preserve">تم زيارة الموقع لمتابعة عرض السعر وتم الاتصال بالم</t>
  </si>
  <si>
    <t xml:space="preserve">16:24</t>
  </si>
  <si>
    <t xml:space="preserve">تم زيارة الموقع في مرحلة التشطيب ولا يوجد مصعد وال</t>
  </si>
  <si>
    <t xml:space="preserve">تم الاجتماع مع المالك والاستشاري والمقاول ومتابعه </t>
  </si>
  <si>
    <t xml:space="preserve">18:01</t>
  </si>
  <si>
    <t xml:space="preserve">تم زيارة المكتب ومقابله المحاسب واستلام الشيكات</t>
  </si>
  <si>
    <t xml:space="preserve">تم زيارة المكتب ومقابله م راما ومهندس صهيب مش موجو</t>
  </si>
  <si>
    <t xml:space="preserve">18:06</t>
  </si>
  <si>
    <t xml:space="preserve">تم التواصل مع المالك علشانه يجي يخار ديكور والدته </t>
  </si>
  <si>
    <t xml:space="preserve">الاجتماع تم : تم مقابله المالك في المعرض وشرح التف</t>
  </si>
  <si>
    <t xml:space="preserve">الاجتماع تم : تم مقابله المالك في المعرض وتسليمه ع</t>
  </si>
  <si>
    <t xml:space="preserve">الاجتماع تم : تم مقابله المالك وشرح التفاصيل وطلب </t>
  </si>
  <si>
    <t xml:space="preserve">زياره الموقع ومقابله مهندس منظور ومتابعه الموقع</t>
  </si>
  <si>
    <t xml:space="preserve">تم مقابلة العميل وسيتم ارسال عرض سعر مكيف وتأسيس ف</t>
  </si>
  <si>
    <t xml:space="preserve">تم زياره معرض العين وتم اعتماد الديكور واستلام الد</t>
  </si>
  <si>
    <t xml:space="preserve">تم عمل زيارة للمتابعة</t>
  </si>
  <si>
    <t xml:space="preserve">تم عمل للمتابعة</t>
  </si>
  <si>
    <t xml:space="preserve">20:46</t>
  </si>
  <si>
    <t xml:space="preserve">زيارة الموقع وتم عمل معاينة متابعة عرض سعر سعيد ال</t>
  </si>
  <si>
    <t xml:space="preserve">زيارة الموقع ومقابلة المهندس طارق متابعة موقع ماجد</t>
  </si>
  <si>
    <t xml:space="preserve">زيارة الموقع ومقابلة المهندس محمد مع المالك تم الت</t>
  </si>
  <si>
    <t xml:space="preserve">زيارة الموقع ومقابلة المالك مطلوب عرض سعر مصعد محم</t>
  </si>
  <si>
    <t xml:space="preserve">21:40</t>
  </si>
  <si>
    <t xml:space="preserve">الاتصال على عملاء السوشيال مديا وتم مقابلة الاستاذ</t>
  </si>
  <si>
    <t xml:space="preserve">الاجتماع تم : تم التواصل وعمل عرض سعر والارسال ومن</t>
  </si>
  <si>
    <t xml:space="preserve">Site Visit تم : تم التواصل والتفاوض علي عرض سغر تك</t>
  </si>
  <si>
    <t xml:space="preserve">08:52</t>
  </si>
  <si>
    <t xml:space="preserve">09:07</t>
  </si>
  <si>
    <t xml:space="preserve">تم زيارة الموقع في مرحلة الخرسانة وتم الاتصال بالم</t>
  </si>
  <si>
    <t xml:space="preserve">12:37</t>
  </si>
  <si>
    <t xml:space="preserve">مكالمة تم : تم التواصل مع المالك وحصوله علي عرض اق</t>
  </si>
  <si>
    <t xml:space="preserve">12:40</t>
  </si>
  <si>
    <t xml:space="preserve">الاجتماع تم : تم زياره للمكتب ومقابله م ياسر واخبا</t>
  </si>
  <si>
    <t xml:space="preserve">13:06</t>
  </si>
  <si>
    <t xml:space="preserve">تم الاتصال بالمالك لم يرد وتم التواصل بالواتس اب و</t>
  </si>
  <si>
    <t xml:space="preserve">الاجتماع تم : تم التواصل مع المهندس وزياره للمكتب </t>
  </si>
  <si>
    <t xml:space="preserve">15:45</t>
  </si>
  <si>
    <t xml:space="preserve">Office Visit تم : تم الاجتامع والشرح كاملا وارﻻسال</t>
  </si>
  <si>
    <t xml:space="preserve">15:48</t>
  </si>
  <si>
    <t xml:space="preserve">مكالمة تم : تم الاتصال والشرح وشرح التكيف والسمارت</t>
  </si>
  <si>
    <t xml:space="preserve">تم زيارة المكتب ومقابلة المدير وتم التعريف بالشركة</t>
  </si>
  <si>
    <t xml:space="preserve">تم زيارة المكتب ومقابلة المدير وتم مناقشة منتجات ا</t>
  </si>
  <si>
    <t xml:space="preserve">مكالمة تم : تم التواصل والشرح ارسال الداتا ومنتظر </t>
  </si>
  <si>
    <t xml:space="preserve">تم زيارة المكتب ومقابلة السكرتيرة وقال المدير مش م</t>
  </si>
  <si>
    <t xml:space="preserve">تم زيارة المكتب ومقابلة مهندسة اريج وتم ابلاغها بب</t>
  </si>
  <si>
    <t xml:space="preserve">تم زيارة المكتب ومقابلة مهندس رشاد وتم مناقشة احد </t>
  </si>
  <si>
    <t xml:space="preserve">تم زيارة المكتب ومقابلة مهندس عبدالرحمن وتم التعري</t>
  </si>
  <si>
    <t xml:space="preserve">16:59</t>
  </si>
  <si>
    <t xml:space="preserve">تم زيا ة المكتب ومقابلة السكرتيرة وقاى المدير مش م</t>
  </si>
  <si>
    <t xml:space="preserve">17:00</t>
  </si>
  <si>
    <t xml:space="preserve">17:03</t>
  </si>
  <si>
    <t xml:space="preserve">تم زيارة المكتب ومقابلة مهندس امير وتم مناقشة بند </t>
  </si>
  <si>
    <t xml:space="preserve">تم زيارة المكتب ومقابلة السكرتيرة وقال المدير باجت</t>
  </si>
  <si>
    <t xml:space="preserve">تم زيارة الموقع ومتابعه المشروع وتصوير فديو موضح ا</t>
  </si>
  <si>
    <t xml:space="preserve">تم زيارة الموقع ومقابله م محمد ولا يوجد مصعد وقال </t>
  </si>
  <si>
    <t xml:space="preserve">تن زيارة المكتب ومقابله م عادل مدير اىمكتب ومتابعه</t>
  </si>
  <si>
    <t xml:space="preserve">تم زيارة الموقع والمعاينه وتصوير فيديو موضح الاعما</t>
  </si>
  <si>
    <t xml:space="preserve">تم زيارة الموقع ومتابعه المشروع والتواصل مع المالك</t>
  </si>
  <si>
    <t xml:space="preserve">تم زيارة المكتب ومقابلة المدير وتم مناقشة المصاعد </t>
  </si>
  <si>
    <t xml:space="preserve">تم زيارة المكتب ومقابلة المدير مهندس محمود ومعه ال</t>
  </si>
  <si>
    <t xml:space="preserve">تم زيارة المكتب ومقابلة المديرة مهندسة اميرة وتم ت</t>
  </si>
  <si>
    <t xml:space="preserve">18:10</t>
  </si>
  <si>
    <t xml:space="preserve">تم زيارة المكتب ومقابلة السكرتير وقال المدير غادر </t>
  </si>
  <si>
    <t xml:space="preserve">18:19</t>
  </si>
  <si>
    <t xml:space="preserve">تم زيارة المكتب ومقابلة المدير المالي وتم الاتفاق </t>
  </si>
  <si>
    <t xml:space="preserve">18:27</t>
  </si>
  <si>
    <t xml:space="preserve">تم زيارة الموقع ومقابلة مهندس جهاد لمتابعة المشروع</t>
  </si>
  <si>
    <t xml:space="preserve">18:29</t>
  </si>
  <si>
    <t xml:space="preserve">تم مقابلة مهندس مجدى وزيارة الموقع وابداء الملاحظا</t>
  </si>
  <si>
    <t xml:space="preserve">18:30</t>
  </si>
  <si>
    <t xml:space="preserve">تم مقابلة مهندس ابو مصطفى وعمل تعديل لعروض اسعار ا</t>
  </si>
  <si>
    <t xml:space="preserve">Office Visit تم : تم مقابله المالك والمقاول وبفضل </t>
  </si>
  <si>
    <t xml:space="preserve">زياره المكتب ومقابله مهندس وائل ومتابعه عروض الاسع</t>
  </si>
  <si>
    <t xml:space="preserve">19:59</t>
  </si>
  <si>
    <t xml:space="preserve">زياره المكتب ومقابله مهندس محمد جاسم ومتابعه عرض ا</t>
  </si>
  <si>
    <t xml:space="preserve">زياره المكتب ومهندس محمد السيد في اجتماع هيتواصل م</t>
  </si>
  <si>
    <t xml:space="preserve">20:05</t>
  </si>
  <si>
    <t xml:space="preserve">زياره المكتب ومقابله مهندسة احلام ومتابعه مع مهندس</t>
  </si>
  <si>
    <t xml:space="preserve">20:07</t>
  </si>
  <si>
    <t xml:space="preserve">تم زياره معرض العين وتم اختيار الديكور وتم تحويل ا</t>
  </si>
  <si>
    <t xml:space="preserve">زياره الموقع ورفع المقاسات والتواصل مع مهندس محمد </t>
  </si>
  <si>
    <t xml:space="preserve">زياره الموقع ورفع المقاسات والتواصل مع مهندس فاروق</t>
  </si>
  <si>
    <t xml:space="preserve">زياره الموقع ومقابله مهندس صبري وتم تغير مكان الكن</t>
  </si>
  <si>
    <t xml:space="preserve">20:30</t>
  </si>
  <si>
    <t xml:space="preserve">زياره ٢ موقع ورفع المقاسات والتواصل مع مهندس عبدال</t>
  </si>
  <si>
    <t xml:space="preserve">تم التواصل مع ابن اخو المالك وقال عمه مريض بالمستش</t>
  </si>
  <si>
    <t xml:space="preserve">زيارة الموقع للمعاينة متابعة التصنيع</t>
  </si>
  <si>
    <t xml:space="preserve">زيارة المكتب ومقابلة المهندس حمزه والمهندس محمد مت</t>
  </si>
  <si>
    <t xml:space="preserve">22:40</t>
  </si>
  <si>
    <t xml:space="preserve">زيارة المكتب ومقابلة المهندس مجدي متابعة موقع سامي</t>
  </si>
  <si>
    <t xml:space="preserve">زيارة المكتب المهندس كمال مش موجود</t>
  </si>
  <si>
    <t xml:space="preserve">زيارة المكتب ومقابلة المهندس عبدالغني متابعة العقو</t>
  </si>
  <si>
    <t xml:space="preserve">زيارة المكتب ومقابلة المهندس أحمد سيتم ارسال مخطط </t>
  </si>
  <si>
    <t xml:space="preserve">02:03</t>
  </si>
  <si>
    <t xml:space="preserve">تم التواصل مع العميل وارسال المخططات وعمل عرض سعر </t>
  </si>
  <si>
    <t xml:space="preserve">10:03</t>
  </si>
  <si>
    <t xml:space="preserve">تم عمل عرض سعر لل 4 بنايات</t>
  </si>
  <si>
    <t xml:space="preserve">10:07</t>
  </si>
  <si>
    <t xml:space="preserve">متابعة عملاء حسام / سالم المهيرى/ محمد الرميثى/ مح</t>
  </si>
  <si>
    <t xml:space="preserve">10:10</t>
  </si>
  <si>
    <t xml:space="preserve">تم زيارة الموقع للتأكد من جاهزية الرخامة لتركيب ال</t>
  </si>
  <si>
    <t xml:space="preserve">10:26</t>
  </si>
  <si>
    <t xml:space="preserve">تم زيارة الموقع لمتابعة تركيب المرحلة الاولي للمصع</t>
  </si>
  <si>
    <t xml:space="preserve">11:16</t>
  </si>
  <si>
    <t xml:space="preserve">تم زيارة الموقع لمتابعة جاهزية الموقع ولم يتم تسلب</t>
  </si>
  <si>
    <t xml:space="preserve">11:23</t>
  </si>
  <si>
    <t xml:space="preserve">الاجتماع تم : تمت زياره للمكتب وعدم تواجد م صفاء و</t>
  </si>
  <si>
    <t xml:space="preserve">الاجتماع تم : تمت زياره للمكتب وعدم تواجد اي من ال</t>
  </si>
  <si>
    <t xml:space="preserve">14:23</t>
  </si>
  <si>
    <t xml:space="preserve">تم زيارة الموقع ومعاينه الفيلا وتصوير فديو بالمطلو</t>
  </si>
  <si>
    <t xml:space="preserve">14:27</t>
  </si>
  <si>
    <t xml:space="preserve">تم زيارة مكتب ومقابله م مومن ومتابعه المشاريع</t>
  </si>
  <si>
    <t xml:space="preserve">تم زيارة المكتب ومقابله م امير وتسليمه عرض السعر</t>
  </si>
  <si>
    <t xml:space="preserve">تم زيارة الموقع ومقابله م اياد وارسل 3 مخططات تكيف</t>
  </si>
  <si>
    <t xml:space="preserve">Email</t>
  </si>
  <si>
    <t xml:space="preserve">تم التواصل من مهندس رامي شركه ابوسلطان النعيمي للم</t>
  </si>
  <si>
    <t xml:space="preserve">14:59</t>
  </si>
  <si>
    <t xml:space="preserve">تم زياره معرض العين وتم استلام الشيكات</t>
  </si>
  <si>
    <t xml:space="preserve">15:57</t>
  </si>
  <si>
    <t xml:space="preserve">تم زيارة المكتب ومقابلة المدير وتم مناقشة احد عروض</t>
  </si>
  <si>
    <t xml:space="preserve">تم زيارة المكتب وتم مقابلة السكرتيرة وقال المدير ه</t>
  </si>
  <si>
    <t xml:space="preserve">تم زيارة المكتب ومقابلة المدير وتم مناقشة مشروع 12</t>
  </si>
  <si>
    <t xml:space="preserve">تم زيارة المكتب ومقابلة احد المهندسين بالمكتب الجد</t>
  </si>
  <si>
    <t xml:space="preserve">16:07</t>
  </si>
  <si>
    <t xml:space="preserve">تم زيارة المكتب ولكن الباب مغلق وتم الاتصال باحد ا</t>
  </si>
  <si>
    <t xml:space="preserve">16:11</t>
  </si>
  <si>
    <t xml:space="preserve">تم زيارة المكتب ومقابلة صاحب المكتب وبعض المهندسين</t>
  </si>
  <si>
    <t xml:space="preserve">الاجتماع تم : تم الاجتماع بالمكتب والشرح وارسال ال</t>
  </si>
  <si>
    <t xml:space="preserve">17:48</t>
  </si>
  <si>
    <t xml:space="preserve">الاجتماع تم : تم الاجتماع بالمكتب بالاضافه لحضور م</t>
  </si>
  <si>
    <t xml:space="preserve">20:38</t>
  </si>
  <si>
    <t xml:space="preserve">Site Visit تم : تم زياره تلموقع ومقابله الاستشاري </t>
  </si>
  <si>
    <t xml:space="preserve">زيارة الموقع ومقابلة المهندس عبدالله مطلوب عرض سعر</t>
  </si>
  <si>
    <t xml:space="preserve">زيارة الموقع وتم الاتصال على مهندس عبدالفتاح قالي </t>
  </si>
  <si>
    <t xml:space="preserve">الاجتماع تم : تم مقابله المالك وتسليمه عرض السعر و</t>
  </si>
  <si>
    <t xml:space="preserve">Site Visit تم : تم زياره الموقع ومقابله المقاول وت</t>
  </si>
  <si>
    <t xml:space="preserve">Office Visit تم : تم زياره المكتب ومقابله م احمد و</t>
  </si>
  <si>
    <t xml:space="preserve">زيارة الموقع ومقابلة الأستاذ ناصر النيادي اخو الما</t>
  </si>
  <si>
    <t xml:space="preserve">زيارة المكتب ومقابلة المهندس اسلام متابعة العقود ا</t>
  </si>
  <si>
    <t xml:space="preserve">زيارة المكتب ومقابلة المهندس صابر سيتم ارسال المخط</t>
  </si>
  <si>
    <t xml:space="preserve">مقابله الاستاذ سلطان الكعبي تحصيل و مقابله الاستاذ</t>
  </si>
  <si>
    <t xml:space="preserve">تم مقابلة مهندس على وسيتم تعديل عروض الاسعار بناءا</t>
  </si>
  <si>
    <t xml:space="preserve">الاجتماع تم : تم الاجتماع والشرح وشرح سمارت هوم وو</t>
  </si>
  <si>
    <t xml:space="preserve">الاجتماع تم : تم الاجتماع بالمكتب والشرح كاملا وعن</t>
  </si>
  <si>
    <t xml:space="preserve">Office Visit تم : 9 مكتب ٤ مقابلات</t>
  </si>
  <si>
    <t xml:space="preserve">تم زيارة الموقع ويوجد مصعد في مرحلة التشطيب وتم ال</t>
  </si>
  <si>
    <t xml:space="preserve">تم زيارة المكتب ومقابلة مهندس محمد وتم ابلاغه ببند</t>
  </si>
  <si>
    <t xml:space="preserve">15:34</t>
  </si>
  <si>
    <t xml:space="preserve">تم زيارة المكتب ومقابلة المدير مهندس سمير وتم التع</t>
  </si>
  <si>
    <t xml:space="preserve">تم زيارة المكتب ومقابلة صاحب الشركة الاستاذ مبارك </t>
  </si>
  <si>
    <t xml:space="preserve">تم زيارة المكتب ومقابلة المحاسب وقال المهندسين بال</t>
  </si>
  <si>
    <t xml:space="preserve">تم. بارة المكتب ومقابلة تلمكقاول وقال هيجتمع مع ال</t>
  </si>
  <si>
    <t xml:space="preserve">15:51</t>
  </si>
  <si>
    <t xml:space="preserve">Site Visit تم : تم مقابله المهندس وتوضيح الاعمال ا</t>
  </si>
  <si>
    <t xml:space="preserve">تم زيارة المكتب ومقابلة مهندس اسماعيل وتم تعريفه ب</t>
  </si>
  <si>
    <t xml:space="preserve">Site Visit تم : تم زياره الموقع ومقابله المالك وشر</t>
  </si>
  <si>
    <t xml:space="preserve">الاجتماع تم : تم مقابله المالكه والمقاول في المعرض</t>
  </si>
  <si>
    <t xml:space="preserve">Site Visit تم : تم زياره الموقع لمقابله المهندس وت</t>
  </si>
  <si>
    <t xml:space="preserve">تم زيارة المكتب ومقابلة المدير مهندس علي وتم التعر</t>
  </si>
  <si>
    <t xml:space="preserve">تم التواصل بالوتس اب مع المقاول وارسل المخططات وال</t>
  </si>
  <si>
    <t xml:space="preserve">لا يوجد مصعد وتم التواصل مع م مصطفي وقال مخلصين مك</t>
  </si>
  <si>
    <t xml:space="preserve">لا يوجد مصعد وتم مقابله م هاني وقال متعاقد</t>
  </si>
  <si>
    <t xml:space="preserve">لا يوجد مصعد وتم مقابله م شيميم وقال متعاقد مكيفات</t>
  </si>
  <si>
    <t xml:space="preserve">مقابله م يألم وقال مفيش مصعد لكن عندي موقع اخر لما</t>
  </si>
  <si>
    <t xml:space="preserve">تم زيارة الموقع ورفع المقاسات ومقابله المالك وعايز</t>
  </si>
  <si>
    <t xml:space="preserve">تم زيارة المكتب ومقابلة مهندس علاء وتعريفه ببند سم</t>
  </si>
  <si>
    <t xml:space="preserve">تم زيارة المكتب ومقابلة مهندس عمرو وتم التعريف بال</t>
  </si>
  <si>
    <t xml:space="preserve">تم زيارة المكتب وتم مقابلة السكرتير وقال تعالي بال</t>
  </si>
  <si>
    <t xml:space="preserve">17:19</t>
  </si>
  <si>
    <t xml:space="preserve">تم زيارة المكتب والباب مغلق وتم الاتصال بالمقاول ل</t>
  </si>
  <si>
    <t xml:space="preserve">تم زيارة المكتب ومقابلة مهندس احمد وتم تعريفه ببند</t>
  </si>
  <si>
    <t xml:space="preserve">17:24</t>
  </si>
  <si>
    <t xml:space="preserve">تم زيارة المكتب ومقابلة المدير مهندس محمد وتم تعري</t>
  </si>
  <si>
    <t xml:space="preserve">تم زيارة المكتب ومقابلة المدير مهندس صهيب وتم ابلا</t>
  </si>
  <si>
    <t xml:space="preserve">17:37</t>
  </si>
  <si>
    <t xml:space="preserve">تم زيارة المكتب ومقابلة مهندس مجاهد وتم تعريفه ببن</t>
  </si>
  <si>
    <t xml:space="preserve">17:58</t>
  </si>
  <si>
    <t xml:space="preserve">تم زيارة المكتب ومقابلة مهندس محمد وهو يعرفنا وتم </t>
  </si>
  <si>
    <t xml:space="preserve">تم زيارة المكتب ومقابلة مهندس محمد وتم شرح البوابة</t>
  </si>
  <si>
    <t xml:space="preserve">18:36</t>
  </si>
  <si>
    <t xml:space="preserve">تم زيارة المكتب ومقابلة المدير مهندس ابراهيم وقال </t>
  </si>
  <si>
    <t xml:space="preserve">تم زيارة المكتب ومقابلة مهندس فهد وبلغته ببند سمار</t>
  </si>
  <si>
    <t xml:space="preserve">18:46</t>
  </si>
  <si>
    <t xml:space="preserve">تم زيارة المكتب ومقابلة مهندسة صباح وتم تعريفها بب</t>
  </si>
  <si>
    <t xml:space="preserve">18:49</t>
  </si>
  <si>
    <t xml:space="preserve">تم زيارة المكتب ومقابلة السكرتيرة وقالت المدير غير</t>
  </si>
  <si>
    <t xml:space="preserve">18:57</t>
  </si>
  <si>
    <t xml:space="preserve">تم زيارة المكتب ومقابلة السكرتيرة وقالت المدير مش </t>
  </si>
  <si>
    <t xml:space="preserve">19:12</t>
  </si>
  <si>
    <t xml:space="preserve">زيارة الموقع ومقابلة المهندس محمد في انتظار إرسال </t>
  </si>
  <si>
    <t xml:space="preserve">زيارة الموقع ومقابلة المهندس مجاهد متابعة موقع خمي</t>
  </si>
  <si>
    <t xml:space="preserve">زيارة الموقع ومقابلة المالك الاستاذ حسن في انتظار </t>
  </si>
  <si>
    <t xml:space="preserve">20:55</t>
  </si>
  <si>
    <t xml:space="preserve">زيارة المكتب ومقابلة المهندس مجتبى متابعة موقعين س</t>
  </si>
  <si>
    <t xml:space="preserve">زيارة المكتب ومقابلة المهندس محمود مطلوب عرض سعر ت</t>
  </si>
  <si>
    <t xml:space="preserve">20:59</t>
  </si>
  <si>
    <t xml:space="preserve">زيارة المكتب ومقابلة المهندس عبدالمقصود متابعة عرض</t>
  </si>
  <si>
    <t xml:space="preserve">تم عمل عرض سعر سهم وارساله للعميل</t>
  </si>
  <si>
    <t xml:space="preserve">تم مقابلة مهندس ايمن وتم التحدث عن مشروع لاكى اويس</t>
  </si>
  <si>
    <t xml:space="preserve">الاجتماع تم : تم الاجتماع بالمكتب ومتابعه ٤ عروض ا</t>
  </si>
  <si>
    <t xml:space="preserve">22:52</t>
  </si>
  <si>
    <t xml:space="preserve">الاجتماع تم : تم الاجتماع ومتلبعه عروض اسعار وشرح </t>
  </si>
  <si>
    <t xml:space="preserve">22:54</t>
  </si>
  <si>
    <t xml:space="preserve">الاجتماع تم : تم الاجتماع بعد كام موعد وتم الشرح ك</t>
  </si>
  <si>
    <t xml:space="preserve">الاجتماع تم : تم التواصل ومتابعه عرض السعر وقال ان</t>
  </si>
  <si>
    <t xml:space="preserve">مكالمة تم : تم النواصل ومتابعه عروض اسعار وهيرسل م</t>
  </si>
  <si>
    <t xml:space="preserve">Office Visit تم : ٣ مكتب ٣ مقابله</t>
  </si>
  <si>
    <t xml:space="preserve">23:47</t>
  </si>
  <si>
    <t xml:space="preserve">تم تعديل الكوتيشن</t>
  </si>
  <si>
    <t xml:space="preserve">23:48</t>
  </si>
  <si>
    <t xml:space="preserve">تم مقابلة مهندس هانى لا توجد مشاريع حاليا</t>
  </si>
  <si>
    <t xml:space="preserve">06:42</t>
  </si>
  <si>
    <t xml:space="preserve">المهام المراد تنفيذها تم الملاحظة الأصلية: تم الدو</t>
  </si>
  <si>
    <t xml:space="preserve">تم زيارة الموقع تم الاتصال بالمقاول وتم الاتفاق عل</t>
  </si>
  <si>
    <t xml:space="preserve">12:05</t>
  </si>
  <si>
    <t xml:space="preserve">12:17</t>
  </si>
  <si>
    <t xml:space="preserve">الاجتماع تم : تمت زياره للمكتب ومقابله م ياسر ومتا</t>
  </si>
  <si>
    <t xml:space="preserve">13:44</t>
  </si>
  <si>
    <t xml:space="preserve">تم زيارة المكتب ومقابلة المدير مهندس ياسر وارسل لي</t>
  </si>
  <si>
    <t xml:space="preserve">تم التواصل من المالك وارسل لوكيشن وتم المعاينه وعم</t>
  </si>
  <si>
    <t xml:space="preserve">14:33</t>
  </si>
  <si>
    <t xml:space="preserve">معاينه الموقع ومتابعه جاهزية ومقابله مهندس الكهربا</t>
  </si>
  <si>
    <t xml:space="preserve">14:35</t>
  </si>
  <si>
    <t xml:space="preserve">معاينه الموقع ورفع المقاسات والتواصل مع مهندس عبدا</t>
  </si>
  <si>
    <t xml:space="preserve">معاينه الموقع وارسال فيديو للمالك ومهندس اشرف ام ا</t>
  </si>
  <si>
    <t xml:space="preserve">معاينه الموقع ورفع المقاسات والتواصل مع شركه برينس</t>
  </si>
  <si>
    <t xml:space="preserve">تم الاجتماع في الموقع مع المقاول وشرح الاعمال المط</t>
  </si>
  <si>
    <t xml:space="preserve">تم الاجتماع مع م اسامه ف الموقع وشرح المطلوب وتصير</t>
  </si>
  <si>
    <t xml:space="preserve">تم زيارة المكتب ومقابله م احمد ومتابعه المشاريع</t>
  </si>
  <si>
    <t xml:space="preserve">تم زيارة الموقع ومتابعه عرض السعر والتواصل مع الما</t>
  </si>
  <si>
    <t xml:space="preserve">زيارة المكتب ومقابلة المهندس حسين سيتم ارسال مخططا</t>
  </si>
  <si>
    <t xml:space="preserve">زيارة المكتب ومقابلة المهندس حمدي متابعة العقود ال</t>
  </si>
  <si>
    <t xml:space="preserve">المهندس غالب مش موجود</t>
  </si>
  <si>
    <t xml:space="preserve">زيارة المكتب المهندس مش موجود</t>
  </si>
  <si>
    <t xml:space="preserve">زيارة المكتب ومقابلة المهندس محمد متابعة عرض سعر م</t>
  </si>
  <si>
    <t xml:space="preserve">زيارة الموقع ومقابلة المالك والمهندس احمد متابعة م</t>
  </si>
  <si>
    <t xml:space="preserve">22:31</t>
  </si>
  <si>
    <t xml:space="preserve">تم مقابلة العميل فى المعرض وشرح كافة الانظمة وعمل </t>
  </si>
  <si>
    <t xml:space="preserve">22:33</t>
  </si>
  <si>
    <t xml:space="preserve">تم استقبال العميل بالمعرض وفى انتظار عرض السعر</t>
  </si>
  <si>
    <t xml:space="preserve">22:36</t>
  </si>
  <si>
    <t xml:space="preserve">تم عمل عرض سعر وسيتم الاجتماع مع المالك ممكن يوم ا</t>
  </si>
  <si>
    <t xml:space="preserve">تم عمل عرض سعر تجارى لل 4 فلل</t>
  </si>
  <si>
    <t xml:space="preserve">Site Visit تم : تم زياره الموقع ومتابعه الاعمال مر</t>
  </si>
  <si>
    <t xml:space="preserve">09:18</t>
  </si>
  <si>
    <t xml:space="preserve">مكالمة تم : تم التواصل واخيرا رد ولكن تم تعاقد تكي</t>
  </si>
  <si>
    <t xml:space="preserve">09:21</t>
  </si>
  <si>
    <t xml:space="preserve">الاجتماع تم : تم التواصل وارسال موقع للمعاينه يوم </t>
  </si>
  <si>
    <t xml:space="preserve">09:23</t>
  </si>
  <si>
    <t xml:space="preserve">الاجتماع تم : تم الاجتماع بالمعرض والشرح ومنتظر لو</t>
  </si>
  <si>
    <t xml:space="preserve">09:25</t>
  </si>
  <si>
    <t xml:space="preserve">الاجتماع تم : تم الاجتماع والشرح وتم ارسال الداتا </t>
  </si>
  <si>
    <t xml:space="preserve">09:26</t>
  </si>
  <si>
    <t xml:space="preserve">المهام المراد تنفيذها تم : ٥ مكتب ٣ موقع ٣ مقابله</t>
  </si>
  <si>
    <t xml:space="preserve">09:59</t>
  </si>
  <si>
    <t xml:space="preserve">الاجتماع تم : بفضل الله تم توقيع العقد</t>
  </si>
  <si>
    <t xml:space="preserve">10:25</t>
  </si>
  <si>
    <t xml:space="preserve">تم زيارة الموقع ولا يوجد مصعد وبايبات التكييف راكب</t>
  </si>
  <si>
    <t xml:space="preserve">تم زيارة الموقع في مرحلة التشطيب ويوجد مصعد تم رفع</t>
  </si>
  <si>
    <t xml:space="preserve">تم زيارة الموقع ولا يوجد مصعد حاليا وتم الاتصال با</t>
  </si>
  <si>
    <t xml:space="preserve">11:33</t>
  </si>
  <si>
    <t xml:space="preserve">تم زيارة الموقع في مرحلة القواعد وشبة متوقف وتم ال</t>
  </si>
  <si>
    <t xml:space="preserve">تم الاتصال بالمالك وقال وقع مع شركة اخري</t>
  </si>
  <si>
    <t xml:space="preserve">تم التواصل بالواتس اب مع وكيل المالكةووتم ارسال مو</t>
  </si>
  <si>
    <t xml:space="preserve">الاجتماع تم : تمت زياره للمكتب علي حسب الموعد ومقا</t>
  </si>
  <si>
    <t xml:space="preserve">13:07</t>
  </si>
  <si>
    <t xml:space="preserve">تم زيارة الموقع ويوجد مصعد تم رفع المقاسات والاتصا</t>
  </si>
  <si>
    <t xml:space="preserve">الاجتماع تم : تمت زياره للمكتب وعدم تواجد م وضاح</t>
  </si>
  <si>
    <t xml:space="preserve">13:12</t>
  </si>
  <si>
    <t xml:space="preserve">المقاول عاود الاتصال وقال المالك تعاقد علي المصعد </t>
  </si>
  <si>
    <t xml:space="preserve">13:18</t>
  </si>
  <si>
    <t xml:space="preserve">تم زيارة الموقع في مرحلة القواعدوتم الاتصال بالمقا</t>
  </si>
  <si>
    <t xml:space="preserve">تم زيارة الموقع في مرحلة الحفر وتم الاتصال بالمقاو</t>
  </si>
  <si>
    <t xml:space="preserve">تم زيارة الموقع بمرحلة القواعد وتم الاتصال بالمقاو</t>
  </si>
  <si>
    <t xml:space="preserve">14:46</t>
  </si>
  <si>
    <t xml:space="preserve">تم زيارة الموقع بمرحلة الخرسانة وتم لاتصال بالمقاو</t>
  </si>
  <si>
    <t xml:space="preserve">تم زيارة الموقع في مرحلة الطابوق ويوجد مصعد استاند</t>
  </si>
  <si>
    <t xml:space="preserve">15:20</t>
  </si>
  <si>
    <t xml:space="preserve">15:38</t>
  </si>
  <si>
    <t xml:space="preserve">المهام المراد تنفيذها تم : تعاقد مع الغيير</t>
  </si>
  <si>
    <t xml:space="preserve">الاجتماع تم : تم التواصل والتفاوض في عرض سعر التكي</t>
  </si>
  <si>
    <t xml:space="preserve">15:41</t>
  </si>
  <si>
    <t xml:space="preserve">Site Visit تم : تم الاتصال ومتابعه مشروع خالد العا</t>
  </si>
  <si>
    <t xml:space="preserve">15:42</t>
  </si>
  <si>
    <t xml:space="preserve">Site Visit تم : تم زياره الموقع وارسال فيديو للعمي</t>
  </si>
  <si>
    <t xml:space="preserve">الاجتماع تم : تم التواصل لطلب رخصه الشركه لعمل عقد</t>
  </si>
  <si>
    <t xml:space="preserve">الاجتماع تم : تمالتواصل واختيار الديكور وجاري عمل </t>
  </si>
  <si>
    <t xml:space="preserve">15:46</t>
  </si>
  <si>
    <t xml:space="preserve">الاجتماع تم : تم التواصل متابعه طلب التصنيع علي ما</t>
  </si>
  <si>
    <t xml:space="preserve">تم زيارة الموقع ورفع المقاسات وتم مقابله م سرداد و</t>
  </si>
  <si>
    <t xml:space="preserve">تم زيارة الموقع ورفع المقاسات وتم الاتصال ع مهندس </t>
  </si>
  <si>
    <t xml:space="preserve">تم زيارة الموقع ورفع المقاسات ومقابله م مسعد وقال </t>
  </si>
  <si>
    <t xml:space="preserve">تم زيارة الموقع ورفع المقاسات ولا احد يجيب من المق</t>
  </si>
  <si>
    <t xml:space="preserve">تم زيارة الموقع ومقابله المالك ولا يوجد مصعد وقال </t>
  </si>
  <si>
    <t xml:space="preserve">مكالمة تم : تم التواصل مع المالك والاتفاق علي دفع </t>
  </si>
  <si>
    <t xml:space="preserve">تم زيارة الموقع ومقابله م عبد الوهاب وقال المالك م</t>
  </si>
  <si>
    <t xml:space="preserve">تم زيارة الموقع ومقابله المالك وقال لا يوجد مصعد و</t>
  </si>
  <si>
    <t xml:space="preserve">تم زيارة الموقع ومقابله م مصطفي وقال لا يوجد مصعد </t>
  </si>
  <si>
    <t xml:space="preserve">تم مقابلة المالك ومهندس الموقع</t>
  </si>
  <si>
    <t xml:space="preserve">تم زيارة الموقع ورفع المقاسات ومقابله م ابو مالك ا</t>
  </si>
  <si>
    <t xml:space="preserve">تم زيارة الموقع ومقابله م احمد وقال حاليا مفيش مشا</t>
  </si>
  <si>
    <t xml:space="preserve">تم رفع المقاسات ومقابله المالك وقال انه متعاقد معا</t>
  </si>
  <si>
    <t xml:space="preserve">تم زيارة الموقع ورفع المقاسات والتواصل مع م محمد و</t>
  </si>
  <si>
    <t xml:space="preserve">تم زيارة الموقع ومقابله م محمد زايد ومتابعه اعمل ا</t>
  </si>
  <si>
    <t xml:space="preserve">Site Visit تم : تم المعاينه وعمل عرض سعر مصعد 2 وق</t>
  </si>
  <si>
    <t xml:space="preserve">Site Visit تم : تم زياره الموقع بدون مصعد ولكن تم </t>
  </si>
  <si>
    <t xml:space="preserve">تم زيارة الموقع في مرحلة التشطيب وتم مقابلة المالك</t>
  </si>
  <si>
    <t xml:space="preserve">زيارة الموقع ومقابلة الاستاذ سعيد برهوم الكعبي تفا</t>
  </si>
  <si>
    <t xml:space="preserve">زيارة الموقع ومقابلة المهندس محمد سمير لا يوجد مصع</t>
  </si>
  <si>
    <t xml:space="preserve">زيارة موقع محمد الشامسى وسعيد قناص و كريمه الهنائي</t>
  </si>
  <si>
    <t xml:space="preserve">22:26</t>
  </si>
  <si>
    <t xml:space="preserve">Site Visit تم : تم زياره الموقع ومقابله المقاول لت</t>
  </si>
  <si>
    <t xml:space="preserve">Site Visit تم : تم زياره الموقع ومقابله مقاول الكه</t>
  </si>
  <si>
    <t xml:space="preserve">22:59</t>
  </si>
  <si>
    <t xml:space="preserve">23:03</t>
  </si>
  <si>
    <t xml:space="preserve">Site Visit تم : ١٧ موقع ١ مصعد</t>
  </si>
  <si>
    <t xml:space="preserve">10:04</t>
  </si>
  <si>
    <t xml:space="preserve">تم زيارة الموقع لمتابعة تركيب المصعد وتم عمل المعا</t>
  </si>
  <si>
    <t xml:space="preserve">11:15</t>
  </si>
  <si>
    <t xml:space="preserve">تم زيارة الموقع ومتالعة بعد التعاوتم ارسال صوة للم</t>
  </si>
  <si>
    <t xml:space="preserve">12:22</t>
  </si>
  <si>
    <t xml:space="preserve">Site Visit تم : تمت زياره للموقع ورفع المقاسات لعم</t>
  </si>
  <si>
    <t xml:space="preserve">تم الاتصال بالمقاول وارسل مخططات تكييف وجاري عمل ع</t>
  </si>
  <si>
    <t xml:space="preserve">الاجتماع تم : تمت زياره للمكتب ومقابله م ياسر واحم</t>
  </si>
  <si>
    <t xml:space="preserve">تم زيارة الموقع بمرحلة التشطيب وتم الاتصال بالمقاو</t>
  </si>
  <si>
    <t xml:space="preserve">تم زيارة الموقع وتم توقيع عقد توريد التكييف ومتابع</t>
  </si>
  <si>
    <t xml:space="preserve">مقابله المالك ومهندس حضرة والحداد وجاري بدء العمل</t>
  </si>
  <si>
    <t xml:space="preserve">اجتماع بمعرض العين مع المالك ومهندس ايهاب و م رؤوف</t>
  </si>
  <si>
    <t xml:space="preserve">مقابله مهندس محمد ومتابعه مشرع سعيد مصبح والمشاريع</t>
  </si>
  <si>
    <t xml:space="preserve">دوام من المعرض ومتابعه اتصالات</t>
  </si>
  <si>
    <t xml:space="preserve">تم زيارة الموقع في مرحلة التشطيب ولا يوجد مصعد حال</t>
  </si>
  <si>
    <t xml:space="preserve">17:26</t>
  </si>
  <si>
    <t xml:space="preserve">17:28</t>
  </si>
  <si>
    <t xml:space="preserve">تم مقابلة العميل مع مهندس ايهاب وشرح كافة التفاصيل</t>
  </si>
  <si>
    <t xml:space="preserve">تم مقابلة مهندس احمد وارسال الكوتيشن بعد التعديل</t>
  </si>
  <si>
    <t xml:space="preserve">17:50</t>
  </si>
  <si>
    <t xml:space="preserve">تم زيارة الموقع في مرحلة الطابوق ويوجد مصعد 4 وقفا</t>
  </si>
  <si>
    <t xml:space="preserve">17:56</t>
  </si>
  <si>
    <t xml:space="preserve">تم زيارة الموقع ومقابلة المقاول وقال لا يوجد مصعد </t>
  </si>
  <si>
    <t xml:space="preserve">Site Visit تم : تم زياره الموقع ومقابله المقاول وا</t>
  </si>
  <si>
    <t xml:space="preserve">Site Visit تم : تم الاجتماع مع م احمد سنبل للتفاوض</t>
  </si>
  <si>
    <t xml:space="preserve">Site Visit تم : تم زياره الموقع لمقابله المالك وفت</t>
  </si>
  <si>
    <t xml:space="preserve">تم زيارة المكتب ومقابله م سليمان ومتابعه المشاريع </t>
  </si>
  <si>
    <t xml:space="preserve">تم زيارة المكتب ومقابله م صالح وقال حاليا لا يوجد </t>
  </si>
  <si>
    <t xml:space="preserve">19:56</t>
  </si>
  <si>
    <t xml:space="preserve">تم زيارة المكتب ومقابله م هشام ومتابعه المشاريع وق</t>
  </si>
  <si>
    <t xml:space="preserve">تم زيارة المكتب ومقابله م صهيب وم محمود وارسل ٣ مخ</t>
  </si>
  <si>
    <t xml:space="preserve">تم زيارة المكتب ومقابله م عدي ومتابعه المشاريع</t>
  </si>
  <si>
    <t xml:space="preserve">زيارة الموقع ومقابلة المالك الاستاذ هزاع بن رفيع م</t>
  </si>
  <si>
    <t xml:space="preserve">زيارة الموقع ومقابلة المهندس سيد متابعة موقع حمد ا</t>
  </si>
  <si>
    <t xml:space="preserve">زيارة الموقع وتم الاتصال على مهندس محمد مطلوب عرض </t>
  </si>
  <si>
    <t xml:space="preserve">الاتصال على عملاء السوشيال مديا و عروض الاسعار</t>
  </si>
  <si>
    <t xml:space="preserve">تم زيارة المكان وعمل عرض سعر للمصعد والمكيف والتوا</t>
  </si>
  <si>
    <t xml:space="preserve">Site Visit تم : تم المقابله بالموقع وشرح التكييف و</t>
  </si>
  <si>
    <t xml:space="preserve">مكالمة تم : تم التواصل ومنتظر ارسال مط تكييف غدا</t>
  </si>
  <si>
    <t xml:space="preserve">الاجتماع تم : تم النتواصل لمتابعه مشروع مالك العام</t>
  </si>
  <si>
    <t xml:space="preserve">23:04</t>
  </si>
  <si>
    <t xml:space="preserve">الاجتماع تم : تم التواصل لمتابعه عرض سعر واخر وضع </t>
  </si>
  <si>
    <t xml:space="preserve">الاجتماع تم : 15 موقع 1 مقابله</t>
  </si>
  <si>
    <t xml:space="preserve">09:51</t>
  </si>
  <si>
    <t xml:space="preserve">تم زيارة الموقع في مرحلة الخرسانة ويوجد مصعد تم رف</t>
  </si>
  <si>
    <t xml:space="preserve">تم زيارة الموقع في مرحلة التشطيب والباب مغلق وتم ا</t>
  </si>
  <si>
    <t xml:space="preserve">10:17</t>
  </si>
  <si>
    <t xml:space="preserve">تم زيارة الموقع ومقابلة مهندس جبران وتم ابلاغه بيع</t>
  </si>
  <si>
    <t xml:space="preserve">15:21</t>
  </si>
  <si>
    <t xml:space="preserve">زياره الموقع ومقابله مهندس منظور وتم تحديد مكان ال</t>
  </si>
  <si>
    <t xml:space="preserve">15:26</t>
  </si>
  <si>
    <t xml:space="preserve">زياره الموقع ومقابله مهندسة اسراء شركه ريجكسي للمق</t>
  </si>
  <si>
    <t xml:space="preserve">زياره الموقع ومقابله مهندس مير شركه وادي وفا للمقا</t>
  </si>
  <si>
    <t xml:space="preserve">معاينه الموقع واقتراح مكان اخر وجاري الاعتماد</t>
  </si>
  <si>
    <t xml:space="preserve">تم زيارة الموقع ومقابله م حسين ولا يوجد مصعد وقال </t>
  </si>
  <si>
    <t xml:space="preserve">تم زيارة الموقع ورفع المقاسات وعمل عرض سعر لتقديمه</t>
  </si>
  <si>
    <t xml:space="preserve">تم زيارة الموقع ومقابله المالك وقال مكان المصعد طا</t>
  </si>
  <si>
    <t xml:space="preserve">تم زيارة الموقع ومتابعه عرض السعر ومقابله م محمد و</t>
  </si>
  <si>
    <t xml:space="preserve">تم زيارة الموقع ومقابله م عثمان وقال لا يوجد مصعد</t>
  </si>
  <si>
    <t xml:space="preserve">تم زيارة الموقع ومقابله م ابو احمد الروية المتكامل</t>
  </si>
  <si>
    <t xml:space="preserve">تم زيارة الموقع ومقابله م حاتم وقال المالك تعاقد م</t>
  </si>
  <si>
    <t xml:space="preserve">عميليه سوشيال تم التواصل معاها وعمل عرض سعر مصعد</t>
  </si>
  <si>
    <t xml:space="preserve">16:12</t>
  </si>
  <si>
    <t xml:space="preserve">مكالمة تم : تم التواصل مع المالكه لمحاوله اقناعها </t>
  </si>
  <si>
    <t xml:space="preserve">Site Visit تم : تم الاجتماع بموقع سيف المنصوري وتح</t>
  </si>
  <si>
    <t xml:space="preserve">المهام المراد تنفيذها تم : تم التواصل وتم الاستفسا</t>
  </si>
  <si>
    <t xml:space="preserve">16:26</t>
  </si>
  <si>
    <t xml:space="preserve">Site Visit تم : تم التواصل مشروع مرحله الاساس لايو</t>
  </si>
  <si>
    <t xml:space="preserve">تم زيارة المكتب ومقابلة مهندس علاء مدير المشاريع و</t>
  </si>
  <si>
    <t xml:space="preserve">الاجتماع تم : تم التواصل وعمل عرض سعر تكييف</t>
  </si>
  <si>
    <t xml:space="preserve">الاجتماع تم : تم الاجتماع مسبقا سمارت هوم وعمل عرض</t>
  </si>
  <si>
    <t xml:space="preserve">Office Visit تم : تم زياره المكتب ولم تتم مقابله م</t>
  </si>
  <si>
    <t xml:space="preserve">المهام المراد تنفيذها تم : ٧ مواقع ٤ مكتب ٤ مقابله</t>
  </si>
  <si>
    <t xml:space="preserve">مكالمة تم : تم التواصل بالمالك واخباري بانشغاله وا</t>
  </si>
  <si>
    <t xml:space="preserve">تم زيارة المكتب ومقابلة المدير مهندس مدحت وتم مناق</t>
  </si>
  <si>
    <t xml:space="preserve">تم زيارة المكتب ومقابلة السكرتيرة وقالت المدير بال</t>
  </si>
  <si>
    <t xml:space="preserve">تم زيارة المكتب ومقابلة المدير ومهندس نجدت وتم الت</t>
  </si>
  <si>
    <t xml:space="preserve">تم التواصل مع المقاول بالواتس اب وارسل مخطط تكييف </t>
  </si>
  <si>
    <t xml:space="preserve">مكالمة تم : تم التواصل مع م اسلام لمتابعه المشاريه</t>
  </si>
  <si>
    <t xml:space="preserve">18:59</t>
  </si>
  <si>
    <t xml:space="preserve">مكالمة تم : اتصال بالمهندس ولم يرد ومتابعه وارسال </t>
  </si>
  <si>
    <t xml:space="preserve">مكالمة تم : تم التواصل ولم يرد متابعه غدا بالموقع</t>
  </si>
  <si>
    <t xml:space="preserve">تم عمل عرض سعر للمصعد</t>
  </si>
  <si>
    <t xml:space="preserve">تم عمل عرض سعر للمصعد حمولة 1000</t>
  </si>
  <si>
    <t xml:space="preserve">تم زيارة الموقع لمتابعة الاعمال المدنية</t>
  </si>
  <si>
    <t xml:space="preserve">21:51</t>
  </si>
  <si>
    <t xml:space="preserve">تم معاينة الموقع وعمل عرض سعر للمصعد</t>
  </si>
  <si>
    <t xml:space="preserve">22:51</t>
  </si>
  <si>
    <t xml:space="preserve">الاجتماع تم : تم زياره المكتب ومقابله م اركان واخب</t>
  </si>
  <si>
    <t xml:space="preserve">الاجتماع تم : تم مقابله ابو فاطمه وكلم ابو راشد ال</t>
  </si>
  <si>
    <t xml:space="preserve">Site Visit تم : تم مقابله المالك مع استاذ سيد ومطل</t>
  </si>
  <si>
    <t xml:space="preserve">الاجتماع تم : تم زياره المكتب لمقابله م فادي ولكنه</t>
  </si>
  <si>
    <t xml:space="preserve">تم زيترة الموقع شبة متوقف وتم عمل المعابنة بناء عل</t>
  </si>
  <si>
    <t xml:space="preserve">12:51</t>
  </si>
  <si>
    <t xml:space="preserve">زياره الموقع ومقابله مهندس جلال ومهندس عبدالواصف و</t>
  </si>
  <si>
    <t xml:space="preserve">14:08</t>
  </si>
  <si>
    <t xml:space="preserve">معاينه الموقع والتواصل مع ام مبارك التحويل الشهر ا</t>
  </si>
  <si>
    <t xml:space="preserve">تم زيارة الموقع ويوجد مصعد في مرحلة الخرسانة وتم ر</t>
  </si>
  <si>
    <t xml:space="preserve">16:18</t>
  </si>
  <si>
    <t xml:space="preserve">Site Visit تم : تمت زياره للموقع ورفع المقاسات ومن</t>
  </si>
  <si>
    <t xml:space="preserve">تم زيارة الموقع ويوجد مصعد تم رفع المقاساتوالاتصال</t>
  </si>
  <si>
    <t xml:space="preserve">تم زيارة الموقع لمتابعة عرض السعر والموقع في مرحلة</t>
  </si>
  <si>
    <t xml:space="preserve">تم زيارة الموقع في مرحلة الطابوق وتم الاتصال بالمق</t>
  </si>
  <si>
    <t xml:space="preserve">Site Visit تم : تم زياره للموقع لمتابعه الاعمال بع</t>
  </si>
  <si>
    <t xml:space="preserve">16:51</t>
  </si>
  <si>
    <t xml:space="preserve">الاجتماع تم : تم زياره للموقع والاجتماع مع الاستشا</t>
  </si>
  <si>
    <t xml:space="preserve">تم زيارة الموقع في مرحلة الطابوق ولا يوجد مصعد وتم</t>
  </si>
  <si>
    <t xml:space="preserve">الاجتماع تم : تمت زياره للمكتب ومقابله م ايهاب وان</t>
  </si>
  <si>
    <t xml:space="preserve">الاجتماع تم : تمت زياره للمكتب وسفر م علي خارج الب</t>
  </si>
  <si>
    <t xml:space="preserve">تم زيارة المكتب ومقابله م مصطفي وانتظاره ومتابعه ا</t>
  </si>
  <si>
    <t xml:space="preserve">تم زيارة المكتب ومقابله م محمد خميس وقال انه حاليا</t>
  </si>
  <si>
    <t xml:space="preserve">تم زياره المكتب ومقابله م احمد وحيد ومتابعه المشار</t>
  </si>
  <si>
    <t xml:space="preserve">تم زيارة المكتب ومقابله م محمد وقال ان مهندس سليما</t>
  </si>
  <si>
    <t xml:space="preserve">تم زيارة المكتب ومقابله م اسامه وقال مهندس نصر مش </t>
  </si>
  <si>
    <t xml:space="preserve">تم زيارة المكتب ومقابله م ابراهيم وتسليمه عرض سعر </t>
  </si>
  <si>
    <t xml:space="preserve">تم الاتصال بالمهندس المسؤال وقال المالك منتظر عرض </t>
  </si>
  <si>
    <t xml:space="preserve">تم زيارة المكتب ومقابله م علي وقال حاليا الدينا وا</t>
  </si>
  <si>
    <t xml:space="preserve">17:10</t>
  </si>
  <si>
    <t xml:space="preserve">تم زيارة المكتب ومقابله م مزيد ومتابعه المشاريع وق</t>
  </si>
  <si>
    <t xml:space="preserve">تم زيارة المكتب ومقابله م رضوان وقال انا اعرفك لكن</t>
  </si>
  <si>
    <t xml:space="preserve">تم زيارة المكتب ومقابله م وليد والشرح والاتفاق ع ا</t>
  </si>
  <si>
    <t xml:space="preserve">تم الاتصال بالمالك وشرح التكييف وارسل المخططات وطل</t>
  </si>
  <si>
    <t xml:space="preserve">تم زيارة الموقع في مرحلة الطابوق ويوجد مصعد تم رفع</t>
  </si>
  <si>
    <t xml:space="preserve">تم زيارة الموقع في مرحلة الخرسانة والطابوق ويوجد م</t>
  </si>
  <si>
    <t xml:space="preserve">تم زيارة الموقع في مرحلة الطابوق ويوجد مصعد وتم رف</t>
  </si>
  <si>
    <t xml:space="preserve">تم زيارة الموقع لمتابعة ما بعد التعاقد وتم عمل الم</t>
  </si>
  <si>
    <t xml:space="preserve">Office Visit تم : تم الاجتماع وشرح التكييف وسمارت </t>
  </si>
  <si>
    <t xml:space="preserve">Office Visit تم : تم الاجتماع بالمكتب والشرح والتا</t>
  </si>
  <si>
    <t xml:space="preserve">18:03</t>
  </si>
  <si>
    <t xml:space="preserve">Office Visit تم : تم الاجتماع ومتابعه مشروعات تم ا</t>
  </si>
  <si>
    <t xml:space="preserve">18:08</t>
  </si>
  <si>
    <t xml:space="preserve">Office Visit تم : تم الاجتماع والتاكيد علي سمارت و</t>
  </si>
  <si>
    <t xml:space="preserve">زياره المكتب ومتابعه مع مهندس كمال</t>
  </si>
  <si>
    <t xml:space="preserve">زياره المكتب ومتابعه مع مهندس عمرو</t>
  </si>
  <si>
    <t xml:space="preserve">زياره المكتب ومتابعه مع مهندس حمزة</t>
  </si>
  <si>
    <t xml:space="preserve">زياره المكتب ومتابعه مع مهندس عبدالمحسن</t>
  </si>
  <si>
    <t xml:space="preserve">زياره المكتب ومتابعه مع مهندس باسم</t>
  </si>
  <si>
    <t xml:space="preserve">زياره المكتب ومتابعه مع مهندس احمد</t>
  </si>
  <si>
    <t xml:space="preserve">زيارة الموقع ومقابلة المهندس غدي واعطاني مخطط لعمل</t>
  </si>
  <si>
    <t xml:space="preserve">20:13</t>
  </si>
  <si>
    <t xml:space="preserve">زيارة الموقع ومقابلة المقاول الاستاذ محمد الشكيلي </t>
  </si>
  <si>
    <t xml:space="preserve">زيارة الموقع ومقابلة المهندس زاهد اعطانى مخطط مطلو</t>
  </si>
  <si>
    <t xml:space="preserve">20:17</t>
  </si>
  <si>
    <t xml:space="preserve">زيارة المكتب ومقابلة المهندس وصاحب شركة المقاولات </t>
  </si>
  <si>
    <t xml:space="preserve">زيارة موقع حميد النعيمي للمعاينة والمتابعة</t>
  </si>
  <si>
    <t xml:space="preserve">زيارة موقع سيف ولطيفه العرياني</t>
  </si>
  <si>
    <t xml:space="preserve">20:32</t>
  </si>
  <si>
    <t xml:space="preserve">الاجتماع تم : تم زياره المكتب لمقابله م احمد واخبر</t>
  </si>
  <si>
    <t xml:space="preserve">20:34</t>
  </si>
  <si>
    <t xml:space="preserve">Site Visit تم : تم زياره الموقع ومقابله المهندس عب</t>
  </si>
  <si>
    <t xml:space="preserve">Site Visit تم : تم تسليم المصعد واستلام الدفعه</t>
  </si>
  <si>
    <t xml:space="preserve">الاجتماع تم : تم عمل العقد وجاري التنفيذ</t>
  </si>
  <si>
    <t xml:space="preserve">تصوير بمكتب الشارقة</t>
  </si>
  <si>
    <t xml:space="preserve">الاجتماع تم : تم زياره المكتب لمقابله المهندس ولكن</t>
  </si>
  <si>
    <t xml:space="preserve">10:14</t>
  </si>
  <si>
    <t xml:space="preserve">ستم زيارة المكتب ومقابلة المدير واعطاني رقم احد ال</t>
  </si>
  <si>
    <t xml:space="preserve">15:35</t>
  </si>
  <si>
    <t xml:space="preserve">تم زيارة الموقع ورفع المقاسات لمصعدين وتم الاتصال </t>
  </si>
  <si>
    <t xml:space="preserve">تم زيارة الموقع ورفع المقاسات والتواصل مع م رجب لك</t>
  </si>
  <si>
    <t xml:space="preserve">تم زيارة المكتب ومقابله م محمد واعطاني مشروع به 3 </t>
  </si>
  <si>
    <t xml:space="preserve">15:56</t>
  </si>
  <si>
    <t xml:space="preserve">تم زيارة المكتب ومقابلة م حسن ومتابعة مشروع حسن اب</t>
  </si>
  <si>
    <t xml:space="preserve">تم زيارة المكتب ومهندس احمد غير متواجد لمتابعه مشر</t>
  </si>
  <si>
    <t xml:space="preserve">16:09</t>
  </si>
  <si>
    <t xml:space="preserve">تم زيارة الموقع ومتابعه عرض السعر والتواصلمع المال</t>
  </si>
  <si>
    <t xml:space="preserve">تم زيارة المكتب ومقابلة مهندس علي وارسل 2 مشروع سم</t>
  </si>
  <si>
    <t xml:space="preserve">تم زيارة المكتب ومقابلة المحاسب وتم مناقشة مشروع ا</t>
  </si>
  <si>
    <t xml:space="preserve">تم زيارة المكتب ومقابلة مهندس محمد صبري وقال لسه ا</t>
  </si>
  <si>
    <t xml:space="preserve">تم التواصل بالواتس مع دكتور حازم وارسل مخططات 8 مص</t>
  </si>
  <si>
    <t xml:space="preserve">تم مقابلة مهندس احمد لبحث مشروع ال 3 مصاعد.. متوقف</t>
  </si>
  <si>
    <t xml:space="preserve">تم مقابلة المهندس/ لا توجد مشاريع حاليا</t>
  </si>
  <si>
    <t xml:space="preserve">تم مقابلة مهندس احمد لمتابعة سمارت هوم على المالود</t>
  </si>
  <si>
    <t xml:space="preserve">تم مقابلة المهندس وفى انتظار ارسال مشروعين قريبا</t>
  </si>
  <si>
    <t xml:space="preserve">مكالمة تم : تم التواصل مع المالكه واخباري بعرض الم</t>
  </si>
  <si>
    <t xml:space="preserve">مكالمة تم : تم التواصل مع م عبد الرحمن وارسال عرض </t>
  </si>
  <si>
    <t xml:space="preserve">مكالمة تم : التواصل لتوريد جزء من المكن الخارجي حم</t>
  </si>
  <si>
    <t xml:space="preserve">تم زياره الموقع ورفع المقاسات ٣ مصاعد وجاري عمل ٣ </t>
  </si>
  <si>
    <t xml:space="preserve">تم زياره معرض العين واعتماد ديكور المصعد</t>
  </si>
  <si>
    <t xml:space="preserve">زياره المكتب ومقابله مهندس طارق ومتابعه موقع عهود </t>
  </si>
  <si>
    <t xml:space="preserve">تم اعتماد ديكور المصعد وتم تحويل المبلغ</t>
  </si>
  <si>
    <t xml:space="preserve">18:47</t>
  </si>
  <si>
    <t xml:space="preserve">18:54</t>
  </si>
  <si>
    <t xml:space="preserve">الاجتماع تم : تم الاجتماع بالمعرض اليوم والشرح ومن</t>
  </si>
  <si>
    <t xml:space="preserve">19:02</t>
  </si>
  <si>
    <t xml:space="preserve">الاجتماع تم : تم المتابعه بعد تعدبلات في المشروع و</t>
  </si>
  <si>
    <t xml:space="preserve">19:03</t>
  </si>
  <si>
    <t xml:space="preserve">المهام المراد تنفيذها تم : تم اليوم توريد الماكينا</t>
  </si>
  <si>
    <t xml:space="preserve">الاجتماع تم : تم الاتصال للمتابعه وتجديد الداتا وت</t>
  </si>
  <si>
    <t xml:space="preserve">19:07</t>
  </si>
  <si>
    <t xml:space="preserve">الاجتماع تم : تم تعديل عرض سعر التكييف الي عقد جار</t>
  </si>
  <si>
    <t xml:space="preserve">الاجتماع تم : تم الاتصال لتجديد الداتا تم التعريف </t>
  </si>
  <si>
    <t xml:space="preserve">الاجتماع تم : تم التواصل وشرح الداتا والارسال ومنت</t>
  </si>
  <si>
    <t xml:space="preserve">الاجتماع تم : تم المتابعه واختيار واعتماد الديكور</t>
  </si>
  <si>
    <t xml:space="preserve">زيارة الموقع ومقابلة المالك والمهندس ومطلوب عرض سع</t>
  </si>
  <si>
    <t xml:space="preserve">زيارة الموقع ومقابلة المهندس مصطفي بشوف المالك واخ</t>
  </si>
  <si>
    <t xml:space="preserve">زيارة الموقع وتم الاتصال على مهندس اسلام لم يرد</t>
  </si>
  <si>
    <t xml:space="preserve">زيارة الموقع وتم الاتصال على مهندس محمد لم يرد</t>
  </si>
  <si>
    <t xml:space="preserve">زيارة المكتب ومقابلة المهندس محمود متابعة عرض سعر </t>
  </si>
  <si>
    <t xml:space="preserve">زيارة المكتب ومقابلة المهندس أحمد برسلك المشاريع ا</t>
  </si>
  <si>
    <t xml:space="preserve">المهام المراد تنفيذها تم : دوام معرض ١ مقابله ١ مص</t>
  </si>
  <si>
    <t xml:space="preserve">Site Visit تم : تم زياره الموقع لمقابله المالك وال</t>
  </si>
  <si>
    <t xml:space="preserve">الاجتماع تم : تم مقابله م اركان ورسلي رقم مالك وطل</t>
  </si>
  <si>
    <t xml:space="preserve">الاجتماع تم : تم مقابله ابو فاطمه واخبرني انه سيرس</t>
  </si>
  <si>
    <t xml:space="preserve">21:53</t>
  </si>
  <si>
    <t xml:space="preserve">الاجتماع تم : تم زياره المكتب ومقابله م فادي واخبر</t>
  </si>
  <si>
    <t xml:space="preserve">21:55</t>
  </si>
  <si>
    <t xml:space="preserve">الاجتماع تم : تم مقابله م حاتم واخبرني هيرسل مخططا</t>
  </si>
  <si>
    <t xml:space="preserve">تم زيارة الموقع لمتابعة الاعمال المدنية وتم عمل ال</t>
  </si>
  <si>
    <t xml:space="preserve">12:58</t>
  </si>
  <si>
    <t xml:space="preserve">الاجتماع تم : تمت زياره للمكتب ومقابله م وضاح لمتا</t>
  </si>
  <si>
    <t xml:space="preserve">مكالمة تم : تم التواصل مه م علي واخذ مشروع جديد لل</t>
  </si>
  <si>
    <t xml:space="preserve">Site Visit تم : تمت زياره للموقع ورفع المقاسات وال</t>
  </si>
  <si>
    <t xml:space="preserve">تم زيارة الموقع ويوجد مصعد وتم رفع المقاسات وتم ال</t>
  </si>
  <si>
    <t xml:space="preserve">تم زيارة الموقع في مرحلة قبل الحفر وتم الارسال للم</t>
  </si>
  <si>
    <t xml:space="preserve">تم زيارة الموقع في مرحلة الاساسات ولا يوجد مصعد وت</t>
  </si>
  <si>
    <t xml:space="preserve">تم زيارة الموقع ويوجد مصعد بمرحلة الطابوق وتم رفع </t>
  </si>
  <si>
    <t xml:space="preserve">تم زيارة الموقع في مرحلة البلاستر وتم الارسال للاس</t>
  </si>
  <si>
    <t xml:space="preserve">تم زيارة الموقع في مرحلة الطابوق ويوجد مصعد في مرح</t>
  </si>
  <si>
    <t xml:space="preserve">تم الدوام من المعرض والتواصل مع العملاء</t>
  </si>
  <si>
    <t xml:space="preserve">تم التواصل مع المالك ومتابعه التصنيع</t>
  </si>
  <si>
    <t xml:space="preserve">تم التواصل مع المالك ومتابعه اعمال التركيب</t>
  </si>
  <si>
    <t xml:space="preserve">تم زيارة المكتب ومقابله م ابو الفضل ومتابعه عروض ا</t>
  </si>
  <si>
    <t xml:space="preserve">تم التواصل مع م محمد وارسال عروض الاسعار</t>
  </si>
  <si>
    <t xml:space="preserve">عميل اتواصل معايا وتم مناقشه الشمروع وقال بكره برس</t>
  </si>
  <si>
    <t xml:space="preserve">تم التواصل مع استاذ عبد الله اخو المالك لاعتماد ال</t>
  </si>
  <si>
    <t xml:space="preserve">تم زيارة المكتب ومقابله م مناف ومتابعه عرض السعر</t>
  </si>
  <si>
    <t xml:space="preserve">تم زيارة الموقع في مرحلة القواعد تم الاتصال بالمقا</t>
  </si>
  <si>
    <t xml:space="preserve">تم زيارة الموقع في مرحلة الطابوق ويوجد مصعد وتم ال</t>
  </si>
  <si>
    <t xml:space="preserve">18:58</t>
  </si>
  <si>
    <t xml:space="preserve">تم زيارة الموقع في مرحلة الخرسانة ولا يوجد مصعد وت</t>
  </si>
  <si>
    <t xml:space="preserve">19:01</t>
  </si>
  <si>
    <t xml:space="preserve">تم الاتصال بالمقاول مهندس سيد لسؤاله عن عرض سعر ال</t>
  </si>
  <si>
    <t xml:space="preserve">تم زيارة المكتب وكان الباب معلق وتم الاتصال بالمقا</t>
  </si>
  <si>
    <t xml:space="preserve">19:04</t>
  </si>
  <si>
    <t xml:space="preserve">تم زيارة المكتب وتم مقابلة السكرتيرة وقالت المدير </t>
  </si>
  <si>
    <t xml:space="preserve">تم زيارة المكتب وكان الباب مغلق وتم الاتصال بالمقا</t>
  </si>
  <si>
    <t xml:space="preserve">الاجتماع تم : تم عمل عروض اسعار واتصالات من المعرض</t>
  </si>
  <si>
    <t xml:space="preserve">زيارة المكتب ومقابلة المهندس بسام سيتم ارسال مخطط </t>
  </si>
  <si>
    <t xml:space="preserve">زيارة المكتب ومقابلة المهندس وليد متابعة العقود ال</t>
  </si>
  <si>
    <t xml:space="preserve">08:46</t>
  </si>
  <si>
    <t xml:space="preserve">زياره الموقع ومقابله المالك ومتابعه محضر استلام ال</t>
  </si>
  <si>
    <t xml:space="preserve">زياره الموقع ومقابله مهندس مصعب وجاري المتابعه لبد</t>
  </si>
  <si>
    <t xml:space="preserve">08:50</t>
  </si>
  <si>
    <t xml:space="preserve">زياره الموقع مع مهندس مصعب ومتابعه تأسيس المصعد</t>
  </si>
  <si>
    <t xml:space="preserve">08:53</t>
  </si>
  <si>
    <t xml:space="preserve">زياره الموقع ومتابعه مع مهندس محمد جاسم</t>
  </si>
  <si>
    <t xml:space="preserve">Site Visit تم : تم زياره الموقع وعمل معاينه مره اخ</t>
  </si>
  <si>
    <t xml:space="preserve">Site Visit تم : تم زياره الموقع للمعاينه مره اخري </t>
  </si>
  <si>
    <t xml:space="preserve">الاجتماع تم : تم عمل العقد والارسال للمقاول ومنتظر</t>
  </si>
  <si>
    <t xml:space="preserve">Office Visit تم : تم الاجتماع وتحصيل شيك بدفعه الو</t>
  </si>
  <si>
    <t xml:space="preserve">18:12</t>
  </si>
  <si>
    <t xml:space="preserve">Site Visit تم : تم المقابله والاجتماع بمكتب ارض ال</t>
  </si>
  <si>
    <t xml:space="preserve">09:52</t>
  </si>
  <si>
    <t xml:space="preserve">تم نقابلة المقاول وقال المالك وقع مع شركة اخري</t>
  </si>
  <si>
    <t xml:space="preserve">11:00</t>
  </si>
  <si>
    <t xml:space="preserve">تم مقابلة المقاول وتم الاتفاق علي عرض سعر للمصعد و</t>
  </si>
  <si>
    <t xml:space="preserve">11:44</t>
  </si>
  <si>
    <t xml:space="preserve">14:01</t>
  </si>
  <si>
    <t xml:space="preserve">Site Visit تم : تمت زياره للموقع لمتابعه الموقع وا</t>
  </si>
  <si>
    <t xml:space="preserve">الاجتماع تم : تمت زياره للموقع ورفع المقاسات ومقاب</t>
  </si>
  <si>
    <t xml:space="preserve">تم زيارة الموقع لمتابعة عرض السعر وتم تركيب مصعد م</t>
  </si>
  <si>
    <t xml:space="preserve">مكالمة تم : تم عمل عرض السعر والتواصل مع المالك وا</t>
  </si>
  <si>
    <t xml:space="preserve">تم زيارة الموقع في مرحلة الخرسانة وتم الانصال بالم</t>
  </si>
  <si>
    <t xml:space="preserve">تم عمل عرض سعر وارساله الى المهندس</t>
  </si>
  <si>
    <t xml:space="preserve">17:34</t>
  </si>
  <si>
    <t xml:space="preserve">تم عمل عقد وارساله الى المالك</t>
  </si>
  <si>
    <t xml:space="preserve">تم مقابله المالك وتم والتوقيع علي محضر الاستلام</t>
  </si>
  <si>
    <t xml:space="preserve">زياره الموقع ومقابله المالك والمهندس وحاري تحديد م</t>
  </si>
  <si>
    <t xml:space="preserve">22:27</t>
  </si>
  <si>
    <t xml:space="preserve">الدوام من المعرض ومقابلة ابو خليفه الحربي وتم تحصي</t>
  </si>
  <si>
    <t xml:space="preserve">23:10</t>
  </si>
  <si>
    <t xml:space="preserve">Site Visit تم : تم زياره الموقع ومقابله المالك وسر</t>
  </si>
  <si>
    <t xml:space="preserve">Site Visit تم : تم زياره الموقع ومقابله المالك وتو</t>
  </si>
  <si>
    <t xml:space="preserve">23:51</t>
  </si>
  <si>
    <t xml:space="preserve">Site Visit تم : تمت المقابله بموقع سلوي المخمري ثن</t>
  </si>
  <si>
    <t xml:space="preserve">23:54</t>
  </si>
  <si>
    <t xml:space="preserve">الاجتماع تم : تم الاجتماع بالمعرض زالشرح وارسال مخ</t>
  </si>
  <si>
    <t xml:space="preserve">الاجتماع تم : مراجعه معم ايهاب واستاذ سيد وعمل اتص</t>
  </si>
  <si>
    <t xml:space="preserve">Site Visit تم : تمت زياره للموقع لمفابله م جلال وع</t>
  </si>
  <si>
    <t xml:space="preserve">الاجتماع تم : تمت زياره للموقع ومقابله م عمر وشرح </t>
  </si>
  <si>
    <t xml:space="preserve">Site Visit تم</t>
  </si>
  <si>
    <t xml:space="preserve">Site Visit تم : تمت زياره للموقع ورفع مقاسات مصعد </t>
  </si>
  <si>
    <t xml:space="preserve">Site Visit تم : تمت زياره للموقعين ورفع المقاسات و</t>
  </si>
  <si>
    <t xml:space="preserve">15:02</t>
  </si>
  <si>
    <t xml:space="preserve">تم إرسال العقد وتحويل 10% بفضل الله للمكيفات</t>
  </si>
  <si>
    <t xml:space="preserve">دوام من معرض العين</t>
  </si>
  <si>
    <t xml:space="preserve">تم زيارة المكتب ومقابله م مناف ومتابغه الهقد وكلم </t>
  </si>
  <si>
    <t xml:space="preserve">تم الاتصال بالمالك وتم اعتماد ديكور ومقاسات الكابي</t>
  </si>
  <si>
    <t xml:space="preserve">تم زيارة المكتب ومقابله م محمد مجدي والاتفاق علي ا</t>
  </si>
  <si>
    <t xml:space="preserve">تم التواصل مع المالك ومتابعه عرض السعر وقال كلمني </t>
  </si>
  <si>
    <t xml:space="preserve">تم زيارة المكتب ومقابله م عبد الستار وتسليمه عرض ا</t>
  </si>
  <si>
    <t xml:space="preserve">تم زيارة الموقع ومعاينه ٢ فيلا والتواصل مع م حفظي </t>
  </si>
  <si>
    <t xml:space="preserve">تم معاينه الموقع والتواصل مع المالك مسلم ومتابعه ع</t>
  </si>
  <si>
    <t xml:space="preserve">تم زيارة المكتب ومقابله م وليد وتسليم عرض سعر المك</t>
  </si>
  <si>
    <t xml:space="preserve">تم زيارة الموقع ومقابله الفورمان وانتظار المالك حس</t>
  </si>
  <si>
    <t xml:space="preserve">زيارة الموقع ومقابلة المهندس عبدالمنعم مطلوب عرض س</t>
  </si>
  <si>
    <t xml:space="preserve">زيارة الموقع ومقابلة المهندس الفاتح مطلوب عرض سعر </t>
  </si>
  <si>
    <t xml:space="preserve">مقابله ابو خليفه الحربي اختيار ديكورات ومقابلة الم</t>
  </si>
  <si>
    <t xml:space="preserve">زيارة الموقع مع المهندس ايهاب للمعاينة وتم عرض سعر</t>
  </si>
  <si>
    <t xml:space="preserve">الاجتماع تم : تم التواصل للاستعلام عن مشروع وقال ف</t>
  </si>
  <si>
    <t xml:space="preserve">22:14</t>
  </si>
  <si>
    <t xml:space="preserve">الاجتماع تم : تم الاتصال لمتابعه عرض سعر مصعد وقال</t>
  </si>
  <si>
    <t xml:space="preserve">22:15</t>
  </si>
  <si>
    <t xml:space="preserve">الاجتماع تم : تم ارسال عرض السعر بعد التعديل بناءا</t>
  </si>
  <si>
    <t xml:space="preserve">22:17</t>
  </si>
  <si>
    <t xml:space="preserve">الاجتماع تم : تم ارسال عرض سعر التكييف والمناقشه و</t>
  </si>
  <si>
    <t xml:space="preserve">22:19</t>
  </si>
  <si>
    <t xml:space="preserve">الاجتماع تم : بعد الاجتماع معه تم عمل ارض السعر وا</t>
  </si>
  <si>
    <t xml:space="preserve">الاجتماع تم : تم الارسال ومنتظر الرد من المالك</t>
  </si>
  <si>
    <t xml:space="preserve">22:22</t>
  </si>
  <si>
    <t xml:space="preserve">المهام المراد تنفيذها تم : ١٥ موقع ١ مقابله ١ مصعد</t>
  </si>
  <si>
    <t xml:space="preserve">Site Visit تم : تم زياره الموقع ومقابله المالك وال</t>
  </si>
  <si>
    <t xml:space="preserve">Site Visit تم : تم مقابله م رامي لتوضيح الدفعات وا</t>
  </si>
  <si>
    <t xml:space="preserve">23:17</t>
  </si>
  <si>
    <t xml:space="preserve">Site Visit تم : تم زياره الموقع ومقابله م حاتم واع</t>
  </si>
  <si>
    <t xml:space="preserve">13:24</t>
  </si>
  <si>
    <t xml:space="preserve">Site Visit تم : تمت زياره للموقع ولا يوجد مصعد وال</t>
  </si>
  <si>
    <t xml:space="preserve">الاجتماع تم : تم الاجتماع بالموقع بحضور سيف للملاح</t>
  </si>
  <si>
    <t xml:space="preserve">Office Visit تم : تم الاجتماع بالمكتب وشرح مخطط بد</t>
  </si>
  <si>
    <t xml:space="preserve">Office Visit تم : تم الاجتماع بالمكتب ومتابعه عروض</t>
  </si>
  <si>
    <t xml:space="preserve">Site Visit تم : تم وزياره الموقع اليوم لوجودملاحظا</t>
  </si>
  <si>
    <t xml:space="preserve">تم زيارة الموقع ومقابله م محمد مجدي وشرح الاعمال ا</t>
  </si>
  <si>
    <t xml:space="preserve">تم زيارة الموقع والاجتماع مع المالك وشرح التفاصيل </t>
  </si>
  <si>
    <t xml:space="preserve">تم زيارة الموقع والمعاينه والتوثيق</t>
  </si>
  <si>
    <t xml:space="preserve">19:31</t>
  </si>
  <si>
    <t xml:space="preserve">تم زيارة المكتب ومقابله م صهيب ومتابعه المشاريع وم</t>
  </si>
  <si>
    <t xml:space="preserve">تم التواصل مع المالكه وارسلت المقاسات وعمل عرض سعر</t>
  </si>
  <si>
    <t xml:space="preserve">21:15</t>
  </si>
  <si>
    <t xml:space="preserve">زيارة الموقع للمعاينة ومتابعه الموقع احمد سعيد الك</t>
  </si>
  <si>
    <t xml:space="preserve">21:18</t>
  </si>
  <si>
    <t xml:space="preserve">زيارة الموقع ومقابلة المالك والمهندس معاينة موقع س</t>
  </si>
  <si>
    <t xml:space="preserve">21:20</t>
  </si>
  <si>
    <t xml:space="preserve">زيارة الموقع ومقابلة المهندس والمالك مطلوب عرض سعر</t>
  </si>
  <si>
    <t xml:space="preserve">زيارة المكتب ومقابلة المهندس عمر قريبا سيتم ارسال </t>
  </si>
  <si>
    <t xml:space="preserve">مقابله الاستاذ حمد الكويتي وتم شرح كل تفاصيل المصع</t>
  </si>
  <si>
    <t xml:space="preserve">21:25</t>
  </si>
  <si>
    <t xml:space="preserve">زيارة الموقع ومقابلة المالك وتم عمل معاينه للموقع</t>
  </si>
  <si>
    <t xml:space="preserve">22:13</t>
  </si>
  <si>
    <t xml:space="preserve">Site Visit تم : تم زياره المكتب ومقابله م م رمضان </t>
  </si>
  <si>
    <t xml:space="preserve">الاجتماع تم : تم زياره المكتب ومقابله م عبدالرحمن </t>
  </si>
  <si>
    <t xml:space="preserve">الاجتماع تم : تم مقابله م اركان واخبرني التواصل مع</t>
  </si>
  <si>
    <t xml:space="preserve">تم ارسال لوكيشن وتم زياره الموقع ومقابله مهندس احم</t>
  </si>
  <si>
    <t xml:space="preserve">22:24</t>
  </si>
  <si>
    <t xml:space="preserve">زياره الموقع ورفع المقاسات وعمل عرض سعر شركه الحرم</t>
  </si>
  <si>
    <t xml:space="preserve">زياره الموقع ومقابله مهندس اشرف وتم الإرسال للمالك</t>
  </si>
  <si>
    <t xml:space="preserve">22:32</t>
  </si>
  <si>
    <t xml:space="preserve">زياره الموقع ورفع المقاسات والتواصل مع المالك متاب</t>
  </si>
  <si>
    <t xml:space="preserve">معاينه ٣مواقع ورفع المقاسات والتواصل مع مدير الشرك</t>
  </si>
  <si>
    <t xml:space="preserve">الاجتماع تم : تم زياره المكتب ومقابله م محمد واخبر</t>
  </si>
  <si>
    <t xml:space="preserve">23:24</t>
  </si>
  <si>
    <t xml:space="preserve">المهام المراد تنفيذها تم : تمت زياره 10 مواقع 2 عر</t>
  </si>
  <si>
    <t xml:space="preserve">23:25</t>
  </si>
  <si>
    <t xml:space="preserve">تم إرسال العقد وفى انتظار التوقيع والتحويل</t>
  </si>
  <si>
    <t xml:space="preserve">تم إرسال آخر السعر وفى انتظار الموافقة او الرفض</t>
  </si>
  <si>
    <t xml:space="preserve">06:04</t>
  </si>
  <si>
    <t xml:space="preserve">المالك لم يقرر بعد.. ستتم المتابعة بعد 20 يوم</t>
  </si>
  <si>
    <t xml:space="preserve">تم زياره الموقع حسب الموعد ومقابله مهندس اشرف شركه</t>
  </si>
  <si>
    <t xml:space="preserve">الاجتماع تم : تمت مقابله المالك وشرح كافه التفاصيل</t>
  </si>
  <si>
    <t xml:space="preserve">تم الاتصال بالمقاول وارسل مخطط تكييف ومصعد وجاري ع</t>
  </si>
  <si>
    <t xml:space="preserve">تم زيارة الموقع والتواصل مع م جمال ومتابعه المشروع</t>
  </si>
  <si>
    <t xml:space="preserve">عمل معرض التواصل معاه وزيارة فيلته والشرح وعمل عقد</t>
  </si>
  <si>
    <t xml:space="preserve">تم زيارة المكتب ومقابله م محمد ومتابغه المشاريع</t>
  </si>
  <si>
    <t xml:space="preserve">تم التواصل مع المقاول وارسل مخطط للمصعد وتم عمل عر</t>
  </si>
  <si>
    <t xml:space="preserve">Office Visit تم : تم الاجتماع بالمكتب والشرح وارسا</t>
  </si>
  <si>
    <t xml:space="preserve">Office Visit تم : تم معاينه الموقع وعمل عرض سعر وا</t>
  </si>
  <si>
    <t xml:space="preserve">Site Visit تم : تم الاجتماع بالمكتب والشرح كاملا و</t>
  </si>
  <si>
    <t xml:space="preserve">الاجتماع تم : تم الاجتماع ثم ارسال ٣ مشروعات تكييف</t>
  </si>
  <si>
    <t xml:space="preserve">الاجتماع تم : تم التواصل والاستعلام عن عرض سعر مصع</t>
  </si>
  <si>
    <t xml:space="preserve">الاجتماع تم : تم التواصل وتوضيح بعض الاستفسارات ال</t>
  </si>
  <si>
    <t xml:space="preserve">مكالمة تم : م التواصل لمتابعه اعمال صبغ بيت المصعد</t>
  </si>
  <si>
    <t xml:space="preserve">17:59</t>
  </si>
  <si>
    <t xml:space="preserve">المهام المراد تنفيذها تم : 8 مكاتب 2 موقع 3 مقابلا</t>
  </si>
  <si>
    <t xml:space="preserve">تم مقابلة مهندس عمر لمتابعة ال 4 فلل .. تكييف</t>
  </si>
  <si>
    <t xml:space="preserve">زياره الموقع ومقابله مهندس احمد عبدالعزيز ومتابعه </t>
  </si>
  <si>
    <t xml:space="preserve">زياره الموقع ومقابله المالك ومهندس حضرتك واعتماد ا</t>
  </si>
  <si>
    <t xml:space="preserve">تم التواصل من مهندس عدنان وارسل مخطط وعمل عرض سعر </t>
  </si>
  <si>
    <t xml:space="preserve">زيارة المكتب ومقابلة المهندس عمر والأستاذ عبدالعزي</t>
  </si>
  <si>
    <t xml:space="preserve">زيارة المكتب ومقابلة المهندس محمد مطلوب عرض سعر مص</t>
  </si>
  <si>
    <t xml:space="preserve">زيارة المكتب ومقابلة المهندس علي لكن المهندس محمد </t>
  </si>
  <si>
    <t xml:space="preserve">زيارة المكتب ومقابلة المهندس ثابت سيتم ارسال المشا</t>
  </si>
  <si>
    <t xml:space="preserve">22:35</t>
  </si>
  <si>
    <t xml:space="preserve">تم مقابلة مهندس محمد والاستفسار عن مشروع محمد خضير</t>
  </si>
  <si>
    <t xml:space="preserve">تم إرسال مشروع جديد سند العامرى</t>
  </si>
  <si>
    <t xml:space="preserve">23:31</t>
  </si>
  <si>
    <t xml:space="preserve">Site Visit تم : تم زياره الموقع ومقابله المالك مع </t>
  </si>
  <si>
    <t xml:space="preserve">23:33</t>
  </si>
  <si>
    <t xml:space="preserve">Site Visit تم : تم زياره الموقع ومقابله المالكه وز</t>
  </si>
  <si>
    <t xml:space="preserve">23:37</t>
  </si>
  <si>
    <t xml:space="preserve">23:38</t>
  </si>
  <si>
    <t xml:space="preserve">Site Visit تم : تم زياره الموقع وشرح التفاصيل المط</t>
  </si>
  <si>
    <t xml:space="preserve">23:42</t>
  </si>
  <si>
    <t xml:space="preserve">الاجتماع تم : تم مقابله م مصطفي واخبرني هيخلي الما</t>
  </si>
  <si>
    <t xml:space="preserve">الاجتماع تم : تم زياره المكتب ولم يكن م مصطفي متوت</t>
  </si>
  <si>
    <t xml:space="preserve">23:44</t>
  </si>
  <si>
    <t xml:space="preserve">Site Visit تم : تم زياره المكتب ومقابه ومقابله ابو</t>
  </si>
  <si>
    <t xml:space="preserve">Site Visit تم : تم زياره المكتب ومقابه م احمد واخب</t>
  </si>
  <si>
    <t xml:space="preserve">11:45</t>
  </si>
  <si>
    <t xml:space="preserve">تم الاتصال بالمقاول لمتابعة عرض سعر التكييف وطلب ت</t>
  </si>
  <si>
    <t xml:space="preserve">13:54</t>
  </si>
  <si>
    <t xml:space="preserve">تم زيارة المكتب ومقةبله م امجد ومتابعه المشاريع وق</t>
  </si>
  <si>
    <t xml:space="preserve">تم زيارة المكتب ومقابله م مومن وابلاغه ان في عرض و</t>
  </si>
  <si>
    <t xml:space="preserve">تم زيارة المكتب ومقابله م اكير ومتابعه المشاريع مع</t>
  </si>
  <si>
    <t xml:space="preserve">13:58</t>
  </si>
  <si>
    <t xml:space="preserve">تم زيارة المكتب ومقابلة م رنيم وقالت اي عميل هديله</t>
  </si>
  <si>
    <t xml:space="preserve">تم زيارة المكتب ومقابله م محمد وقال ان المهندسه خي</t>
  </si>
  <si>
    <t xml:space="preserve">14:03</t>
  </si>
  <si>
    <t xml:space="preserve">تم زيارة المكتب ومقابله م ريان ومتابعه عروض الاسعا</t>
  </si>
  <si>
    <t xml:space="preserve">الاجتماع تم : تمت زياره للمكتب مع م ايهاب لمتابعه </t>
  </si>
  <si>
    <t xml:space="preserve">الاجتماع تم : تم الاجتماع بالمكتب ومتابعه موقع فيص</t>
  </si>
  <si>
    <t xml:space="preserve">الاجتماع تم : تم المقابيله وارسال الداتا الشرح</t>
  </si>
  <si>
    <t xml:space="preserve">Site Visit تم : تم زياره الموقعين ورفع المقاسات وت</t>
  </si>
  <si>
    <t xml:space="preserve">الاجتماع تم : عمل اتصالات ومراجعه تقارير مع استاذ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</si>
</sst>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DDEBF7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5" min="13" style="0" width="13"/>
    <col collapsed="false" customWidth="true" hidden="false" outlineLevel="0" max="16" min="16" style="0" width="88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.75" hidden="false" customHeight="true" outlineLevel="0" collapsed="false">
      <c r="A5" s="4" t="s">
        <v>18</v>
      </c>
      <c r="B5" s="5" t="n">
        <f aca="false">COUNTIF('تفاصيل الفرص'!$D$2:$D$372,$A5)</f>
        <v>51</v>
      </c>
      <c r="C5" s="5" t="n">
        <f aca="false">COUNTIFS('تفاصيل الفرص'!$D$2:$D$372,$A5,'تفاصيل الفرص'!$I$2:$I$372,"نعم")</f>
        <v>51</v>
      </c>
      <c r="D5" s="5" t="n">
        <f aca="false">COUNTIFS('تفاصيل الفرص'!$D$2:$D$372,$A5,'تفاصيل الفرص'!$K$2:$K$372,"نعم")</f>
        <v>5</v>
      </c>
      <c r="E5" s="5" t="n">
        <f aca="false">COUNTIFS('تفاصيل الفرص'!$D$2:$D$372,$A5,'تفاصيل الفرص'!$M$2:$M$372,"نعم")</f>
        <v>25</v>
      </c>
      <c r="F5" s="5" t="n">
        <f aca="false">COUNTIFS('تفاصيل الفرص'!$D$2:$D$372,$A5,'تفاصيل الفرص'!$O$2:$O$372,"نعم")</f>
        <v>24</v>
      </c>
      <c r="G5" s="5" t="n">
        <f aca="false">COUNTIFS('تفاصيل الفرص'!$D$2:$D$372,$A5,'تفاصيل الفرص'!$Q$2:$Q$372,"نعم")</f>
        <v>47</v>
      </c>
      <c r="H5" s="5" t="n">
        <f aca="false">COUNTIFS('تفاصيل الفرص'!$D$2:$D$372,$A5,'تفاصيل الفرص'!$S$2:$S$372,"نعم")</f>
        <v>0</v>
      </c>
      <c r="I5" s="5" t="n">
        <f aca="false">COUNTIFS('تفاصيل الفرص'!$D$2:$D$372,$A5,'تفاصيل الفرص'!$U$2:$U$372,"نعم")</f>
        <v>0</v>
      </c>
      <c r="J5" s="5" t="n">
        <f aca="false">COUNTIFS('تفاصيل الفرص'!$D$2:$D$372,$A5,'تفاصيل الفرص'!$W$2:$W$372,"نعم")</f>
        <v>5</v>
      </c>
      <c r="K5" s="6" t="n">
        <f aca="false">IF($B5=0,0,SUM(C5:J5)/($B5*8))</f>
        <v>0.384803921568627</v>
      </c>
      <c r="L5" s="5" t="n">
        <f aca="false">COUNTIF('سجل الأكشنات'!$D$2:$D$933,$A5)</f>
        <v>132</v>
      </c>
      <c r="M5" s="5" t="n">
        <f aca="false">COUNTIFS('سجل الأكشنات'!$D$2:$D$933,$A5,'سجل الأكشنات'!$H$2:$H$933,"تفصيلي")</f>
        <v>125</v>
      </c>
      <c r="N5" s="5" t="n">
        <f aca="false">L5-M5</f>
        <v>7</v>
      </c>
      <c r="O5" s="6" t="n">
        <f aca="false">IF($L5=0,0,M5/L5)</f>
        <v>0.946969696969697</v>
      </c>
      <c r="P5" s="4" t="s">
        <v>19</v>
      </c>
    </row>
    <row r="6" customFormat="false" ht="45.75" hidden="false" customHeight="true" outlineLevel="0" collapsed="false">
      <c r="A6" s="4" t="s">
        <v>20</v>
      </c>
      <c r="B6" s="5" t="n">
        <f aca="false">COUNTIF('تفاصيل الفرص'!$D$2:$D$372,$A6)</f>
        <v>47</v>
      </c>
      <c r="C6" s="5" t="n">
        <f aca="false">COUNTIFS('تفاصيل الفرص'!$D$2:$D$372,$A6,'تفاصيل الفرص'!$I$2:$I$372,"نعم")</f>
        <v>4</v>
      </c>
      <c r="D6" s="5" t="n">
        <f aca="false">COUNTIFS('تفاصيل الفرص'!$D$2:$D$372,$A6,'تفاصيل الفرص'!$K$2:$K$372,"نعم")</f>
        <v>2</v>
      </c>
      <c r="E6" s="5" t="n">
        <f aca="false">COUNTIFS('تفاصيل الفرص'!$D$2:$D$372,$A6,'تفاصيل الفرص'!$M$2:$M$372,"نعم")</f>
        <v>4</v>
      </c>
      <c r="F6" s="5" t="n">
        <f aca="false">COUNTIFS('تفاصيل الفرص'!$D$2:$D$372,$A6,'تفاصيل الفرص'!$O$2:$O$372,"نعم")</f>
        <v>4</v>
      </c>
      <c r="G6" s="5" t="n">
        <f aca="false">COUNTIFS('تفاصيل الفرص'!$D$2:$D$372,$A6,'تفاصيل الفرص'!$Q$2:$Q$372,"نعم")</f>
        <v>5</v>
      </c>
      <c r="H6" s="5" t="n">
        <f aca="false">COUNTIFS('تفاصيل الفرص'!$D$2:$D$372,$A6,'تفاصيل الفرص'!$S$2:$S$372,"نعم")</f>
        <v>0</v>
      </c>
      <c r="I6" s="5" t="n">
        <f aca="false">COUNTIFS('تفاصيل الفرص'!$D$2:$D$372,$A6,'تفاصيل الفرص'!$U$2:$U$372,"نعم")</f>
        <v>5</v>
      </c>
      <c r="J6" s="5" t="n">
        <f aca="false">COUNTIFS('تفاصيل الفرص'!$D$2:$D$372,$A6,'تفاصيل الفرص'!$W$2:$W$372,"نعم")</f>
        <v>0</v>
      </c>
      <c r="K6" s="6" t="n">
        <f aca="false">IF($B6=0,0,SUM(C6:J6)/($B6*8))</f>
        <v>0.0638297872340426</v>
      </c>
      <c r="L6" s="5" t="n">
        <f aca="false">COUNTIF('سجل الأكشنات'!$D$2:$D$933,$A6)</f>
        <v>124</v>
      </c>
      <c r="M6" s="5" t="n">
        <f aca="false">COUNTIFS('سجل الأكشنات'!$D$2:$D$933,$A6,'سجل الأكشنات'!$H$2:$H$933,"تفصيلي")</f>
        <v>107</v>
      </c>
      <c r="N6" s="5" t="n">
        <f aca="false">L6-M6</f>
        <v>17</v>
      </c>
      <c r="O6" s="6" t="n">
        <f aca="false">IF($L6=0,0,M6/L6)</f>
        <v>0.862903225806452</v>
      </c>
      <c r="P6" s="4" t="s">
        <v>21</v>
      </c>
    </row>
    <row r="7" customFormat="false" ht="45.75" hidden="false" customHeight="true" outlineLevel="0" collapsed="false">
      <c r="A7" s="4" t="s">
        <v>22</v>
      </c>
      <c r="B7" s="5" t="n">
        <f aca="false">COUNTIF('تفاصيل الفرص'!$D$2:$D$372,$A7)</f>
        <v>30</v>
      </c>
      <c r="C7" s="5" t="n">
        <f aca="false">COUNTIFS('تفاصيل الفرص'!$D$2:$D$372,$A7,'تفاصيل الفرص'!$I$2:$I$372,"نعم")</f>
        <v>30</v>
      </c>
      <c r="D7" s="5" t="n">
        <f aca="false">COUNTIFS('تفاصيل الفرص'!$D$2:$D$372,$A7,'تفاصيل الفرص'!$K$2:$K$372,"نعم")</f>
        <v>0</v>
      </c>
      <c r="E7" s="5" t="n">
        <f aca="false">COUNTIFS('تفاصيل الفرص'!$D$2:$D$372,$A7,'تفاصيل الفرص'!$M$2:$M$372,"نعم")</f>
        <v>19</v>
      </c>
      <c r="F7" s="5" t="n">
        <f aca="false">COUNTIFS('تفاصيل الفرص'!$D$2:$D$372,$A7,'تفاصيل الفرص'!$O$2:$O$372,"نعم")</f>
        <v>18</v>
      </c>
      <c r="G7" s="5" t="n">
        <f aca="false">COUNTIFS('تفاصيل الفرص'!$D$2:$D$372,$A7,'تفاصيل الفرص'!$Q$2:$Q$372,"نعم")</f>
        <v>29</v>
      </c>
      <c r="H7" s="5" t="n">
        <f aca="false">COUNTIFS('تفاصيل الفرص'!$D$2:$D$372,$A7,'تفاصيل الفرص'!$S$2:$S$372,"نعم")</f>
        <v>0</v>
      </c>
      <c r="I7" s="5" t="n">
        <f aca="false">COUNTIFS('تفاصيل الفرص'!$D$2:$D$372,$A7,'تفاصيل الفرص'!$U$2:$U$372,"نعم")</f>
        <v>9</v>
      </c>
      <c r="J7" s="5" t="n">
        <f aca="false">COUNTIFS('تفاصيل الفرص'!$D$2:$D$372,$A7,'تفاصيل الفرص'!$W$2:$W$372,"نعم")</f>
        <v>4</v>
      </c>
      <c r="K7" s="6" t="n">
        <f aca="false">IF($B7=0,0,SUM(C7:J7)/($B7*8))</f>
        <v>0.454166666666667</v>
      </c>
      <c r="L7" s="5" t="n">
        <f aca="false">COUNTIF('سجل الأكشنات'!$D$2:$D$933,$A7)</f>
        <v>73</v>
      </c>
      <c r="M7" s="5" t="n">
        <f aca="false">COUNTIFS('سجل الأكشنات'!$D$2:$D$933,$A7,'سجل الأكشنات'!$H$2:$H$933,"تفصيلي")</f>
        <v>48</v>
      </c>
      <c r="N7" s="5" t="n">
        <f aca="false">L7-M7</f>
        <v>25</v>
      </c>
      <c r="O7" s="6" t="n">
        <f aca="false">IF($L7=0,0,M7/L7)</f>
        <v>0.657534246575342</v>
      </c>
      <c r="P7" s="4" t="s">
        <v>23</v>
      </c>
    </row>
    <row r="8" customFormat="false" ht="45.75" hidden="false" customHeight="true" outlineLevel="0" collapsed="false">
      <c r="A8" s="4" t="s">
        <v>24</v>
      </c>
      <c r="B8" s="5" t="n">
        <f aca="false">COUNTIF('تفاصيل الفرص'!$D$2:$D$372,$A8)</f>
        <v>23</v>
      </c>
      <c r="C8" s="5" t="n">
        <f aca="false">COUNTIFS('تفاصيل الفرص'!$D$2:$D$372,$A8,'تفاصيل الفرص'!$I$2:$I$372,"نعم")</f>
        <v>2</v>
      </c>
      <c r="D8" s="5" t="n">
        <f aca="false">COUNTIFS('تفاصيل الفرص'!$D$2:$D$372,$A8,'تفاصيل الفرص'!$K$2:$K$372,"نعم")</f>
        <v>6</v>
      </c>
      <c r="E8" s="5" t="n">
        <f aca="false">COUNTIFS('تفاصيل الفرص'!$D$2:$D$372,$A8,'تفاصيل الفرص'!$M$2:$M$372,"نعم")</f>
        <v>13</v>
      </c>
      <c r="F8" s="5" t="n">
        <f aca="false">COUNTIFS('تفاصيل الفرص'!$D$2:$D$372,$A8,'تفاصيل الفرص'!$O$2:$O$372,"نعم")</f>
        <v>12</v>
      </c>
      <c r="G8" s="5" t="n">
        <f aca="false">COUNTIFS('تفاصيل الفرص'!$D$2:$D$372,$A8,'تفاصيل الفرص'!$Q$2:$Q$372,"نعم")</f>
        <v>12</v>
      </c>
      <c r="H8" s="5" t="n">
        <f aca="false">COUNTIFS('تفاصيل الفرص'!$D$2:$D$372,$A8,'تفاصيل الفرص'!$S$2:$S$372,"نعم")</f>
        <v>0</v>
      </c>
      <c r="I8" s="5" t="n">
        <f aca="false">COUNTIFS('تفاصيل الفرص'!$D$2:$D$372,$A8,'تفاصيل الفرص'!$U$2:$U$372,"نعم")</f>
        <v>0</v>
      </c>
      <c r="J8" s="5" t="n">
        <f aca="false">COUNTIFS('تفاصيل الفرص'!$D$2:$D$372,$A8,'تفاصيل الفرص'!$W$2:$W$372,"نعم")</f>
        <v>0</v>
      </c>
      <c r="K8" s="6" t="n">
        <f aca="false">IF($B8=0,0,SUM(C8:J8)/($B8*8))</f>
        <v>0.244565217391304</v>
      </c>
      <c r="L8" s="5" t="n">
        <f aca="false">COUNTIF('سجل الأكشنات'!$D$2:$D$933,$A8)</f>
        <v>80</v>
      </c>
      <c r="M8" s="5" t="n">
        <f aca="false">COUNTIFS('سجل الأكشنات'!$D$2:$D$933,$A8,'سجل الأكشنات'!$H$2:$H$933,"تفصيلي")</f>
        <v>78</v>
      </c>
      <c r="N8" s="5" t="n">
        <f aca="false">L8-M8</f>
        <v>2</v>
      </c>
      <c r="O8" s="6" t="n">
        <f aca="false">IF($L8=0,0,M8/L8)</f>
        <v>0.975</v>
      </c>
      <c r="P8" s="4" t="s">
        <v>25</v>
      </c>
    </row>
    <row r="9" customFormat="false" ht="45.75" hidden="false" customHeight="true" outlineLevel="0" collapsed="false">
      <c r="A9" s="4" t="s">
        <v>26</v>
      </c>
      <c r="B9" s="5" t="n">
        <f aca="false">COUNTIF('تفاصيل الفرص'!$D$2:$D$372,$A9)</f>
        <v>0</v>
      </c>
      <c r="C9" s="5" t="n">
        <f aca="false">COUNTIFS('تفاصيل الفرص'!$D$2:$D$372,$A9,'تفاصيل الفرص'!$I$2:$I$372,"نعم")</f>
        <v>0</v>
      </c>
      <c r="D9" s="5" t="n">
        <f aca="false">COUNTIFS('تفاصيل الفرص'!$D$2:$D$372,$A9,'تفاصيل الفرص'!$K$2:$K$372,"نعم")</f>
        <v>0</v>
      </c>
      <c r="E9" s="5" t="n">
        <f aca="false">COUNTIFS('تفاصيل الفرص'!$D$2:$D$372,$A9,'تفاصيل الفرص'!$M$2:$M$372,"نعم")</f>
        <v>0</v>
      </c>
      <c r="F9" s="5" t="n">
        <f aca="false">COUNTIFS('تفاصيل الفرص'!$D$2:$D$372,$A9,'تفاصيل الفرص'!$O$2:$O$372,"نعم")</f>
        <v>0</v>
      </c>
      <c r="G9" s="5" t="n">
        <f aca="false">COUNTIFS('تفاصيل الفرص'!$D$2:$D$372,$A9,'تفاصيل الفرص'!$Q$2:$Q$372,"نعم")</f>
        <v>0</v>
      </c>
      <c r="H9" s="5" t="n">
        <f aca="false">COUNTIFS('تفاصيل الفرص'!$D$2:$D$372,$A9,'تفاصيل الفرص'!$S$2:$S$372,"نعم")</f>
        <v>0</v>
      </c>
      <c r="I9" s="5" t="n">
        <f aca="false">COUNTIFS('تفاصيل الفرص'!$D$2:$D$372,$A9,'تفاصيل الفرص'!$U$2:$U$372,"نعم")</f>
        <v>0</v>
      </c>
      <c r="J9" s="5" t="n">
        <f aca="false">COUNTIFS('تفاصيل الفرص'!$D$2:$D$372,$A9,'تفاصيل الفرص'!$W$2:$W$372,"نعم")</f>
        <v>0</v>
      </c>
      <c r="K9" s="6" t="n">
        <f aca="false">IF($B9=0,0,SUM(C9:J9)/($B9*8))</f>
        <v>0</v>
      </c>
      <c r="L9" s="5" t="n">
        <f aca="false">COUNTIF('سجل الأكشنات'!$D$2:$D$933,$A9)</f>
        <v>16</v>
      </c>
      <c r="M9" s="5" t="n">
        <f aca="false">COUNTIFS('سجل الأكشنات'!$D$2:$D$933,$A9,'سجل الأكشنات'!$H$2:$H$933,"تفصيلي")</f>
        <v>16</v>
      </c>
      <c r="N9" s="5" t="n">
        <f aca="false">L9-M9</f>
        <v>0</v>
      </c>
      <c r="O9" s="6" t="n">
        <f aca="false">IF($L9=0,0,M9/L9)</f>
        <v>1</v>
      </c>
      <c r="P9" s="4" t="s">
        <v>27</v>
      </c>
    </row>
    <row r="10" customFormat="false" ht="45.75" hidden="false" customHeight="true" outlineLevel="0" collapsed="false">
      <c r="A10" s="4" t="s">
        <v>28</v>
      </c>
      <c r="B10" s="5" t="n">
        <f aca="false">COUNTIF('تفاصيل الفرص'!$D$2:$D$372,$A10)</f>
        <v>13</v>
      </c>
      <c r="C10" s="5" t="n">
        <f aca="false">COUNTIFS('تفاصيل الفرص'!$D$2:$D$372,$A10,'تفاصيل الفرص'!$I$2:$I$372,"نعم")</f>
        <v>0</v>
      </c>
      <c r="D10" s="5" t="n">
        <f aca="false">COUNTIFS('تفاصيل الفرص'!$D$2:$D$372,$A10,'تفاصيل الفرص'!$K$2:$K$372,"نعم")</f>
        <v>0</v>
      </c>
      <c r="E10" s="5" t="n">
        <f aca="false">COUNTIFS('تفاصيل الفرص'!$D$2:$D$372,$A10,'تفاصيل الفرص'!$M$2:$M$372,"نعم")</f>
        <v>3</v>
      </c>
      <c r="F10" s="5" t="n">
        <f aca="false">COUNTIFS('تفاصيل الفرص'!$D$2:$D$372,$A10,'تفاصيل الفرص'!$O$2:$O$372,"نعم")</f>
        <v>2</v>
      </c>
      <c r="G10" s="5" t="n">
        <f aca="false">COUNTIFS('تفاصيل الفرص'!$D$2:$D$372,$A10,'تفاصيل الفرص'!$Q$2:$Q$372,"نعم")</f>
        <v>2</v>
      </c>
      <c r="H10" s="5" t="n">
        <f aca="false">COUNTIFS('تفاصيل الفرص'!$D$2:$D$372,$A10,'تفاصيل الفرص'!$S$2:$S$372,"نعم")</f>
        <v>0</v>
      </c>
      <c r="I10" s="5" t="n">
        <f aca="false">COUNTIFS('تفاصيل الفرص'!$D$2:$D$372,$A10,'تفاصيل الفرص'!$U$2:$U$372,"نعم")</f>
        <v>1</v>
      </c>
      <c r="J10" s="5" t="n">
        <f aca="false">COUNTIFS('تفاصيل الفرص'!$D$2:$D$372,$A10,'تفاصيل الفرص'!$W$2:$W$372,"نعم")</f>
        <v>0</v>
      </c>
      <c r="K10" s="6" t="n">
        <f aca="false">IF($B10=0,0,SUM(C10:J10)/($B10*8))</f>
        <v>0.0769230769230769</v>
      </c>
      <c r="L10" s="5" t="n">
        <f aca="false">COUNTIF('سجل الأكشنات'!$D$2:$D$933,$A10)</f>
        <v>73</v>
      </c>
      <c r="M10" s="5" t="n">
        <f aca="false">COUNTIFS('سجل الأكشنات'!$D$2:$D$933,$A10,'سجل الأكشنات'!$H$2:$H$933,"تفصيلي")</f>
        <v>71</v>
      </c>
      <c r="N10" s="5" t="n">
        <f aca="false">L10-M10</f>
        <v>2</v>
      </c>
      <c r="O10" s="6" t="n">
        <f aca="false">IF($L10=0,0,M10/L10)</f>
        <v>0.972602739726027</v>
      </c>
      <c r="P10" s="4" t="s">
        <v>29</v>
      </c>
    </row>
    <row r="11" customFormat="false" ht="45.75" hidden="false" customHeight="true" outlineLevel="0" collapsed="false">
      <c r="A11" s="4" t="s">
        <v>30</v>
      </c>
      <c r="B11" s="5" t="n">
        <f aca="false">COUNTIF('تفاصيل الفرص'!$D$2:$D$372,$A11)</f>
        <v>97</v>
      </c>
      <c r="C11" s="5" t="n">
        <f aca="false">COUNTIFS('تفاصيل الفرص'!$D$2:$D$372,$A11,'تفاصيل الفرص'!$I$2:$I$372,"نعم")</f>
        <v>96</v>
      </c>
      <c r="D11" s="5" t="n">
        <f aca="false">COUNTIFS('تفاصيل الفرص'!$D$2:$D$372,$A11,'تفاصيل الفرص'!$K$2:$K$372,"نعم")</f>
        <v>1</v>
      </c>
      <c r="E11" s="5" t="n">
        <f aca="false">COUNTIFS('تفاصيل الفرص'!$D$2:$D$372,$A11,'تفاصيل الفرص'!$M$2:$M$372,"نعم")</f>
        <v>21</v>
      </c>
      <c r="F11" s="5" t="n">
        <f aca="false">COUNTIFS('تفاصيل الفرص'!$D$2:$D$372,$A11,'تفاصيل الفرص'!$O$2:$O$372,"نعم")</f>
        <v>4</v>
      </c>
      <c r="G11" s="5" t="n">
        <f aca="false">COUNTIFS('تفاصيل الفرص'!$D$2:$D$372,$A11,'تفاصيل الفرص'!$Q$2:$Q$372,"نعم")</f>
        <v>92</v>
      </c>
      <c r="H11" s="5" t="n">
        <f aca="false">COUNTIFS('تفاصيل الفرص'!$D$2:$D$372,$A11,'تفاصيل الفرص'!$S$2:$S$372,"نعم")</f>
        <v>0</v>
      </c>
      <c r="I11" s="5" t="n">
        <f aca="false">COUNTIFS('تفاصيل الفرص'!$D$2:$D$372,$A11,'تفاصيل الفرص'!$U$2:$U$372,"نعم")</f>
        <v>83</v>
      </c>
      <c r="J11" s="5" t="n">
        <f aca="false">COUNTIFS('تفاصيل الفرص'!$D$2:$D$372,$A11,'تفاصيل الفرص'!$W$2:$W$372,"نعم")</f>
        <v>0</v>
      </c>
      <c r="K11" s="6" t="n">
        <f aca="false">IF($B11=0,0,SUM(C11:J11)/($B11*8))</f>
        <v>0.382731958762887</v>
      </c>
      <c r="L11" s="5" t="n">
        <f aca="false">COUNTIF('سجل الأكشنات'!$D$2:$D$933,$A11)</f>
        <v>101</v>
      </c>
      <c r="M11" s="5" t="n">
        <f aca="false">COUNTIFS('سجل الأكشنات'!$D$2:$D$933,$A11,'سجل الأكشنات'!$H$2:$H$933,"تفصيلي")</f>
        <v>88</v>
      </c>
      <c r="N11" s="5" t="n">
        <f aca="false">L11-M11</f>
        <v>13</v>
      </c>
      <c r="O11" s="6" t="n">
        <f aca="false">IF($L11=0,0,M11/L11)</f>
        <v>0.871287128712871</v>
      </c>
      <c r="P11" s="4" t="s">
        <v>31</v>
      </c>
    </row>
    <row r="12" customFormat="false" ht="45.75" hidden="false" customHeight="true" outlineLevel="0" collapsed="false">
      <c r="A12" s="4" t="s">
        <v>32</v>
      </c>
      <c r="B12" s="5" t="n">
        <f aca="false">COUNTIF('تفاصيل الفرص'!$D$2:$D$372,$A12)</f>
        <v>34</v>
      </c>
      <c r="C12" s="5" t="n">
        <f aca="false">COUNTIFS('تفاصيل الفرص'!$D$2:$D$372,$A12,'تفاصيل الفرص'!$I$2:$I$372,"نعم")</f>
        <v>34</v>
      </c>
      <c r="D12" s="5" t="n">
        <f aca="false">COUNTIFS('تفاصيل الفرص'!$D$2:$D$372,$A12,'تفاصيل الفرص'!$K$2:$K$372,"نعم")</f>
        <v>3</v>
      </c>
      <c r="E12" s="5" t="n">
        <f aca="false">COUNTIFS('تفاصيل الفرص'!$D$2:$D$372,$A12,'تفاصيل الفرص'!$M$2:$M$372,"نعم")</f>
        <v>11</v>
      </c>
      <c r="F12" s="5" t="n">
        <f aca="false">COUNTIFS('تفاصيل الفرص'!$D$2:$D$372,$A12,'تفاصيل الفرص'!$O$2:$O$372,"نعم")</f>
        <v>9</v>
      </c>
      <c r="G12" s="5" t="n">
        <f aca="false">COUNTIFS('تفاصيل الفرص'!$D$2:$D$372,$A12,'تفاصيل الفرص'!$Q$2:$Q$372,"نعم")</f>
        <v>7</v>
      </c>
      <c r="H12" s="5" t="n">
        <f aca="false">COUNTIFS('تفاصيل الفرص'!$D$2:$D$372,$A12,'تفاصيل الفرص'!$S$2:$S$372,"نعم")</f>
        <v>0</v>
      </c>
      <c r="I12" s="5" t="n">
        <f aca="false">COUNTIFS('تفاصيل الفرص'!$D$2:$D$372,$A12,'تفاصيل الفرص'!$U$2:$U$372,"نعم")</f>
        <v>7</v>
      </c>
      <c r="J12" s="5" t="n">
        <f aca="false">COUNTIFS('تفاصيل الفرص'!$D$2:$D$372,$A12,'تفاصيل الفرص'!$W$2:$W$372,"نعم")</f>
        <v>0</v>
      </c>
      <c r="K12" s="6" t="n">
        <f aca="false">IF($B12=0,0,SUM(C12:J12)/($B12*8))</f>
        <v>0.261029411764706</v>
      </c>
      <c r="L12" s="5" t="n">
        <f aca="false">COUNTIF('سجل الأكشنات'!$D$2:$D$933,$A12)</f>
        <v>95</v>
      </c>
      <c r="M12" s="5" t="n">
        <f aca="false">COUNTIFS('سجل الأكشنات'!$D$2:$D$933,$A12,'سجل الأكشنات'!$H$2:$H$933,"تفصيلي")</f>
        <v>70</v>
      </c>
      <c r="N12" s="5" t="n">
        <f aca="false">L12-M12</f>
        <v>25</v>
      </c>
      <c r="O12" s="6" t="n">
        <f aca="false">IF($L12=0,0,M12/L12)</f>
        <v>0.736842105263158</v>
      </c>
      <c r="P12" s="4" t="s">
        <v>33</v>
      </c>
    </row>
    <row r="13" customFormat="false" ht="45.75" hidden="false" customHeight="true" outlineLevel="0" collapsed="false">
      <c r="A13" s="4" t="s">
        <v>34</v>
      </c>
      <c r="B13" s="5" t="n">
        <f aca="false">COUNTIF('تفاصيل الفرص'!$D$2:$D$372,$A13)</f>
        <v>76</v>
      </c>
      <c r="C13" s="5" t="n">
        <f aca="false">COUNTIFS('تفاصيل الفرص'!$D$2:$D$372,$A13,'تفاصيل الفرص'!$I$2:$I$372,"نعم")</f>
        <v>75</v>
      </c>
      <c r="D13" s="5" t="n">
        <f aca="false">COUNTIFS('تفاصيل الفرص'!$D$2:$D$372,$A13,'تفاصيل الفرص'!$K$2:$K$372,"نعم")</f>
        <v>2</v>
      </c>
      <c r="E13" s="5" t="n">
        <f aca="false">COUNTIFS('تفاصيل الفرص'!$D$2:$D$372,$A13,'تفاصيل الفرص'!$M$2:$M$372,"نعم")</f>
        <v>70</v>
      </c>
      <c r="F13" s="5" t="n">
        <f aca="false">COUNTIFS('تفاصيل الفرص'!$D$2:$D$372,$A13,'تفاصيل الفرص'!$O$2:$O$372,"نعم")</f>
        <v>71</v>
      </c>
      <c r="G13" s="5" t="n">
        <f aca="false">COUNTIFS('تفاصيل الفرص'!$D$2:$D$372,$A13,'تفاصيل الفرص'!$Q$2:$Q$372,"نعم")</f>
        <v>75</v>
      </c>
      <c r="H13" s="5" t="n">
        <f aca="false">COUNTIFS('تفاصيل الفرص'!$D$2:$D$372,$A13,'تفاصيل الفرص'!$S$2:$S$372,"نعم")</f>
        <v>0</v>
      </c>
      <c r="I13" s="5" t="n">
        <f aca="false">COUNTIFS('تفاصيل الفرص'!$D$2:$D$372,$A13,'تفاصيل الفرص'!$U$2:$U$372,"نعم")</f>
        <v>76</v>
      </c>
      <c r="J13" s="5" t="n">
        <f aca="false">COUNTIFS('تفاصيل الفرص'!$D$2:$D$372,$A13,'تفاصيل الفرص'!$W$2:$W$372,"نعم")</f>
        <v>0</v>
      </c>
      <c r="K13" s="6" t="n">
        <f aca="false">IF($B13=0,0,SUM(C13:J13)/($B13*8))</f>
        <v>0.606907894736842</v>
      </c>
      <c r="L13" s="5" t="n">
        <f aca="false">COUNTIF('سجل الأكشنات'!$D$2:$D$933,$A13)</f>
        <v>238</v>
      </c>
      <c r="M13" s="5" t="n">
        <f aca="false">COUNTIFS('سجل الأكشنات'!$D$2:$D$933,$A13,'سجل الأكشنات'!$H$2:$H$933,"تفصيلي")</f>
        <v>213</v>
      </c>
      <c r="N13" s="5" t="n">
        <f aca="false">L13-M13</f>
        <v>25</v>
      </c>
      <c r="O13" s="6" t="n">
        <f aca="false">IF($L13=0,0,M13/L13)</f>
        <v>0.894957983193277</v>
      </c>
      <c r="P13" s="4" t="s">
        <v>35</v>
      </c>
    </row>
    <row r="14" customFormat="false" ht="15" hidden="false" customHeight="false" outlineLevel="0" collapsed="false">
      <c r="A14" s="7" t="s">
        <v>36</v>
      </c>
      <c r="B14" s="8" t="n">
        <f aca="false">SUM(B5:B13)</f>
        <v>371</v>
      </c>
      <c r="C14" s="8" t="n">
        <f aca="false">SUM(C5:C13)</f>
        <v>292</v>
      </c>
      <c r="D14" s="8" t="n">
        <f aca="false">SUM(D5:D13)</f>
        <v>19</v>
      </c>
      <c r="E14" s="8" t="n">
        <f aca="false">SUM(E5:E13)</f>
        <v>166</v>
      </c>
      <c r="F14" s="8" t="n">
        <f aca="false">SUM(F5:F13)</f>
        <v>144</v>
      </c>
      <c r="G14" s="8" t="n">
        <f aca="false">SUM(G5:G13)</f>
        <v>269</v>
      </c>
      <c r="H14" s="8" t="n">
        <f aca="false">SUM(H5:H13)</f>
        <v>0</v>
      </c>
      <c r="I14" s="8" t="n">
        <f aca="false">SUM(I5:I13)</f>
        <v>181</v>
      </c>
      <c r="J14" s="8" t="n">
        <f aca="false">SUM(J5:J13)</f>
        <v>9</v>
      </c>
      <c r="K14" s="9" t="n">
        <f aca="false">IF($B14=0,0,SUM(C14:J14)/($B14*8))</f>
        <v>0.363881401617251</v>
      </c>
      <c r="L14" s="8" t="n">
        <f aca="false">SUM(L5:L13)</f>
        <v>932</v>
      </c>
      <c r="M14" s="8" t="n">
        <f aca="false">SUM(M5:M13)</f>
        <v>816</v>
      </c>
      <c r="N14" s="8" t="n">
        <f aca="false">SUM(N5:N13)</f>
        <v>116</v>
      </c>
      <c r="O14" s="9" t="n">
        <f aca="false">IF($L14=0,0,M14/L14)</f>
        <v>0.875536480686695</v>
      </c>
      <c r="P14" s="7"/>
    </row>
    <row r="16" customFormat="false" ht="15" hidden="false" customHeight="false" outlineLevel="0" collapsed="false">
      <c r="A16" s="10" t="s">
        <v>37</v>
      </c>
    </row>
    <row r="17" customFormat="false" ht="15" hidden="false" customHeight="false" outlineLevel="0" collapsed="false">
      <c r="A17" s="11" t="s">
        <v>38</v>
      </c>
    </row>
    <row r="18" customFormat="false" ht="15" hidden="false" customHeight="false" outlineLevel="0" collapsed="false">
      <c r="A18" s="11" t="s">
        <v>39</v>
      </c>
    </row>
    <row r="19" customFormat="false" ht="15" hidden="false" customHeight="false" outlineLevel="0" collapsed="false">
      <c r="A19" s="11" t="s">
        <v>40</v>
      </c>
    </row>
    <row r="20" customFormat="false" ht="15" hidden="false" customHeight="false" outlineLevel="0" collapsed="false">
      <c r="A20" s="11" t="s">
        <v>41</v>
      </c>
    </row>
    <row r="21" customFormat="false" ht="15" hidden="false" customHeight="false" outlineLevel="0" collapsed="false">
      <c r="A21" s="11" t="s">
        <v>42</v>
      </c>
    </row>
    <row r="22" customFormat="false" ht="15" hidden="false" customHeight="false" outlineLevel="0" collapsed="false">
      <c r="A22" s="11" t="s">
        <v>43</v>
      </c>
    </row>
    <row r="23" customFormat="false" ht="15" hidden="false" customHeight="false" outlineLevel="0" collapsed="false">
      <c r="A23" s="11" t="s">
        <v>44</v>
      </c>
    </row>
  </sheetData>
  <mergeCells count="2">
    <mergeCell ref="A1:N1"/>
    <mergeCell ref="A2:N2"/>
  </mergeCells>
  <conditionalFormatting sqref="K5:K13">
    <cfRule type="cellIs" priority="2" operator="lessThan" aboveAverage="0" equalAverage="0" bottom="0" percent="0" rank="0" text="" dxfId="0">
      <formula>0.4</formula>
    </cfRule>
    <cfRule type="cellIs" priority="3" operator="greaterThanOrEqual" aboveAverage="0" equalAverage="0" bottom="0" percent="0" rank="0" text="" dxfId="1">
      <formula>0.7</formula>
    </cfRule>
  </conditionalFormatting>
  <conditionalFormatting sqref="O5:O13">
    <cfRule type="cellIs" priority="4" operator="lessThan" aboveAverage="0" equalAverage="0" bottom="0" percent="0" rank="0" text="" dxfId="2">
      <formula>0.7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8"/>
  </cols>
  <sheetData>
    <row r="1" customFormat="false" ht="17.15" hidden="false" customHeight="false" outlineLevel="0" collapsed="false">
      <c r="A1" s="1" t="s">
        <v>45</v>
      </c>
      <c r="B1" s="1"/>
      <c r="C1" s="1"/>
      <c r="D1" s="1"/>
      <c r="E1" s="1"/>
      <c r="F1" s="1"/>
    </row>
    <row r="3" customFormat="false" ht="39.75" hidden="false" customHeight="true" outlineLevel="0" collapsed="false">
      <c r="A3" s="3" t="s">
        <v>46</v>
      </c>
      <c r="B3" s="3" t="s">
        <v>47</v>
      </c>
      <c r="C3" s="3" t="s">
        <v>2</v>
      </c>
      <c r="D3" s="3" t="s">
        <v>3</v>
      </c>
      <c r="E3" s="3" t="s">
        <v>48</v>
      </c>
      <c r="F3" s="3" t="s">
        <v>49</v>
      </c>
      <c r="G3" s="3" t="s">
        <v>14</v>
      </c>
      <c r="H3" s="3" t="s">
        <v>15</v>
      </c>
      <c r="I3" s="3" t="s">
        <v>50</v>
      </c>
    </row>
    <row r="4" customFormat="false" ht="15" hidden="false" customHeight="false" outlineLevel="0" collapsed="false">
      <c r="A4" s="5" t="s">
        <v>51</v>
      </c>
      <c r="B4" s="5" t="s">
        <v>52</v>
      </c>
      <c r="C4" s="4" t="s">
        <v>18</v>
      </c>
      <c r="D4" s="5" t="n">
        <f aca="false">COUNTIFS('تفاصيل الفرص'!$B$2:$B$372,$B4,'تفاصيل الفرص'!$D$2:$D$372,$C4)</f>
        <v>0</v>
      </c>
      <c r="E4" s="5" t="n">
        <f aca="false">COUNTIFS('تفاصيل الفرص'!$B$2:$B$372,$B4,'تفاصيل الفرص'!$D$2:$D$372,$C4,'تفاصيل الفرص'!$X$2:$X$372,0)</f>
        <v>0</v>
      </c>
      <c r="F4" s="5" t="n">
        <f aca="false">COUNTIFS('سجل الأكشنات'!$B$2:$B$933,$B4,'سجل الأكشنات'!$D$2:$D$933,$C4)</f>
        <v>3</v>
      </c>
      <c r="G4" s="5" t="n">
        <f aca="false">COUNTIFS('سجل الأكشنات'!$B$2:$B$933,$B4,'سجل الأكشنات'!$D$2:$D$933,$C4,'سجل الأكشنات'!$H$2:$H$933,"تفصيلي")</f>
        <v>3</v>
      </c>
      <c r="H4" s="5" t="n">
        <f aca="false">F4-G4</f>
        <v>0</v>
      </c>
      <c r="I4" s="12" t="str">
        <f aca="false">IF($B4&gt;"2026-09-30","لا توجد بيانات بعد",IF(AND(D4=0,F4=0),"بدون نشاط","نشِط"))</f>
        <v>نشِط</v>
      </c>
    </row>
    <row r="5" customFormat="false" ht="15" hidden="false" customHeight="false" outlineLevel="0" collapsed="false">
      <c r="A5" s="5" t="s">
        <v>51</v>
      </c>
      <c r="B5" s="5" t="s">
        <v>52</v>
      </c>
      <c r="C5" s="4" t="s">
        <v>20</v>
      </c>
      <c r="D5" s="5" t="n">
        <f aca="false">COUNTIFS('تفاصيل الفرص'!$B$2:$B$372,$B5,'تفاصيل الفرص'!$D$2:$D$372,$C5)</f>
        <v>0</v>
      </c>
      <c r="E5" s="5" t="n">
        <f aca="false">COUNTIFS('تفاصيل الفرص'!$B$2:$B$372,$B5,'تفاصيل الفرص'!$D$2:$D$372,$C5,'تفاصيل الفرص'!$X$2:$X$372,0)</f>
        <v>0</v>
      </c>
      <c r="F5" s="5" t="n">
        <f aca="false">COUNTIFS('سجل الأكشنات'!$B$2:$B$933,$B5,'سجل الأكشنات'!$D$2:$D$933,$C5)</f>
        <v>0</v>
      </c>
      <c r="G5" s="5" t="n">
        <f aca="false">COUNTIFS('سجل الأكشنات'!$B$2:$B$933,$B5,'سجل الأكشنات'!$D$2:$D$933,$C5,'سجل الأكشنات'!$H$2:$H$933,"تفصيلي")</f>
        <v>0</v>
      </c>
      <c r="H5" s="5" t="n">
        <f aca="false">F5-G5</f>
        <v>0</v>
      </c>
      <c r="I5" s="12" t="str">
        <f aca="false">IF($B5&gt;"2026-09-30","لا توجد بيانات بعد",IF(AND(D5=0,F5=0),"بدون نشاط","نشِط"))</f>
        <v>بدون نشاط</v>
      </c>
    </row>
    <row r="6" customFormat="false" ht="15" hidden="false" customHeight="false" outlineLevel="0" collapsed="false">
      <c r="A6" s="5" t="s">
        <v>51</v>
      </c>
      <c r="B6" s="5" t="s">
        <v>52</v>
      </c>
      <c r="C6" s="4" t="s">
        <v>22</v>
      </c>
      <c r="D6" s="5" t="n">
        <f aca="false">COUNTIFS('تفاصيل الفرص'!$B$2:$B$372,$B6,'تفاصيل الفرص'!$D$2:$D$372,$C6)</f>
        <v>1</v>
      </c>
      <c r="E6" s="5" t="n">
        <f aca="false">COUNTIFS('تفاصيل الفرص'!$B$2:$B$372,$B6,'تفاصيل الفرص'!$D$2:$D$372,$C6,'تفاصيل الفرص'!$X$2:$X$372,0)</f>
        <v>0</v>
      </c>
      <c r="F6" s="5" t="n">
        <f aca="false">COUNTIFS('سجل الأكشنات'!$B$2:$B$933,$B6,'سجل الأكشنات'!$D$2:$D$933,$C6)</f>
        <v>5</v>
      </c>
      <c r="G6" s="5" t="n">
        <f aca="false">COUNTIFS('سجل الأكشنات'!$B$2:$B$933,$B6,'سجل الأكشنات'!$D$2:$D$933,$C6,'سجل الأكشنات'!$H$2:$H$933,"تفصيلي")</f>
        <v>4</v>
      </c>
      <c r="H6" s="5" t="n">
        <f aca="false">F6-G6</f>
        <v>1</v>
      </c>
      <c r="I6" s="12" t="str">
        <f aca="false">IF($B6&gt;"2026-09-30","لا توجد بيانات بعد",IF(AND(D6=0,F6=0),"بدون نشاط","نشِط"))</f>
        <v>نشِط</v>
      </c>
    </row>
    <row r="7" customFormat="false" ht="15" hidden="false" customHeight="false" outlineLevel="0" collapsed="false">
      <c r="A7" s="5" t="s">
        <v>51</v>
      </c>
      <c r="B7" s="5" t="s">
        <v>52</v>
      </c>
      <c r="C7" s="4" t="s">
        <v>24</v>
      </c>
      <c r="D7" s="5" t="n">
        <f aca="false">COUNTIFS('تفاصيل الفرص'!$B$2:$B$372,$B7,'تفاصيل الفرص'!$D$2:$D$372,$C7)</f>
        <v>0</v>
      </c>
      <c r="E7" s="5" t="n">
        <f aca="false">COUNTIFS('تفاصيل الفرص'!$B$2:$B$372,$B7,'تفاصيل الفرص'!$D$2:$D$372,$C7,'تفاصيل الفرص'!$X$2:$X$372,0)</f>
        <v>0</v>
      </c>
      <c r="F7" s="5" t="n">
        <f aca="false">COUNTIFS('سجل الأكشنات'!$B$2:$B$933,$B7,'سجل الأكشنات'!$D$2:$D$933,$C7)</f>
        <v>3</v>
      </c>
      <c r="G7" s="5" t="n">
        <f aca="false">COUNTIFS('سجل الأكشنات'!$B$2:$B$933,$B7,'سجل الأكشنات'!$D$2:$D$933,$C7,'سجل الأكشنات'!$H$2:$H$933,"تفصيلي")</f>
        <v>3</v>
      </c>
      <c r="H7" s="5" t="n">
        <f aca="false">F7-G7</f>
        <v>0</v>
      </c>
      <c r="I7" s="12" t="str">
        <f aca="false">IF($B7&gt;"2026-09-30","لا توجد بيانات بعد",IF(AND(D7=0,F7=0),"بدون نشاط","نشِط"))</f>
        <v>نشِط</v>
      </c>
    </row>
    <row r="8" customFormat="false" ht="15" hidden="false" customHeight="false" outlineLevel="0" collapsed="false">
      <c r="A8" s="5" t="s">
        <v>51</v>
      </c>
      <c r="B8" s="5" t="s">
        <v>52</v>
      </c>
      <c r="C8" s="4" t="s">
        <v>26</v>
      </c>
      <c r="D8" s="5" t="n">
        <f aca="false">COUNTIFS('تفاصيل الفرص'!$B$2:$B$372,$B8,'تفاصيل الفرص'!$D$2:$D$372,$C8)</f>
        <v>0</v>
      </c>
      <c r="E8" s="5" t="n">
        <f aca="false">COUNTIFS('تفاصيل الفرص'!$B$2:$B$372,$B8,'تفاصيل الفرص'!$D$2:$D$372,$C8,'تفاصيل الفرص'!$X$2:$X$372,0)</f>
        <v>0</v>
      </c>
      <c r="F8" s="5" t="n">
        <f aca="false">COUNTIFS('سجل الأكشنات'!$B$2:$B$933,$B8,'سجل الأكشنات'!$D$2:$D$933,$C8)</f>
        <v>12</v>
      </c>
      <c r="G8" s="5" t="n">
        <f aca="false">COUNTIFS('سجل الأكشنات'!$B$2:$B$933,$B8,'سجل الأكشنات'!$D$2:$D$933,$C8,'سجل الأكشنات'!$H$2:$H$933,"تفصيلي")</f>
        <v>12</v>
      </c>
      <c r="H8" s="5" t="n">
        <f aca="false">F8-G8</f>
        <v>0</v>
      </c>
      <c r="I8" s="12" t="str">
        <f aca="false">IF($B8&gt;"2026-09-30","لا توجد بيانات بعد",IF(AND(D8=0,F8=0),"بدون نشاط","نشِط"))</f>
        <v>نشِط</v>
      </c>
    </row>
    <row r="9" customFormat="false" ht="15" hidden="false" customHeight="false" outlineLevel="0" collapsed="false">
      <c r="A9" s="5" t="s">
        <v>51</v>
      </c>
      <c r="B9" s="5" t="s">
        <v>52</v>
      </c>
      <c r="C9" s="4" t="s">
        <v>28</v>
      </c>
      <c r="D9" s="5" t="n">
        <f aca="false">COUNTIFS('تفاصيل الفرص'!$B$2:$B$372,$B9,'تفاصيل الفرص'!$D$2:$D$372,$C9)</f>
        <v>0</v>
      </c>
      <c r="E9" s="5" t="n">
        <f aca="false">COUNTIFS('تفاصيل الفرص'!$B$2:$B$372,$B9,'تفاصيل الفرص'!$D$2:$D$372,$C9,'تفاصيل الفرص'!$X$2:$X$372,0)</f>
        <v>0</v>
      </c>
      <c r="F9" s="5" t="n">
        <f aca="false">COUNTIFS('سجل الأكشنات'!$B$2:$B$933,$B9,'سجل الأكشنات'!$D$2:$D$933,$C9)</f>
        <v>0</v>
      </c>
      <c r="G9" s="5" t="n">
        <f aca="false">COUNTIFS('سجل الأكشنات'!$B$2:$B$933,$B9,'سجل الأكشنات'!$D$2:$D$933,$C9,'سجل الأكشنات'!$H$2:$H$933,"تفصيلي")</f>
        <v>0</v>
      </c>
      <c r="H9" s="5" t="n">
        <f aca="false">F9-G9</f>
        <v>0</v>
      </c>
      <c r="I9" s="12" t="str">
        <f aca="false">IF($B9&gt;"2026-09-30","لا توجد بيانات بعد",IF(AND(D9=0,F9=0),"بدون نشاط","نشِط"))</f>
        <v>بدون نشاط</v>
      </c>
    </row>
    <row r="10" customFormat="false" ht="15" hidden="false" customHeight="false" outlineLevel="0" collapsed="false">
      <c r="A10" s="5" t="s">
        <v>51</v>
      </c>
      <c r="B10" s="5" t="s">
        <v>52</v>
      </c>
      <c r="C10" s="4" t="s">
        <v>30</v>
      </c>
      <c r="D10" s="5" t="n">
        <f aca="false">COUNTIFS('تفاصيل الفرص'!$B$2:$B$372,$B10,'تفاصيل الفرص'!$D$2:$D$372,$C10)</f>
        <v>1</v>
      </c>
      <c r="E10" s="5" t="n">
        <f aca="false">COUNTIFS('تفاصيل الفرص'!$B$2:$B$372,$B10,'تفاصيل الفرص'!$D$2:$D$372,$C10,'تفاصيل الفرص'!$X$2:$X$372,0)</f>
        <v>0</v>
      </c>
      <c r="F10" s="5" t="n">
        <f aca="false">COUNTIFS('سجل الأكشنات'!$B$2:$B$933,$B10,'سجل الأكشنات'!$D$2:$D$933,$C10)</f>
        <v>1</v>
      </c>
      <c r="G10" s="5" t="n">
        <f aca="false">COUNTIFS('سجل الأكشنات'!$B$2:$B$933,$B10,'سجل الأكشنات'!$D$2:$D$933,$C10,'سجل الأكشنات'!$H$2:$H$933,"تفصيلي")</f>
        <v>0</v>
      </c>
      <c r="H10" s="5" t="n">
        <f aca="false">F10-G10</f>
        <v>1</v>
      </c>
      <c r="I10" s="12" t="str">
        <f aca="false">IF($B10&gt;"2026-09-30","لا توجد بيانات بعد",IF(AND(D10=0,F10=0),"بدون نشاط","نشِط"))</f>
        <v>نشِط</v>
      </c>
    </row>
    <row r="11" customFormat="false" ht="15" hidden="false" customHeight="false" outlineLevel="0" collapsed="false">
      <c r="A11" s="5" t="s">
        <v>51</v>
      </c>
      <c r="B11" s="5" t="s">
        <v>52</v>
      </c>
      <c r="C11" s="4" t="s">
        <v>32</v>
      </c>
      <c r="D11" s="5" t="n">
        <f aca="false">COUNTIFS('تفاصيل الفرص'!$B$2:$B$372,$B11,'تفاصيل الفرص'!$D$2:$D$372,$C11)</f>
        <v>0</v>
      </c>
      <c r="E11" s="5" t="n">
        <f aca="false">COUNTIFS('تفاصيل الفرص'!$B$2:$B$372,$B11,'تفاصيل الفرص'!$D$2:$D$372,$C11,'تفاصيل الفرص'!$X$2:$X$372,0)</f>
        <v>0</v>
      </c>
      <c r="F11" s="5" t="n">
        <f aca="false">COUNTIFS('سجل الأكشنات'!$B$2:$B$933,$B11,'سجل الأكشنات'!$D$2:$D$933,$C11)</f>
        <v>1</v>
      </c>
      <c r="G11" s="5" t="n">
        <f aca="false">COUNTIFS('سجل الأكشنات'!$B$2:$B$933,$B11,'سجل الأكشنات'!$D$2:$D$933,$C11,'سجل الأكشنات'!$H$2:$H$933,"تفصيلي")</f>
        <v>1</v>
      </c>
      <c r="H11" s="5" t="n">
        <f aca="false">F11-G11</f>
        <v>0</v>
      </c>
      <c r="I11" s="12" t="str">
        <f aca="false">IF($B11&gt;"2026-09-30","لا توجد بيانات بعد",IF(AND(D11=0,F11=0),"بدون نشاط","نشِط"))</f>
        <v>نشِط</v>
      </c>
    </row>
    <row r="12" customFormat="false" ht="15" hidden="false" customHeight="false" outlineLevel="0" collapsed="false">
      <c r="A12" s="5" t="s">
        <v>51</v>
      </c>
      <c r="B12" s="5" t="s">
        <v>52</v>
      </c>
      <c r="C12" s="4" t="s">
        <v>34</v>
      </c>
      <c r="D12" s="5" t="n">
        <f aca="false">COUNTIFS('تفاصيل الفرص'!$B$2:$B$372,$B12,'تفاصيل الفرص'!$D$2:$D$372,$C12)</f>
        <v>2</v>
      </c>
      <c r="E12" s="5" t="n">
        <f aca="false">COUNTIFS('تفاصيل الفرص'!$B$2:$B$372,$B12,'تفاصيل الفرص'!$D$2:$D$372,$C12,'تفاصيل الفرص'!$X$2:$X$372,0)</f>
        <v>0</v>
      </c>
      <c r="F12" s="5" t="n">
        <f aca="false">COUNTIFS('سجل الأكشنات'!$B$2:$B$933,$B12,'سجل الأكشنات'!$D$2:$D$933,$C12)</f>
        <v>8</v>
      </c>
      <c r="G12" s="5" t="n">
        <f aca="false">COUNTIFS('سجل الأكشنات'!$B$2:$B$933,$B12,'سجل الأكشنات'!$D$2:$D$933,$C12,'سجل الأكشنات'!$H$2:$H$933,"تفصيلي")</f>
        <v>8</v>
      </c>
      <c r="H12" s="5" t="n">
        <f aca="false">F12-G12</f>
        <v>0</v>
      </c>
      <c r="I12" s="12" t="str">
        <f aca="false">IF($B12&gt;"2026-09-30","لا توجد بيانات بعد",IF(AND(D12=0,F12=0),"بدون نشاط","نشِط"))</f>
        <v>نشِط</v>
      </c>
    </row>
    <row r="13" customFormat="false" ht="15" hidden="false" customHeight="false" outlineLevel="0" collapsed="false">
      <c r="A13" s="13" t="s">
        <v>53</v>
      </c>
      <c r="B13" s="13" t="s">
        <v>54</v>
      </c>
      <c r="C13" s="14" t="s">
        <v>18</v>
      </c>
      <c r="D13" s="15" t="n">
        <f aca="false">COUNTIFS('تفاصيل الفرص'!$B$2:$B$372,$B13,'تفاصيل الفرص'!$D$2:$D$372,$C13)</f>
        <v>3</v>
      </c>
      <c r="E13" s="13" t="n">
        <f aca="false">COUNTIFS('تفاصيل الفرص'!$B$2:$B$372,$B13,'تفاصيل الفرص'!$D$2:$D$372,$C13,'تفاصيل الفرص'!$X$2:$X$372,0)</f>
        <v>0</v>
      </c>
      <c r="F13" s="13" t="n">
        <f aca="false">COUNTIFS('سجل الأكشنات'!$B$2:$B$933,$B13,'سجل الأكشنات'!$D$2:$D$933,$C13)</f>
        <v>5</v>
      </c>
      <c r="G13" s="13" t="n">
        <f aca="false">COUNTIFS('سجل الأكشنات'!$B$2:$B$933,$B13,'سجل الأكشنات'!$D$2:$D$933,$C13,'سجل الأكشنات'!$H$2:$H$933,"تفصيلي")</f>
        <v>5</v>
      </c>
      <c r="H13" s="13" t="n">
        <f aca="false">F13-G13</f>
        <v>0</v>
      </c>
      <c r="I13" s="13" t="str">
        <f aca="false">IF($B13&gt;"2026-09-30","لا توجد بيانات بعد",IF(AND(D13=0,F13=0),"بدون نشاط","نشِط"))</f>
        <v>نشِط</v>
      </c>
    </row>
    <row r="14" customFormat="false" ht="15" hidden="false" customHeight="false" outlineLevel="0" collapsed="false">
      <c r="A14" s="13" t="s">
        <v>53</v>
      </c>
      <c r="B14" s="13" t="s">
        <v>54</v>
      </c>
      <c r="C14" s="14" t="s">
        <v>20</v>
      </c>
      <c r="D14" s="15" t="n">
        <f aca="false">COUNTIFS('تفاصيل الفرص'!$B$2:$B$372,$B14,'تفاصيل الفرص'!$D$2:$D$372,$C14)</f>
        <v>0</v>
      </c>
      <c r="E14" s="13" t="n">
        <f aca="false">COUNTIFS('تفاصيل الفرص'!$B$2:$B$372,$B14,'تفاصيل الفرص'!$D$2:$D$372,$C14,'تفاصيل الفرص'!$X$2:$X$372,0)</f>
        <v>0</v>
      </c>
      <c r="F14" s="13" t="n">
        <f aca="false">COUNTIFS('سجل الأكشنات'!$B$2:$B$933,$B14,'سجل الأكشنات'!$D$2:$D$933,$C14)</f>
        <v>0</v>
      </c>
      <c r="G14" s="13" t="n">
        <f aca="false">COUNTIFS('سجل الأكشنات'!$B$2:$B$933,$B14,'سجل الأكشنات'!$D$2:$D$933,$C14,'سجل الأكشنات'!$H$2:$H$933,"تفصيلي")</f>
        <v>0</v>
      </c>
      <c r="H14" s="13" t="n">
        <f aca="false">F14-G14</f>
        <v>0</v>
      </c>
      <c r="I14" s="13" t="str">
        <f aca="false">IF($B14&gt;"2026-09-30","لا توجد بيانات بعد",IF(AND(D14=0,F14=0),"بدون نشاط","نشِط"))</f>
        <v>بدون نشاط</v>
      </c>
    </row>
    <row r="15" customFormat="false" ht="15" hidden="false" customHeight="false" outlineLevel="0" collapsed="false">
      <c r="A15" s="13" t="s">
        <v>53</v>
      </c>
      <c r="B15" s="13" t="s">
        <v>54</v>
      </c>
      <c r="C15" s="14" t="s">
        <v>22</v>
      </c>
      <c r="D15" s="15" t="n">
        <f aca="false">COUNTIFS('تفاصيل الفرص'!$B$2:$B$372,$B15,'تفاصيل الفرص'!$D$2:$D$372,$C15)</f>
        <v>1</v>
      </c>
      <c r="E15" s="13" t="n">
        <f aca="false">COUNTIFS('تفاصيل الفرص'!$B$2:$B$372,$B15,'تفاصيل الفرص'!$D$2:$D$372,$C15,'تفاصيل الفرص'!$X$2:$X$372,0)</f>
        <v>0</v>
      </c>
      <c r="F15" s="13" t="n">
        <f aca="false">COUNTIFS('سجل الأكشنات'!$B$2:$B$933,$B15,'سجل الأكشنات'!$D$2:$D$933,$C15)</f>
        <v>2</v>
      </c>
      <c r="G15" s="13" t="n">
        <f aca="false">COUNTIFS('سجل الأكشنات'!$B$2:$B$933,$B15,'سجل الأكشنات'!$D$2:$D$933,$C15,'سجل الأكشنات'!$H$2:$H$933,"تفصيلي")</f>
        <v>2</v>
      </c>
      <c r="H15" s="13" t="n">
        <f aca="false">F15-G15</f>
        <v>0</v>
      </c>
      <c r="I15" s="13" t="str">
        <f aca="false">IF($B15&gt;"2026-09-30","لا توجد بيانات بعد",IF(AND(D15=0,F15=0),"بدون نشاط","نشِط"))</f>
        <v>نشِط</v>
      </c>
    </row>
    <row r="16" customFormat="false" ht="15" hidden="false" customHeight="false" outlineLevel="0" collapsed="false">
      <c r="A16" s="13" t="s">
        <v>53</v>
      </c>
      <c r="B16" s="13" t="s">
        <v>54</v>
      </c>
      <c r="C16" s="14" t="s">
        <v>24</v>
      </c>
      <c r="D16" s="15" t="n">
        <f aca="false">COUNTIFS('تفاصيل الفرص'!$B$2:$B$372,$B16,'تفاصيل الفرص'!$D$2:$D$372,$C16)</f>
        <v>0</v>
      </c>
      <c r="E16" s="13" t="n">
        <f aca="false">COUNTIFS('تفاصيل الفرص'!$B$2:$B$372,$B16,'تفاصيل الفرص'!$D$2:$D$372,$C16,'تفاصيل الفرص'!$X$2:$X$372,0)</f>
        <v>0</v>
      </c>
      <c r="F16" s="13" t="n">
        <f aca="false">COUNTIFS('سجل الأكشنات'!$B$2:$B$933,$B16,'سجل الأكشنات'!$D$2:$D$933,$C16)</f>
        <v>3</v>
      </c>
      <c r="G16" s="13" t="n">
        <f aca="false">COUNTIFS('سجل الأكشنات'!$B$2:$B$933,$B16,'سجل الأكشنات'!$D$2:$D$933,$C16,'سجل الأكشنات'!$H$2:$H$933,"تفصيلي")</f>
        <v>3</v>
      </c>
      <c r="H16" s="13" t="n">
        <f aca="false">F16-G16</f>
        <v>0</v>
      </c>
      <c r="I16" s="13" t="str">
        <f aca="false">IF($B16&gt;"2026-09-30","لا توجد بيانات بعد",IF(AND(D16=0,F16=0),"بدون نشاط","نشِط"))</f>
        <v>نشِط</v>
      </c>
    </row>
    <row r="17" customFormat="false" ht="15" hidden="false" customHeight="false" outlineLevel="0" collapsed="false">
      <c r="A17" s="13" t="s">
        <v>53</v>
      </c>
      <c r="B17" s="13" t="s">
        <v>54</v>
      </c>
      <c r="C17" s="14" t="s">
        <v>26</v>
      </c>
      <c r="D17" s="15" t="n">
        <f aca="false">COUNTIFS('تفاصيل الفرص'!$B$2:$B$372,$B17,'تفاصيل الفرص'!$D$2:$D$372,$C17)</f>
        <v>0</v>
      </c>
      <c r="E17" s="13" t="n">
        <f aca="false">COUNTIFS('تفاصيل الفرص'!$B$2:$B$372,$B17,'تفاصيل الفرص'!$D$2:$D$372,$C17,'تفاصيل الفرص'!$X$2:$X$372,0)</f>
        <v>0</v>
      </c>
      <c r="F17" s="13" t="n">
        <f aca="false">COUNTIFS('سجل الأكشنات'!$B$2:$B$933,$B17,'سجل الأكشنات'!$D$2:$D$933,$C17)</f>
        <v>0</v>
      </c>
      <c r="G17" s="13" t="n">
        <f aca="false">COUNTIFS('سجل الأكشنات'!$B$2:$B$933,$B17,'سجل الأكشنات'!$D$2:$D$933,$C17,'سجل الأكشنات'!$H$2:$H$933,"تفصيلي")</f>
        <v>0</v>
      </c>
      <c r="H17" s="13" t="n">
        <f aca="false">F17-G17</f>
        <v>0</v>
      </c>
      <c r="I17" s="13" t="str">
        <f aca="false">IF($B17&gt;"2026-09-30","لا توجد بيانات بعد",IF(AND(D17=0,F17=0),"بدون نشاط","نشِط"))</f>
        <v>بدون نشاط</v>
      </c>
    </row>
    <row r="18" customFormat="false" ht="15" hidden="false" customHeight="false" outlineLevel="0" collapsed="false">
      <c r="A18" s="13" t="s">
        <v>53</v>
      </c>
      <c r="B18" s="13" t="s">
        <v>54</v>
      </c>
      <c r="C18" s="14" t="s">
        <v>28</v>
      </c>
      <c r="D18" s="15" t="n">
        <f aca="false">COUNTIFS('تفاصيل الفرص'!$B$2:$B$372,$B18,'تفاصيل الفرص'!$D$2:$D$372,$C18)</f>
        <v>0</v>
      </c>
      <c r="E18" s="13" t="n">
        <f aca="false">COUNTIFS('تفاصيل الفرص'!$B$2:$B$372,$B18,'تفاصيل الفرص'!$D$2:$D$372,$C18,'تفاصيل الفرص'!$X$2:$X$372,0)</f>
        <v>0</v>
      </c>
      <c r="F18" s="13" t="n">
        <f aca="false">COUNTIFS('سجل الأكشنات'!$B$2:$B$933,$B18,'سجل الأكشنات'!$D$2:$D$933,$C18)</f>
        <v>0</v>
      </c>
      <c r="G18" s="13" t="n">
        <f aca="false">COUNTIFS('سجل الأكشنات'!$B$2:$B$933,$B18,'سجل الأكشنات'!$D$2:$D$933,$C18,'سجل الأكشنات'!$H$2:$H$933,"تفصيلي")</f>
        <v>0</v>
      </c>
      <c r="H18" s="13" t="n">
        <f aca="false">F18-G18</f>
        <v>0</v>
      </c>
      <c r="I18" s="13" t="str">
        <f aca="false">IF($B18&gt;"2026-09-30","لا توجد بيانات بعد",IF(AND(D18=0,F18=0),"بدون نشاط","نشِط"))</f>
        <v>بدون نشاط</v>
      </c>
    </row>
    <row r="19" customFormat="false" ht="15" hidden="false" customHeight="false" outlineLevel="0" collapsed="false">
      <c r="A19" s="13" t="s">
        <v>53</v>
      </c>
      <c r="B19" s="13" t="s">
        <v>54</v>
      </c>
      <c r="C19" s="14" t="s">
        <v>30</v>
      </c>
      <c r="D19" s="15" t="n">
        <f aca="false">COUNTIFS('تفاصيل الفرص'!$B$2:$B$372,$B19,'تفاصيل الفرص'!$D$2:$D$372,$C19)</f>
        <v>4</v>
      </c>
      <c r="E19" s="13" t="n">
        <f aca="false">COUNTIFS('تفاصيل الفرص'!$B$2:$B$372,$B19,'تفاصيل الفرص'!$D$2:$D$372,$C19,'تفاصيل الفرص'!$X$2:$X$372,0)</f>
        <v>0</v>
      </c>
      <c r="F19" s="13" t="n">
        <f aca="false">COUNTIFS('سجل الأكشنات'!$B$2:$B$933,$B19,'سجل الأكشنات'!$D$2:$D$933,$C19)</f>
        <v>4</v>
      </c>
      <c r="G19" s="13" t="n">
        <f aca="false">COUNTIFS('سجل الأكشنات'!$B$2:$B$933,$B19,'سجل الأكشنات'!$D$2:$D$933,$C19,'سجل الأكشنات'!$H$2:$H$933,"تفصيلي")</f>
        <v>3</v>
      </c>
      <c r="H19" s="13" t="n">
        <f aca="false">F19-G19</f>
        <v>1</v>
      </c>
      <c r="I19" s="13" t="str">
        <f aca="false">IF($B19&gt;"2026-09-30","لا توجد بيانات بعد",IF(AND(D19=0,F19=0),"بدون نشاط","نشِط"))</f>
        <v>نشِط</v>
      </c>
    </row>
    <row r="20" customFormat="false" ht="15" hidden="false" customHeight="false" outlineLevel="0" collapsed="false">
      <c r="A20" s="13" t="s">
        <v>53</v>
      </c>
      <c r="B20" s="13" t="s">
        <v>54</v>
      </c>
      <c r="C20" s="14" t="s">
        <v>32</v>
      </c>
      <c r="D20" s="15" t="n">
        <f aca="false">COUNTIFS('تفاصيل الفرص'!$B$2:$B$372,$B20,'تفاصيل الفرص'!$D$2:$D$372,$C20)</f>
        <v>0</v>
      </c>
      <c r="E20" s="13" t="n">
        <f aca="false">COUNTIFS('تفاصيل الفرص'!$B$2:$B$372,$B20,'تفاصيل الفرص'!$D$2:$D$372,$C20,'تفاصيل الفرص'!$X$2:$X$372,0)</f>
        <v>0</v>
      </c>
      <c r="F20" s="13" t="n">
        <f aca="false">COUNTIFS('سجل الأكشنات'!$B$2:$B$933,$B20,'سجل الأكشنات'!$D$2:$D$933,$C20)</f>
        <v>1</v>
      </c>
      <c r="G20" s="13" t="n">
        <f aca="false">COUNTIFS('سجل الأكشنات'!$B$2:$B$933,$B20,'سجل الأكشنات'!$D$2:$D$933,$C20,'سجل الأكشنات'!$H$2:$H$933,"تفصيلي")</f>
        <v>1</v>
      </c>
      <c r="H20" s="13" t="n">
        <f aca="false">F20-G20</f>
        <v>0</v>
      </c>
      <c r="I20" s="13" t="str">
        <f aca="false">IF($B20&gt;"2026-09-30","لا توجد بيانات بعد",IF(AND(D20=0,F20=0),"بدون نشاط","نشِط"))</f>
        <v>نشِط</v>
      </c>
    </row>
    <row r="21" customFormat="false" ht="15" hidden="false" customHeight="false" outlineLevel="0" collapsed="false">
      <c r="A21" s="13" t="s">
        <v>53</v>
      </c>
      <c r="B21" s="13" t="s">
        <v>54</v>
      </c>
      <c r="C21" s="14" t="s">
        <v>34</v>
      </c>
      <c r="D21" s="15" t="n">
        <f aca="false">COUNTIFS('تفاصيل الفرص'!$B$2:$B$372,$B21,'تفاصيل الفرص'!$D$2:$D$372,$C21)</f>
        <v>2</v>
      </c>
      <c r="E21" s="13" t="n">
        <f aca="false">COUNTIFS('تفاصيل الفرص'!$B$2:$B$372,$B21,'تفاصيل الفرص'!$D$2:$D$372,$C21,'تفاصيل الفرص'!$X$2:$X$372,0)</f>
        <v>0</v>
      </c>
      <c r="F21" s="13" t="n">
        <f aca="false">COUNTIFS('سجل الأكشنات'!$B$2:$B$933,$B21,'سجل الأكشنات'!$D$2:$D$933,$C21)</f>
        <v>8</v>
      </c>
      <c r="G21" s="13" t="n">
        <f aca="false">COUNTIFS('سجل الأكشنات'!$B$2:$B$933,$B21,'سجل الأكشنات'!$D$2:$D$933,$C21,'سجل الأكشنات'!$H$2:$H$933,"تفصيلي")</f>
        <v>6</v>
      </c>
      <c r="H21" s="13" t="n">
        <f aca="false">F21-G21</f>
        <v>2</v>
      </c>
      <c r="I21" s="13" t="str">
        <f aca="false">IF($B21&gt;"2026-09-30","لا توجد بيانات بعد",IF(AND(D21=0,F21=0),"بدون نشاط","نشِط"))</f>
        <v>نشِط</v>
      </c>
    </row>
    <row r="22" customFormat="false" ht="15" hidden="false" customHeight="false" outlineLevel="0" collapsed="false">
      <c r="A22" s="5" t="s">
        <v>55</v>
      </c>
      <c r="B22" s="5" t="s">
        <v>56</v>
      </c>
      <c r="C22" s="4" t="s">
        <v>18</v>
      </c>
      <c r="D22" s="5" t="n">
        <f aca="false">COUNTIFS('تفاصيل الفرص'!$B$2:$B$372,$B22,'تفاصيل الفرص'!$D$2:$D$372,$C22)</f>
        <v>0</v>
      </c>
      <c r="E22" s="5" t="n">
        <f aca="false">COUNTIFS('تفاصيل الفرص'!$B$2:$B$372,$B22,'تفاصيل الفرص'!$D$2:$D$372,$C22,'تفاصيل الفرص'!$X$2:$X$372,0)</f>
        <v>0</v>
      </c>
      <c r="F22" s="5" t="n">
        <f aca="false">COUNTIFS('سجل الأكشنات'!$B$2:$B$933,$B22,'سجل الأكشنات'!$D$2:$D$933,$C22)</f>
        <v>0</v>
      </c>
      <c r="G22" s="5" t="n">
        <f aca="false">COUNTIFS('سجل الأكشنات'!$B$2:$B$933,$B22,'سجل الأكشنات'!$D$2:$D$933,$C22,'سجل الأكشنات'!$H$2:$H$933,"تفصيلي")</f>
        <v>0</v>
      </c>
      <c r="H22" s="5" t="n">
        <f aca="false">F22-G22</f>
        <v>0</v>
      </c>
      <c r="I22" s="12" t="str">
        <f aca="false">IF($B22&gt;"2026-09-30","لا توجد بيانات بعد",IF(AND(D22=0,F22=0),"بدون نشاط","نشِط"))</f>
        <v>بدون نشاط</v>
      </c>
    </row>
    <row r="23" customFormat="false" ht="15" hidden="false" customHeight="false" outlineLevel="0" collapsed="false">
      <c r="A23" s="5" t="s">
        <v>55</v>
      </c>
      <c r="B23" s="5" t="s">
        <v>56</v>
      </c>
      <c r="C23" s="4" t="s">
        <v>20</v>
      </c>
      <c r="D23" s="5" t="n">
        <f aca="false">COUNTIFS('تفاصيل الفرص'!$B$2:$B$372,$B23,'تفاصيل الفرص'!$D$2:$D$372,$C23)</f>
        <v>0</v>
      </c>
      <c r="E23" s="5" t="n">
        <f aca="false">COUNTIFS('تفاصيل الفرص'!$B$2:$B$372,$B23,'تفاصيل الفرص'!$D$2:$D$372,$C23,'تفاصيل الفرص'!$X$2:$X$372,0)</f>
        <v>0</v>
      </c>
      <c r="F23" s="5" t="n">
        <f aca="false">COUNTIFS('سجل الأكشنات'!$B$2:$B$933,$B23,'سجل الأكشنات'!$D$2:$D$933,$C23)</f>
        <v>0</v>
      </c>
      <c r="G23" s="5" t="n">
        <f aca="false">COUNTIFS('سجل الأكشنات'!$B$2:$B$933,$B23,'سجل الأكشنات'!$D$2:$D$933,$C23,'سجل الأكشنات'!$H$2:$H$933,"تفصيلي")</f>
        <v>0</v>
      </c>
      <c r="H23" s="5" t="n">
        <f aca="false">F23-G23</f>
        <v>0</v>
      </c>
      <c r="I23" s="12" t="str">
        <f aca="false">IF($B23&gt;"2026-09-30","لا توجد بيانات بعد",IF(AND(D23=0,F23=0),"بدون نشاط","نشِط"))</f>
        <v>بدون نشاط</v>
      </c>
    </row>
    <row r="24" customFormat="false" ht="15" hidden="false" customHeight="false" outlineLevel="0" collapsed="false">
      <c r="A24" s="5" t="s">
        <v>55</v>
      </c>
      <c r="B24" s="5" t="s">
        <v>56</v>
      </c>
      <c r="C24" s="4" t="s">
        <v>22</v>
      </c>
      <c r="D24" s="5" t="n">
        <f aca="false">COUNTIFS('تفاصيل الفرص'!$B$2:$B$372,$B24,'تفاصيل الفرص'!$D$2:$D$372,$C24)</f>
        <v>4</v>
      </c>
      <c r="E24" s="5" t="n">
        <f aca="false">COUNTIFS('تفاصيل الفرص'!$B$2:$B$372,$B24,'تفاصيل الفرص'!$D$2:$D$372,$C24,'تفاصيل الفرص'!$X$2:$X$372,0)</f>
        <v>0</v>
      </c>
      <c r="F24" s="5" t="n">
        <f aca="false">COUNTIFS('سجل الأكشنات'!$B$2:$B$933,$B24,'سجل الأكشنات'!$D$2:$D$933,$C24)</f>
        <v>5</v>
      </c>
      <c r="G24" s="5" t="n">
        <f aca="false">COUNTIFS('سجل الأكشنات'!$B$2:$B$933,$B24,'سجل الأكشنات'!$D$2:$D$933,$C24,'سجل الأكشنات'!$H$2:$H$933,"تفصيلي")</f>
        <v>5</v>
      </c>
      <c r="H24" s="5" t="n">
        <f aca="false">F24-G24</f>
        <v>0</v>
      </c>
      <c r="I24" s="12" t="str">
        <f aca="false">IF($B24&gt;"2026-09-30","لا توجد بيانات بعد",IF(AND(D24=0,F24=0),"بدون نشاط","نشِط"))</f>
        <v>نشِط</v>
      </c>
    </row>
    <row r="25" customFormat="false" ht="15" hidden="false" customHeight="false" outlineLevel="0" collapsed="false">
      <c r="A25" s="5" t="s">
        <v>55</v>
      </c>
      <c r="B25" s="5" t="s">
        <v>56</v>
      </c>
      <c r="C25" s="4" t="s">
        <v>24</v>
      </c>
      <c r="D25" s="5" t="n">
        <f aca="false">COUNTIFS('تفاصيل الفرص'!$B$2:$B$372,$B25,'تفاصيل الفرص'!$D$2:$D$372,$C25)</f>
        <v>0</v>
      </c>
      <c r="E25" s="5" t="n">
        <f aca="false">COUNTIFS('تفاصيل الفرص'!$B$2:$B$372,$B25,'تفاصيل الفرص'!$D$2:$D$372,$C25,'تفاصيل الفرص'!$X$2:$X$372,0)</f>
        <v>0</v>
      </c>
      <c r="F25" s="5" t="n">
        <f aca="false">COUNTIFS('سجل الأكشنات'!$B$2:$B$933,$B25,'سجل الأكشنات'!$D$2:$D$933,$C25)</f>
        <v>4</v>
      </c>
      <c r="G25" s="5" t="n">
        <f aca="false">COUNTIFS('سجل الأكشنات'!$B$2:$B$933,$B25,'سجل الأكشنات'!$D$2:$D$933,$C25,'سجل الأكشنات'!$H$2:$H$933,"تفصيلي")</f>
        <v>4</v>
      </c>
      <c r="H25" s="5" t="n">
        <f aca="false">F25-G25</f>
        <v>0</v>
      </c>
      <c r="I25" s="12" t="str">
        <f aca="false">IF($B25&gt;"2026-09-30","لا توجد بيانات بعد",IF(AND(D25=0,F25=0),"بدون نشاط","نشِط"))</f>
        <v>نشِط</v>
      </c>
    </row>
    <row r="26" customFormat="false" ht="15" hidden="false" customHeight="false" outlineLevel="0" collapsed="false">
      <c r="A26" s="5" t="s">
        <v>55</v>
      </c>
      <c r="B26" s="5" t="s">
        <v>56</v>
      </c>
      <c r="C26" s="4" t="s">
        <v>26</v>
      </c>
      <c r="D26" s="5" t="n">
        <f aca="false">COUNTIFS('تفاصيل الفرص'!$B$2:$B$372,$B26,'تفاصيل الفرص'!$D$2:$D$372,$C26)</f>
        <v>0</v>
      </c>
      <c r="E26" s="5" t="n">
        <f aca="false">COUNTIFS('تفاصيل الفرص'!$B$2:$B$372,$B26,'تفاصيل الفرص'!$D$2:$D$372,$C26,'تفاصيل الفرص'!$X$2:$X$372,0)</f>
        <v>0</v>
      </c>
      <c r="F26" s="5" t="n">
        <f aca="false">COUNTIFS('سجل الأكشنات'!$B$2:$B$933,$B26,'سجل الأكشنات'!$D$2:$D$933,$C26)</f>
        <v>4</v>
      </c>
      <c r="G26" s="5" t="n">
        <f aca="false">COUNTIFS('سجل الأكشنات'!$B$2:$B$933,$B26,'سجل الأكشنات'!$D$2:$D$933,$C26,'سجل الأكشنات'!$H$2:$H$933,"تفصيلي")</f>
        <v>4</v>
      </c>
      <c r="H26" s="5" t="n">
        <f aca="false">F26-G26</f>
        <v>0</v>
      </c>
      <c r="I26" s="12" t="str">
        <f aca="false">IF($B26&gt;"2026-09-30","لا توجد بيانات بعد",IF(AND(D26=0,F26=0),"بدون نشاط","نشِط"))</f>
        <v>نشِط</v>
      </c>
    </row>
    <row r="27" customFormat="false" ht="15" hidden="false" customHeight="false" outlineLevel="0" collapsed="false">
      <c r="A27" s="5" t="s">
        <v>55</v>
      </c>
      <c r="B27" s="5" t="s">
        <v>56</v>
      </c>
      <c r="C27" s="4" t="s">
        <v>28</v>
      </c>
      <c r="D27" s="5" t="n">
        <f aca="false">COUNTIFS('تفاصيل الفرص'!$B$2:$B$372,$B27,'تفاصيل الفرص'!$D$2:$D$372,$C27)</f>
        <v>0</v>
      </c>
      <c r="E27" s="5" t="n">
        <f aca="false">COUNTIFS('تفاصيل الفرص'!$B$2:$B$372,$B27,'تفاصيل الفرص'!$D$2:$D$372,$C27,'تفاصيل الفرص'!$X$2:$X$372,0)</f>
        <v>0</v>
      </c>
      <c r="F27" s="5" t="n">
        <f aca="false">COUNTIFS('سجل الأكشنات'!$B$2:$B$933,$B27,'سجل الأكشنات'!$D$2:$D$933,$C27)</f>
        <v>0</v>
      </c>
      <c r="G27" s="5" t="n">
        <f aca="false">COUNTIFS('سجل الأكشنات'!$B$2:$B$933,$B27,'سجل الأكشنات'!$D$2:$D$933,$C27,'سجل الأكشنات'!$H$2:$H$933,"تفصيلي")</f>
        <v>0</v>
      </c>
      <c r="H27" s="5" t="n">
        <f aca="false">F27-G27</f>
        <v>0</v>
      </c>
      <c r="I27" s="12" t="str">
        <f aca="false">IF($B27&gt;"2026-09-30","لا توجد بيانات بعد",IF(AND(D27=0,F27=0),"بدون نشاط","نشِط"))</f>
        <v>بدون نشاط</v>
      </c>
    </row>
    <row r="28" customFormat="false" ht="15" hidden="false" customHeight="false" outlineLevel="0" collapsed="false">
      <c r="A28" s="5" t="s">
        <v>55</v>
      </c>
      <c r="B28" s="5" t="s">
        <v>56</v>
      </c>
      <c r="C28" s="4" t="s">
        <v>30</v>
      </c>
      <c r="D28" s="5" t="n">
        <f aca="false">COUNTIFS('تفاصيل الفرص'!$B$2:$B$372,$B28,'تفاصيل الفرص'!$D$2:$D$372,$C28)</f>
        <v>1</v>
      </c>
      <c r="E28" s="5" t="n">
        <f aca="false">COUNTIFS('تفاصيل الفرص'!$B$2:$B$372,$B28,'تفاصيل الفرص'!$D$2:$D$372,$C28,'تفاصيل الفرص'!$X$2:$X$372,0)</f>
        <v>0</v>
      </c>
      <c r="F28" s="5" t="n">
        <f aca="false">COUNTIFS('سجل الأكشنات'!$B$2:$B$933,$B28,'سجل الأكشنات'!$D$2:$D$933,$C28)</f>
        <v>1</v>
      </c>
      <c r="G28" s="5" t="n">
        <f aca="false">COUNTIFS('سجل الأكشنات'!$B$2:$B$933,$B28,'سجل الأكشنات'!$D$2:$D$933,$C28,'سجل الأكشنات'!$H$2:$H$933,"تفصيلي")</f>
        <v>1</v>
      </c>
      <c r="H28" s="5" t="n">
        <f aca="false">F28-G28</f>
        <v>0</v>
      </c>
      <c r="I28" s="12" t="str">
        <f aca="false">IF($B28&gt;"2026-09-30","لا توجد بيانات بعد",IF(AND(D28=0,F28=0),"بدون نشاط","نشِط"))</f>
        <v>نشِط</v>
      </c>
    </row>
    <row r="29" customFormat="false" ht="15" hidden="false" customHeight="false" outlineLevel="0" collapsed="false">
      <c r="A29" s="5" t="s">
        <v>55</v>
      </c>
      <c r="B29" s="5" t="s">
        <v>56</v>
      </c>
      <c r="C29" s="4" t="s">
        <v>32</v>
      </c>
      <c r="D29" s="5" t="n">
        <f aca="false">COUNTIFS('تفاصيل الفرص'!$B$2:$B$372,$B29,'تفاصيل الفرص'!$D$2:$D$372,$C29)</f>
        <v>0</v>
      </c>
      <c r="E29" s="5" t="n">
        <f aca="false">COUNTIFS('تفاصيل الفرص'!$B$2:$B$372,$B29,'تفاصيل الفرص'!$D$2:$D$372,$C29,'تفاصيل الفرص'!$X$2:$X$372,0)</f>
        <v>0</v>
      </c>
      <c r="F29" s="5" t="n">
        <f aca="false">COUNTIFS('سجل الأكشنات'!$B$2:$B$933,$B29,'سجل الأكشنات'!$D$2:$D$933,$C29)</f>
        <v>0</v>
      </c>
      <c r="G29" s="5" t="n">
        <f aca="false">COUNTIFS('سجل الأكشنات'!$B$2:$B$933,$B29,'سجل الأكشنات'!$D$2:$D$933,$C29,'سجل الأكشنات'!$H$2:$H$933,"تفصيلي")</f>
        <v>0</v>
      </c>
      <c r="H29" s="5" t="n">
        <f aca="false">F29-G29</f>
        <v>0</v>
      </c>
      <c r="I29" s="12" t="str">
        <f aca="false">IF($B29&gt;"2026-09-30","لا توجد بيانات بعد",IF(AND(D29=0,F29=0),"بدون نشاط","نشِط"))</f>
        <v>بدون نشاط</v>
      </c>
    </row>
    <row r="30" customFormat="false" ht="15" hidden="false" customHeight="false" outlineLevel="0" collapsed="false">
      <c r="A30" s="5" t="s">
        <v>55</v>
      </c>
      <c r="B30" s="5" t="s">
        <v>56</v>
      </c>
      <c r="C30" s="4" t="s">
        <v>34</v>
      </c>
      <c r="D30" s="5" t="n">
        <f aca="false">COUNTIFS('تفاصيل الفرص'!$B$2:$B$372,$B30,'تفاصيل الفرص'!$D$2:$D$372,$C30)</f>
        <v>1</v>
      </c>
      <c r="E30" s="5" t="n">
        <f aca="false">COUNTIFS('تفاصيل الفرص'!$B$2:$B$372,$B30,'تفاصيل الفرص'!$D$2:$D$372,$C30,'تفاصيل الفرص'!$X$2:$X$372,0)</f>
        <v>0</v>
      </c>
      <c r="F30" s="5" t="n">
        <f aca="false">COUNTIFS('سجل الأكشنات'!$B$2:$B$933,$B30,'سجل الأكشنات'!$D$2:$D$933,$C30)</f>
        <v>2</v>
      </c>
      <c r="G30" s="5" t="n">
        <f aca="false">COUNTIFS('سجل الأكشنات'!$B$2:$B$933,$B30,'سجل الأكشنات'!$D$2:$D$933,$C30,'سجل الأكشنات'!$H$2:$H$933,"تفصيلي")</f>
        <v>1</v>
      </c>
      <c r="H30" s="5" t="n">
        <f aca="false">F30-G30</f>
        <v>1</v>
      </c>
      <c r="I30" s="12" t="str">
        <f aca="false">IF($B30&gt;"2026-09-30","لا توجد بيانات بعد",IF(AND(D30=0,F30=0),"بدون نشاط","نشِط"))</f>
        <v>نشِط</v>
      </c>
    </row>
    <row r="31" customFormat="false" ht="15" hidden="false" customHeight="false" outlineLevel="0" collapsed="false">
      <c r="A31" s="13" t="s">
        <v>57</v>
      </c>
      <c r="B31" s="13" t="s">
        <v>58</v>
      </c>
      <c r="C31" s="14" t="s">
        <v>18</v>
      </c>
      <c r="D31" s="15" t="n">
        <f aca="false">COUNTIFS('تفاصيل الفرص'!$B$2:$B$372,$B31,'تفاصيل الفرص'!$D$2:$D$372,$C31)</f>
        <v>2</v>
      </c>
      <c r="E31" s="13" t="n">
        <f aca="false">COUNTIFS('تفاصيل الفرص'!$B$2:$B$372,$B31,'تفاصيل الفرص'!$D$2:$D$372,$C31,'تفاصيل الفرص'!$X$2:$X$372,0)</f>
        <v>0</v>
      </c>
      <c r="F31" s="13" t="n">
        <f aca="false">COUNTIFS('سجل الأكشنات'!$B$2:$B$933,$B31,'سجل الأكشنات'!$D$2:$D$933,$C31)</f>
        <v>3</v>
      </c>
      <c r="G31" s="13" t="n">
        <f aca="false">COUNTIFS('سجل الأكشنات'!$B$2:$B$933,$B31,'سجل الأكشنات'!$D$2:$D$933,$C31,'سجل الأكشنات'!$H$2:$H$933,"تفصيلي")</f>
        <v>3</v>
      </c>
      <c r="H31" s="13" t="n">
        <f aca="false">F31-G31</f>
        <v>0</v>
      </c>
      <c r="I31" s="13" t="str">
        <f aca="false">IF($B31&gt;"2026-09-30","لا توجد بيانات بعد",IF(AND(D31=0,F31=0),"بدون نشاط","نشِط"))</f>
        <v>نشِط</v>
      </c>
    </row>
    <row r="32" customFormat="false" ht="15" hidden="false" customHeight="false" outlineLevel="0" collapsed="false">
      <c r="A32" s="13" t="s">
        <v>57</v>
      </c>
      <c r="B32" s="13" t="s">
        <v>58</v>
      </c>
      <c r="C32" s="14" t="s">
        <v>20</v>
      </c>
      <c r="D32" s="15" t="n">
        <f aca="false">COUNTIFS('تفاصيل الفرص'!$B$2:$B$372,$B32,'تفاصيل الفرص'!$D$2:$D$372,$C32)</f>
        <v>0</v>
      </c>
      <c r="E32" s="13" t="n">
        <f aca="false">COUNTIFS('تفاصيل الفرص'!$B$2:$B$372,$B32,'تفاصيل الفرص'!$D$2:$D$372,$C32,'تفاصيل الفرص'!$X$2:$X$372,0)</f>
        <v>0</v>
      </c>
      <c r="F32" s="13" t="n">
        <f aca="false">COUNTIFS('سجل الأكشنات'!$B$2:$B$933,$B32,'سجل الأكشنات'!$D$2:$D$933,$C32)</f>
        <v>0</v>
      </c>
      <c r="G32" s="13" t="n">
        <f aca="false">COUNTIFS('سجل الأكشنات'!$B$2:$B$933,$B32,'سجل الأكشنات'!$D$2:$D$933,$C32,'سجل الأكشنات'!$H$2:$H$933,"تفصيلي")</f>
        <v>0</v>
      </c>
      <c r="H32" s="13" t="n">
        <f aca="false">F32-G32</f>
        <v>0</v>
      </c>
      <c r="I32" s="13" t="str">
        <f aca="false">IF($B32&gt;"2026-09-30","لا توجد بيانات بعد",IF(AND(D32=0,F32=0),"بدون نشاط","نشِط"))</f>
        <v>بدون نشاط</v>
      </c>
    </row>
    <row r="33" customFormat="false" ht="15" hidden="false" customHeight="false" outlineLevel="0" collapsed="false">
      <c r="A33" s="13" t="s">
        <v>57</v>
      </c>
      <c r="B33" s="13" t="s">
        <v>58</v>
      </c>
      <c r="C33" s="14" t="s">
        <v>22</v>
      </c>
      <c r="D33" s="15" t="n">
        <f aca="false">COUNTIFS('تفاصيل الفرص'!$B$2:$B$372,$B33,'تفاصيل الفرص'!$D$2:$D$372,$C33)</f>
        <v>0</v>
      </c>
      <c r="E33" s="13" t="n">
        <f aca="false">COUNTIFS('تفاصيل الفرص'!$B$2:$B$372,$B33,'تفاصيل الفرص'!$D$2:$D$372,$C33,'تفاصيل الفرص'!$X$2:$X$372,0)</f>
        <v>0</v>
      </c>
      <c r="F33" s="13" t="n">
        <f aca="false">COUNTIFS('سجل الأكشنات'!$B$2:$B$933,$B33,'سجل الأكشنات'!$D$2:$D$933,$C33)</f>
        <v>0</v>
      </c>
      <c r="G33" s="13" t="n">
        <f aca="false">COUNTIFS('سجل الأكشنات'!$B$2:$B$933,$B33,'سجل الأكشنات'!$D$2:$D$933,$C33,'سجل الأكشنات'!$H$2:$H$933,"تفصيلي")</f>
        <v>0</v>
      </c>
      <c r="H33" s="13" t="n">
        <f aca="false">F33-G33</f>
        <v>0</v>
      </c>
      <c r="I33" s="13" t="str">
        <f aca="false">IF($B33&gt;"2026-09-30","لا توجد بيانات بعد",IF(AND(D33=0,F33=0),"بدون نشاط","نشِط"))</f>
        <v>بدون نشاط</v>
      </c>
    </row>
    <row r="34" customFormat="false" ht="15" hidden="false" customHeight="false" outlineLevel="0" collapsed="false">
      <c r="A34" s="13" t="s">
        <v>57</v>
      </c>
      <c r="B34" s="13" t="s">
        <v>58</v>
      </c>
      <c r="C34" s="14" t="s">
        <v>24</v>
      </c>
      <c r="D34" s="15" t="n">
        <f aca="false">COUNTIFS('تفاصيل الفرص'!$B$2:$B$372,$B34,'تفاصيل الفرص'!$D$2:$D$372,$C34)</f>
        <v>0</v>
      </c>
      <c r="E34" s="13" t="n">
        <f aca="false">COUNTIFS('تفاصيل الفرص'!$B$2:$B$372,$B34,'تفاصيل الفرص'!$D$2:$D$372,$C34,'تفاصيل الفرص'!$X$2:$X$372,0)</f>
        <v>0</v>
      </c>
      <c r="F34" s="13" t="n">
        <f aca="false">COUNTIFS('سجل الأكشنات'!$B$2:$B$933,$B34,'سجل الأكشنات'!$D$2:$D$933,$C34)</f>
        <v>0</v>
      </c>
      <c r="G34" s="13" t="n">
        <f aca="false">COUNTIFS('سجل الأكشنات'!$B$2:$B$933,$B34,'سجل الأكشنات'!$D$2:$D$933,$C34,'سجل الأكشنات'!$H$2:$H$933,"تفصيلي")</f>
        <v>0</v>
      </c>
      <c r="H34" s="13" t="n">
        <f aca="false">F34-G34</f>
        <v>0</v>
      </c>
      <c r="I34" s="13" t="str">
        <f aca="false">IF($B34&gt;"2026-09-30","لا توجد بيانات بعد",IF(AND(D34=0,F34=0),"بدون نشاط","نشِط"))</f>
        <v>بدون نشاط</v>
      </c>
    </row>
    <row r="35" customFormat="false" ht="15" hidden="false" customHeight="false" outlineLevel="0" collapsed="false">
      <c r="A35" s="13" t="s">
        <v>57</v>
      </c>
      <c r="B35" s="13" t="s">
        <v>58</v>
      </c>
      <c r="C35" s="14" t="s">
        <v>26</v>
      </c>
      <c r="D35" s="15" t="n">
        <f aca="false">COUNTIFS('تفاصيل الفرص'!$B$2:$B$372,$B35,'تفاصيل الفرص'!$D$2:$D$372,$C35)</f>
        <v>0</v>
      </c>
      <c r="E35" s="13" t="n">
        <f aca="false">COUNTIFS('تفاصيل الفرص'!$B$2:$B$372,$B35,'تفاصيل الفرص'!$D$2:$D$372,$C35,'تفاصيل الفرص'!$X$2:$X$372,0)</f>
        <v>0</v>
      </c>
      <c r="F35" s="13" t="n">
        <f aca="false">COUNTIFS('سجل الأكشنات'!$B$2:$B$933,$B35,'سجل الأكشنات'!$D$2:$D$933,$C35)</f>
        <v>0</v>
      </c>
      <c r="G35" s="13" t="n">
        <f aca="false">COUNTIFS('سجل الأكشنات'!$B$2:$B$933,$B35,'سجل الأكشنات'!$D$2:$D$933,$C35,'سجل الأكشنات'!$H$2:$H$933,"تفصيلي")</f>
        <v>0</v>
      </c>
      <c r="H35" s="13" t="n">
        <f aca="false">F35-G35</f>
        <v>0</v>
      </c>
      <c r="I35" s="13" t="str">
        <f aca="false">IF($B35&gt;"2026-09-30","لا توجد بيانات بعد",IF(AND(D35=0,F35=0),"بدون نشاط","نشِط"))</f>
        <v>بدون نشاط</v>
      </c>
    </row>
    <row r="36" customFormat="false" ht="15" hidden="false" customHeight="false" outlineLevel="0" collapsed="false">
      <c r="A36" s="13" t="s">
        <v>57</v>
      </c>
      <c r="B36" s="13" t="s">
        <v>58</v>
      </c>
      <c r="C36" s="14" t="s">
        <v>28</v>
      </c>
      <c r="D36" s="15" t="n">
        <f aca="false">COUNTIFS('تفاصيل الفرص'!$B$2:$B$372,$B36,'تفاصيل الفرص'!$D$2:$D$372,$C36)</f>
        <v>0</v>
      </c>
      <c r="E36" s="13" t="n">
        <f aca="false">COUNTIFS('تفاصيل الفرص'!$B$2:$B$372,$B36,'تفاصيل الفرص'!$D$2:$D$372,$C36,'تفاصيل الفرص'!$X$2:$X$372,0)</f>
        <v>0</v>
      </c>
      <c r="F36" s="13" t="n">
        <f aca="false">COUNTIFS('سجل الأكشنات'!$B$2:$B$933,$B36,'سجل الأكشنات'!$D$2:$D$933,$C36)</f>
        <v>0</v>
      </c>
      <c r="G36" s="13" t="n">
        <f aca="false">COUNTIFS('سجل الأكشنات'!$B$2:$B$933,$B36,'سجل الأكشنات'!$D$2:$D$933,$C36,'سجل الأكشنات'!$H$2:$H$933,"تفصيلي")</f>
        <v>0</v>
      </c>
      <c r="H36" s="13" t="n">
        <f aca="false">F36-G36</f>
        <v>0</v>
      </c>
      <c r="I36" s="13" t="str">
        <f aca="false">IF($B36&gt;"2026-09-30","لا توجد بيانات بعد",IF(AND(D36=0,F36=0),"بدون نشاط","نشِط"))</f>
        <v>بدون نشاط</v>
      </c>
    </row>
    <row r="37" customFormat="false" ht="15" hidden="false" customHeight="false" outlineLevel="0" collapsed="false">
      <c r="A37" s="13" t="s">
        <v>57</v>
      </c>
      <c r="B37" s="13" t="s">
        <v>58</v>
      </c>
      <c r="C37" s="14" t="s">
        <v>30</v>
      </c>
      <c r="D37" s="15" t="n">
        <f aca="false">COUNTIFS('تفاصيل الفرص'!$B$2:$B$372,$B37,'تفاصيل الفرص'!$D$2:$D$372,$C37)</f>
        <v>0</v>
      </c>
      <c r="E37" s="13" t="n">
        <f aca="false">COUNTIFS('تفاصيل الفرص'!$B$2:$B$372,$B37,'تفاصيل الفرص'!$D$2:$D$372,$C37,'تفاصيل الفرص'!$X$2:$X$372,0)</f>
        <v>0</v>
      </c>
      <c r="F37" s="13" t="n">
        <f aca="false">COUNTIFS('سجل الأكشنات'!$B$2:$B$933,$B37,'سجل الأكشنات'!$D$2:$D$933,$C37)</f>
        <v>0</v>
      </c>
      <c r="G37" s="13" t="n">
        <f aca="false">COUNTIFS('سجل الأكشنات'!$B$2:$B$933,$B37,'سجل الأكشنات'!$D$2:$D$933,$C37,'سجل الأكشنات'!$H$2:$H$933,"تفصيلي")</f>
        <v>0</v>
      </c>
      <c r="H37" s="13" t="n">
        <f aca="false">F37-G37</f>
        <v>0</v>
      </c>
      <c r="I37" s="13" t="str">
        <f aca="false">IF($B37&gt;"2026-09-30","لا توجد بيانات بعد",IF(AND(D37=0,F37=0),"بدون نشاط","نشِط"))</f>
        <v>بدون نشاط</v>
      </c>
    </row>
    <row r="38" customFormat="false" ht="15" hidden="false" customHeight="false" outlineLevel="0" collapsed="false">
      <c r="A38" s="13" t="s">
        <v>57</v>
      </c>
      <c r="B38" s="13" t="s">
        <v>58</v>
      </c>
      <c r="C38" s="14" t="s">
        <v>32</v>
      </c>
      <c r="D38" s="15" t="n">
        <f aca="false">COUNTIFS('تفاصيل الفرص'!$B$2:$B$372,$B38,'تفاصيل الفرص'!$D$2:$D$372,$C38)</f>
        <v>0</v>
      </c>
      <c r="E38" s="13" t="n">
        <f aca="false">COUNTIFS('تفاصيل الفرص'!$B$2:$B$372,$B38,'تفاصيل الفرص'!$D$2:$D$372,$C38,'تفاصيل الفرص'!$X$2:$X$372,0)</f>
        <v>0</v>
      </c>
      <c r="F38" s="13" t="n">
        <f aca="false">COUNTIFS('سجل الأكشنات'!$B$2:$B$933,$B38,'سجل الأكشنات'!$D$2:$D$933,$C38)</f>
        <v>1</v>
      </c>
      <c r="G38" s="13" t="n">
        <f aca="false">COUNTIFS('سجل الأكشنات'!$B$2:$B$933,$B38,'سجل الأكشنات'!$D$2:$D$933,$C38,'سجل الأكشنات'!$H$2:$H$933,"تفصيلي")</f>
        <v>0</v>
      </c>
      <c r="H38" s="13" t="n">
        <f aca="false">F38-G38</f>
        <v>1</v>
      </c>
      <c r="I38" s="13" t="str">
        <f aca="false">IF($B38&gt;"2026-09-30","لا توجد بيانات بعد",IF(AND(D38=0,F38=0),"بدون نشاط","نشِط"))</f>
        <v>نشِط</v>
      </c>
    </row>
    <row r="39" customFormat="false" ht="15" hidden="false" customHeight="false" outlineLevel="0" collapsed="false">
      <c r="A39" s="13" t="s">
        <v>57</v>
      </c>
      <c r="B39" s="13" t="s">
        <v>58</v>
      </c>
      <c r="C39" s="14" t="s">
        <v>34</v>
      </c>
      <c r="D39" s="15" t="n">
        <f aca="false">COUNTIFS('تفاصيل الفرص'!$B$2:$B$372,$B39,'تفاصيل الفرص'!$D$2:$D$372,$C39)</f>
        <v>0</v>
      </c>
      <c r="E39" s="13" t="n">
        <f aca="false">COUNTIFS('تفاصيل الفرص'!$B$2:$B$372,$B39,'تفاصيل الفرص'!$D$2:$D$372,$C39,'تفاصيل الفرص'!$X$2:$X$372,0)</f>
        <v>0</v>
      </c>
      <c r="F39" s="13" t="n">
        <f aca="false">COUNTIFS('سجل الأكشنات'!$B$2:$B$933,$B39,'سجل الأكشنات'!$D$2:$D$933,$C39)</f>
        <v>0</v>
      </c>
      <c r="G39" s="13" t="n">
        <f aca="false">COUNTIFS('سجل الأكشنات'!$B$2:$B$933,$B39,'سجل الأكشنات'!$D$2:$D$933,$C39,'سجل الأكشنات'!$H$2:$H$933,"تفصيلي")</f>
        <v>0</v>
      </c>
      <c r="H39" s="13" t="n">
        <f aca="false">F39-G39</f>
        <v>0</v>
      </c>
      <c r="I39" s="13" t="str">
        <f aca="false">IF($B39&gt;"2026-09-30","لا توجد بيانات بعد",IF(AND(D39=0,F39=0),"بدون نشاط","نشِط"))</f>
        <v>بدون نشاط</v>
      </c>
    </row>
    <row r="40" customFormat="false" ht="15" hidden="false" customHeight="false" outlineLevel="0" collapsed="false">
      <c r="A40" s="5" t="s">
        <v>59</v>
      </c>
      <c r="B40" s="5" t="s">
        <v>60</v>
      </c>
      <c r="C40" s="4" t="s">
        <v>18</v>
      </c>
      <c r="D40" s="5" t="n">
        <f aca="false">COUNTIFS('تفاصيل الفرص'!$B$2:$B$372,$B40,'تفاصيل الفرص'!$D$2:$D$372,$C40)</f>
        <v>1</v>
      </c>
      <c r="E40" s="5" t="n">
        <f aca="false">COUNTIFS('تفاصيل الفرص'!$B$2:$B$372,$B40,'تفاصيل الفرص'!$D$2:$D$372,$C40,'تفاصيل الفرص'!$X$2:$X$372,0)</f>
        <v>0</v>
      </c>
      <c r="F40" s="5" t="n">
        <f aca="false">COUNTIFS('سجل الأكشنات'!$B$2:$B$933,$B40,'سجل الأكشنات'!$D$2:$D$933,$C40)</f>
        <v>5</v>
      </c>
      <c r="G40" s="5" t="n">
        <f aca="false">COUNTIFS('سجل الأكشنات'!$B$2:$B$933,$B40,'سجل الأكشنات'!$D$2:$D$933,$C40,'سجل الأكشنات'!$H$2:$H$933,"تفصيلي")</f>
        <v>5</v>
      </c>
      <c r="H40" s="5" t="n">
        <f aca="false">F40-G40</f>
        <v>0</v>
      </c>
      <c r="I40" s="12" t="str">
        <f aca="false">IF($B40&gt;"2026-09-30","لا توجد بيانات بعد",IF(AND(D40=0,F40=0),"بدون نشاط","نشِط"))</f>
        <v>نشِط</v>
      </c>
    </row>
    <row r="41" customFormat="false" ht="15" hidden="false" customHeight="false" outlineLevel="0" collapsed="false">
      <c r="A41" s="5" t="s">
        <v>59</v>
      </c>
      <c r="B41" s="5" t="s">
        <v>60</v>
      </c>
      <c r="C41" s="4" t="s">
        <v>20</v>
      </c>
      <c r="D41" s="5" t="n">
        <f aca="false">COUNTIFS('تفاصيل الفرص'!$B$2:$B$372,$B41,'تفاصيل الفرص'!$D$2:$D$372,$C41)</f>
        <v>0</v>
      </c>
      <c r="E41" s="5" t="n">
        <f aca="false">COUNTIFS('تفاصيل الفرص'!$B$2:$B$372,$B41,'تفاصيل الفرص'!$D$2:$D$372,$C41,'تفاصيل الفرص'!$X$2:$X$372,0)</f>
        <v>0</v>
      </c>
      <c r="F41" s="5" t="n">
        <f aca="false">COUNTIFS('سجل الأكشنات'!$B$2:$B$933,$B41,'سجل الأكشنات'!$D$2:$D$933,$C41)</f>
        <v>0</v>
      </c>
      <c r="G41" s="5" t="n">
        <f aca="false">COUNTIFS('سجل الأكشنات'!$B$2:$B$933,$B41,'سجل الأكشنات'!$D$2:$D$933,$C41,'سجل الأكشنات'!$H$2:$H$933,"تفصيلي")</f>
        <v>0</v>
      </c>
      <c r="H41" s="5" t="n">
        <f aca="false">F41-G41</f>
        <v>0</v>
      </c>
      <c r="I41" s="12" t="str">
        <f aca="false">IF($B41&gt;"2026-09-30","لا توجد بيانات بعد",IF(AND(D41=0,F41=0),"بدون نشاط","نشِط"))</f>
        <v>بدون نشاط</v>
      </c>
    </row>
    <row r="42" customFormat="false" ht="15" hidden="false" customHeight="false" outlineLevel="0" collapsed="false">
      <c r="A42" s="5" t="s">
        <v>59</v>
      </c>
      <c r="B42" s="5" t="s">
        <v>60</v>
      </c>
      <c r="C42" s="4" t="s">
        <v>22</v>
      </c>
      <c r="D42" s="5" t="n">
        <f aca="false">COUNTIFS('تفاصيل الفرص'!$B$2:$B$372,$B42,'تفاصيل الفرص'!$D$2:$D$372,$C42)</f>
        <v>2</v>
      </c>
      <c r="E42" s="5" t="n">
        <f aca="false">COUNTIFS('تفاصيل الفرص'!$B$2:$B$372,$B42,'تفاصيل الفرص'!$D$2:$D$372,$C42,'تفاصيل الفرص'!$X$2:$X$372,0)</f>
        <v>0</v>
      </c>
      <c r="F42" s="5" t="n">
        <f aca="false">COUNTIFS('سجل الأكشنات'!$B$2:$B$933,$B42,'سجل الأكشنات'!$D$2:$D$933,$C42)</f>
        <v>2</v>
      </c>
      <c r="G42" s="5" t="n">
        <f aca="false">COUNTIFS('سجل الأكشنات'!$B$2:$B$933,$B42,'سجل الأكشنات'!$D$2:$D$933,$C42,'سجل الأكشنات'!$H$2:$H$933,"تفصيلي")</f>
        <v>2</v>
      </c>
      <c r="H42" s="5" t="n">
        <f aca="false">F42-G42</f>
        <v>0</v>
      </c>
      <c r="I42" s="12" t="str">
        <f aca="false">IF($B42&gt;"2026-09-30","لا توجد بيانات بعد",IF(AND(D42=0,F42=0),"بدون نشاط","نشِط"))</f>
        <v>نشِط</v>
      </c>
    </row>
    <row r="43" customFormat="false" ht="15" hidden="false" customHeight="false" outlineLevel="0" collapsed="false">
      <c r="A43" s="5" t="s">
        <v>59</v>
      </c>
      <c r="B43" s="5" t="s">
        <v>60</v>
      </c>
      <c r="C43" s="4" t="s">
        <v>24</v>
      </c>
      <c r="D43" s="5" t="n">
        <f aca="false">COUNTIFS('تفاصيل الفرص'!$B$2:$B$372,$B43,'تفاصيل الفرص'!$D$2:$D$372,$C43)</f>
        <v>1</v>
      </c>
      <c r="E43" s="5" t="n">
        <f aca="false">COUNTIFS('تفاصيل الفرص'!$B$2:$B$372,$B43,'تفاصيل الفرص'!$D$2:$D$372,$C43,'تفاصيل الفرص'!$X$2:$X$372,0)</f>
        <v>0</v>
      </c>
      <c r="F43" s="5" t="n">
        <f aca="false">COUNTIFS('سجل الأكشنات'!$B$2:$B$933,$B43,'سجل الأكشنات'!$D$2:$D$933,$C43)</f>
        <v>3</v>
      </c>
      <c r="G43" s="5" t="n">
        <f aca="false">COUNTIFS('سجل الأكشنات'!$B$2:$B$933,$B43,'سجل الأكشنات'!$D$2:$D$933,$C43,'سجل الأكشنات'!$H$2:$H$933,"تفصيلي")</f>
        <v>3</v>
      </c>
      <c r="H43" s="5" t="n">
        <f aca="false">F43-G43</f>
        <v>0</v>
      </c>
      <c r="I43" s="12" t="str">
        <f aca="false">IF($B43&gt;"2026-09-30","لا توجد بيانات بعد",IF(AND(D43=0,F43=0),"بدون نشاط","نشِط"))</f>
        <v>نشِط</v>
      </c>
    </row>
    <row r="44" customFormat="false" ht="15" hidden="false" customHeight="false" outlineLevel="0" collapsed="false">
      <c r="A44" s="5" t="s">
        <v>59</v>
      </c>
      <c r="B44" s="5" t="s">
        <v>60</v>
      </c>
      <c r="C44" s="4" t="s">
        <v>26</v>
      </c>
      <c r="D44" s="5" t="n">
        <f aca="false">COUNTIFS('تفاصيل الفرص'!$B$2:$B$372,$B44,'تفاصيل الفرص'!$D$2:$D$372,$C44)</f>
        <v>0</v>
      </c>
      <c r="E44" s="5" t="n">
        <f aca="false">COUNTIFS('تفاصيل الفرص'!$B$2:$B$372,$B44,'تفاصيل الفرص'!$D$2:$D$372,$C44,'تفاصيل الفرص'!$X$2:$X$372,0)</f>
        <v>0</v>
      </c>
      <c r="F44" s="5" t="n">
        <f aca="false">COUNTIFS('سجل الأكشنات'!$B$2:$B$933,$B44,'سجل الأكشنات'!$D$2:$D$933,$C44)</f>
        <v>0</v>
      </c>
      <c r="G44" s="5" t="n">
        <f aca="false">COUNTIFS('سجل الأكشنات'!$B$2:$B$933,$B44,'سجل الأكشنات'!$D$2:$D$933,$C44,'سجل الأكشنات'!$H$2:$H$933,"تفصيلي")</f>
        <v>0</v>
      </c>
      <c r="H44" s="5" t="n">
        <f aca="false">F44-G44</f>
        <v>0</v>
      </c>
      <c r="I44" s="12" t="str">
        <f aca="false">IF($B44&gt;"2026-09-30","لا توجد بيانات بعد",IF(AND(D44=0,F44=0),"بدون نشاط","نشِط"))</f>
        <v>بدون نشاط</v>
      </c>
    </row>
    <row r="45" customFormat="false" ht="15" hidden="false" customHeight="false" outlineLevel="0" collapsed="false">
      <c r="A45" s="5" t="s">
        <v>59</v>
      </c>
      <c r="B45" s="5" t="s">
        <v>60</v>
      </c>
      <c r="C45" s="4" t="s">
        <v>28</v>
      </c>
      <c r="D45" s="5" t="n">
        <f aca="false">COUNTIFS('تفاصيل الفرص'!$B$2:$B$372,$B45,'تفاصيل الفرص'!$D$2:$D$372,$C45)</f>
        <v>0</v>
      </c>
      <c r="E45" s="5" t="n">
        <f aca="false">COUNTIFS('تفاصيل الفرص'!$B$2:$B$372,$B45,'تفاصيل الفرص'!$D$2:$D$372,$C45,'تفاصيل الفرص'!$X$2:$X$372,0)</f>
        <v>0</v>
      </c>
      <c r="F45" s="5" t="n">
        <f aca="false">COUNTIFS('سجل الأكشنات'!$B$2:$B$933,$B45,'سجل الأكشنات'!$D$2:$D$933,$C45)</f>
        <v>0</v>
      </c>
      <c r="G45" s="5" t="n">
        <f aca="false">COUNTIFS('سجل الأكشنات'!$B$2:$B$933,$B45,'سجل الأكشنات'!$D$2:$D$933,$C45,'سجل الأكشنات'!$H$2:$H$933,"تفصيلي")</f>
        <v>0</v>
      </c>
      <c r="H45" s="5" t="n">
        <f aca="false">F45-G45</f>
        <v>0</v>
      </c>
      <c r="I45" s="12" t="str">
        <f aca="false">IF($B45&gt;"2026-09-30","لا توجد بيانات بعد",IF(AND(D45=0,F45=0),"بدون نشاط","نشِط"))</f>
        <v>بدون نشاط</v>
      </c>
    </row>
    <row r="46" customFormat="false" ht="15" hidden="false" customHeight="false" outlineLevel="0" collapsed="false">
      <c r="A46" s="5" t="s">
        <v>59</v>
      </c>
      <c r="B46" s="5" t="s">
        <v>60</v>
      </c>
      <c r="C46" s="4" t="s">
        <v>30</v>
      </c>
      <c r="D46" s="5" t="n">
        <f aca="false">COUNTIFS('تفاصيل الفرص'!$B$2:$B$372,$B46,'تفاصيل الفرص'!$D$2:$D$372,$C46)</f>
        <v>5</v>
      </c>
      <c r="E46" s="5" t="n">
        <f aca="false">COUNTIFS('تفاصيل الفرص'!$B$2:$B$372,$B46,'تفاصيل الفرص'!$D$2:$D$372,$C46,'تفاصيل الفرص'!$X$2:$X$372,0)</f>
        <v>0</v>
      </c>
      <c r="F46" s="5" t="n">
        <f aca="false">COUNTIFS('سجل الأكشنات'!$B$2:$B$933,$B46,'سجل الأكشنات'!$D$2:$D$933,$C46)</f>
        <v>4</v>
      </c>
      <c r="G46" s="5" t="n">
        <f aca="false">COUNTIFS('سجل الأكشنات'!$B$2:$B$933,$B46,'سجل الأكشنات'!$D$2:$D$933,$C46,'سجل الأكشنات'!$H$2:$H$933,"تفصيلي")</f>
        <v>4</v>
      </c>
      <c r="H46" s="5" t="n">
        <f aca="false">F46-G46</f>
        <v>0</v>
      </c>
      <c r="I46" s="12" t="str">
        <f aca="false">IF($B46&gt;"2026-09-30","لا توجد بيانات بعد",IF(AND(D46=0,F46=0),"بدون نشاط","نشِط"))</f>
        <v>نشِط</v>
      </c>
    </row>
    <row r="47" customFormat="false" ht="15" hidden="false" customHeight="false" outlineLevel="0" collapsed="false">
      <c r="A47" s="5" t="s">
        <v>59</v>
      </c>
      <c r="B47" s="5" t="s">
        <v>60</v>
      </c>
      <c r="C47" s="4" t="s">
        <v>32</v>
      </c>
      <c r="D47" s="5" t="n">
        <f aca="false">COUNTIFS('تفاصيل الفرص'!$B$2:$B$372,$B47,'تفاصيل الفرص'!$D$2:$D$372,$C47)</f>
        <v>2</v>
      </c>
      <c r="E47" s="5" t="n">
        <f aca="false">COUNTIFS('تفاصيل الفرص'!$B$2:$B$372,$B47,'تفاصيل الفرص'!$D$2:$D$372,$C47,'تفاصيل الفرص'!$X$2:$X$372,0)</f>
        <v>0</v>
      </c>
      <c r="F47" s="5" t="n">
        <f aca="false">COUNTIFS('سجل الأكشنات'!$B$2:$B$933,$B47,'سجل الأكشنات'!$D$2:$D$933,$C47)</f>
        <v>5</v>
      </c>
      <c r="G47" s="5" t="n">
        <f aca="false">COUNTIFS('سجل الأكشنات'!$B$2:$B$933,$B47,'سجل الأكشنات'!$D$2:$D$933,$C47,'سجل الأكشنات'!$H$2:$H$933,"تفصيلي")</f>
        <v>4</v>
      </c>
      <c r="H47" s="5" t="n">
        <f aca="false">F47-G47</f>
        <v>1</v>
      </c>
      <c r="I47" s="12" t="str">
        <f aca="false">IF($B47&gt;"2026-09-30","لا توجد بيانات بعد",IF(AND(D47=0,F47=0),"بدون نشاط","نشِط"))</f>
        <v>نشِط</v>
      </c>
    </row>
    <row r="48" customFormat="false" ht="15" hidden="false" customHeight="false" outlineLevel="0" collapsed="false">
      <c r="A48" s="5" t="s">
        <v>59</v>
      </c>
      <c r="B48" s="5" t="s">
        <v>60</v>
      </c>
      <c r="C48" s="4" t="s">
        <v>34</v>
      </c>
      <c r="D48" s="5" t="n">
        <f aca="false">COUNTIFS('تفاصيل الفرص'!$B$2:$B$372,$B48,'تفاصيل الفرص'!$D$2:$D$372,$C48)</f>
        <v>4</v>
      </c>
      <c r="E48" s="5" t="n">
        <f aca="false">COUNTIFS('تفاصيل الفرص'!$B$2:$B$372,$B48,'تفاصيل الفرص'!$D$2:$D$372,$C48,'تفاصيل الفرص'!$X$2:$X$372,0)</f>
        <v>0</v>
      </c>
      <c r="F48" s="5" t="n">
        <f aca="false">COUNTIFS('سجل الأكشنات'!$B$2:$B$933,$B48,'سجل الأكشنات'!$D$2:$D$933,$C48)</f>
        <v>8</v>
      </c>
      <c r="G48" s="5" t="n">
        <f aca="false">COUNTIFS('سجل الأكشنات'!$B$2:$B$933,$B48,'سجل الأكشنات'!$D$2:$D$933,$C48,'سجل الأكشنات'!$H$2:$H$933,"تفصيلي")</f>
        <v>8</v>
      </c>
      <c r="H48" s="5" t="n">
        <f aca="false">F48-G48</f>
        <v>0</v>
      </c>
      <c r="I48" s="12" t="str">
        <f aca="false">IF($B48&gt;"2026-09-30","لا توجد بيانات بعد",IF(AND(D48=0,F48=0),"بدون نشاط","نشِط"))</f>
        <v>نشِط</v>
      </c>
    </row>
    <row r="49" customFormat="false" ht="15" hidden="false" customHeight="false" outlineLevel="0" collapsed="false">
      <c r="A49" s="13" t="s">
        <v>61</v>
      </c>
      <c r="B49" s="13" t="s">
        <v>62</v>
      </c>
      <c r="C49" s="14" t="s">
        <v>18</v>
      </c>
      <c r="D49" s="15" t="n">
        <f aca="false">COUNTIFS('تفاصيل الفرص'!$B$2:$B$372,$B49,'تفاصيل الفرص'!$D$2:$D$372,$C49)</f>
        <v>0</v>
      </c>
      <c r="E49" s="13" t="n">
        <f aca="false">COUNTIFS('تفاصيل الفرص'!$B$2:$B$372,$B49,'تفاصيل الفرص'!$D$2:$D$372,$C49,'تفاصيل الفرص'!$X$2:$X$372,0)</f>
        <v>0</v>
      </c>
      <c r="F49" s="13" t="n">
        <f aca="false">COUNTIFS('سجل الأكشنات'!$B$2:$B$933,$B49,'سجل الأكشنات'!$D$2:$D$933,$C49)</f>
        <v>0</v>
      </c>
      <c r="G49" s="13" t="n">
        <f aca="false">COUNTIFS('سجل الأكشنات'!$B$2:$B$933,$B49,'سجل الأكشنات'!$D$2:$D$933,$C49,'سجل الأكشنات'!$H$2:$H$933,"تفصيلي")</f>
        <v>0</v>
      </c>
      <c r="H49" s="13" t="n">
        <f aca="false">F49-G49</f>
        <v>0</v>
      </c>
      <c r="I49" s="13" t="str">
        <f aca="false">IF($B49&gt;"2026-09-30","لا توجد بيانات بعد",IF(AND(D49=0,F49=0),"بدون نشاط","نشِط"))</f>
        <v>بدون نشاط</v>
      </c>
    </row>
    <row r="50" customFormat="false" ht="15" hidden="false" customHeight="false" outlineLevel="0" collapsed="false">
      <c r="A50" s="13" t="s">
        <v>61</v>
      </c>
      <c r="B50" s="13" t="s">
        <v>62</v>
      </c>
      <c r="C50" s="14" t="s">
        <v>20</v>
      </c>
      <c r="D50" s="15" t="n">
        <f aca="false">COUNTIFS('تفاصيل الفرص'!$B$2:$B$372,$B50,'تفاصيل الفرص'!$D$2:$D$372,$C50)</f>
        <v>0</v>
      </c>
      <c r="E50" s="13" t="n">
        <f aca="false">COUNTIFS('تفاصيل الفرص'!$B$2:$B$372,$B50,'تفاصيل الفرص'!$D$2:$D$372,$C50,'تفاصيل الفرص'!$X$2:$X$372,0)</f>
        <v>0</v>
      </c>
      <c r="F50" s="13" t="n">
        <f aca="false">COUNTIFS('سجل الأكشنات'!$B$2:$B$933,$B50,'سجل الأكشنات'!$D$2:$D$933,$C50)</f>
        <v>0</v>
      </c>
      <c r="G50" s="13" t="n">
        <f aca="false">COUNTIFS('سجل الأكشنات'!$B$2:$B$933,$B50,'سجل الأكشنات'!$D$2:$D$933,$C50,'سجل الأكشنات'!$H$2:$H$933,"تفصيلي")</f>
        <v>0</v>
      </c>
      <c r="H50" s="13" t="n">
        <f aca="false">F50-G50</f>
        <v>0</v>
      </c>
      <c r="I50" s="13" t="str">
        <f aca="false">IF($B50&gt;"2026-09-30","لا توجد بيانات بعد",IF(AND(D50=0,F50=0),"بدون نشاط","نشِط"))</f>
        <v>بدون نشاط</v>
      </c>
    </row>
    <row r="51" customFormat="false" ht="15" hidden="false" customHeight="false" outlineLevel="0" collapsed="false">
      <c r="A51" s="13" t="s">
        <v>61</v>
      </c>
      <c r="B51" s="13" t="s">
        <v>62</v>
      </c>
      <c r="C51" s="14" t="s">
        <v>22</v>
      </c>
      <c r="D51" s="15" t="n">
        <f aca="false">COUNTIFS('تفاصيل الفرص'!$B$2:$B$372,$B51,'تفاصيل الفرص'!$D$2:$D$372,$C51)</f>
        <v>0</v>
      </c>
      <c r="E51" s="13" t="n">
        <f aca="false">COUNTIFS('تفاصيل الفرص'!$B$2:$B$372,$B51,'تفاصيل الفرص'!$D$2:$D$372,$C51,'تفاصيل الفرص'!$X$2:$X$372,0)</f>
        <v>0</v>
      </c>
      <c r="F51" s="13" t="n">
        <f aca="false">COUNTIFS('سجل الأكشنات'!$B$2:$B$933,$B51,'سجل الأكشنات'!$D$2:$D$933,$C51)</f>
        <v>0</v>
      </c>
      <c r="G51" s="13" t="n">
        <f aca="false">COUNTIFS('سجل الأكشنات'!$B$2:$B$933,$B51,'سجل الأكشنات'!$D$2:$D$933,$C51,'سجل الأكشنات'!$H$2:$H$933,"تفصيلي")</f>
        <v>0</v>
      </c>
      <c r="H51" s="13" t="n">
        <f aca="false">F51-G51</f>
        <v>0</v>
      </c>
      <c r="I51" s="13" t="str">
        <f aca="false">IF($B51&gt;"2026-09-30","لا توجد بيانات بعد",IF(AND(D51=0,F51=0),"بدون نشاط","نشِط"))</f>
        <v>بدون نشاط</v>
      </c>
    </row>
    <row r="52" customFormat="false" ht="15" hidden="false" customHeight="false" outlineLevel="0" collapsed="false">
      <c r="A52" s="13" t="s">
        <v>61</v>
      </c>
      <c r="B52" s="13" t="s">
        <v>62</v>
      </c>
      <c r="C52" s="14" t="s">
        <v>24</v>
      </c>
      <c r="D52" s="15" t="n">
        <f aca="false">COUNTIFS('تفاصيل الفرص'!$B$2:$B$372,$B52,'تفاصيل الفرص'!$D$2:$D$372,$C52)</f>
        <v>0</v>
      </c>
      <c r="E52" s="13" t="n">
        <f aca="false">COUNTIFS('تفاصيل الفرص'!$B$2:$B$372,$B52,'تفاصيل الفرص'!$D$2:$D$372,$C52,'تفاصيل الفرص'!$X$2:$X$372,0)</f>
        <v>0</v>
      </c>
      <c r="F52" s="13" t="n">
        <f aca="false">COUNTIFS('سجل الأكشنات'!$B$2:$B$933,$B52,'سجل الأكشنات'!$D$2:$D$933,$C52)</f>
        <v>0</v>
      </c>
      <c r="G52" s="13" t="n">
        <f aca="false">COUNTIFS('سجل الأكشنات'!$B$2:$B$933,$B52,'سجل الأكشنات'!$D$2:$D$933,$C52,'سجل الأكشنات'!$H$2:$H$933,"تفصيلي")</f>
        <v>0</v>
      </c>
      <c r="H52" s="13" t="n">
        <f aca="false">F52-G52</f>
        <v>0</v>
      </c>
      <c r="I52" s="13" t="str">
        <f aca="false">IF($B52&gt;"2026-09-30","لا توجد بيانات بعد",IF(AND(D52=0,F52=0),"بدون نشاط","نشِط"))</f>
        <v>بدون نشاط</v>
      </c>
    </row>
    <row r="53" customFormat="false" ht="15" hidden="false" customHeight="false" outlineLevel="0" collapsed="false">
      <c r="A53" s="13" t="s">
        <v>61</v>
      </c>
      <c r="B53" s="13" t="s">
        <v>62</v>
      </c>
      <c r="C53" s="14" t="s">
        <v>26</v>
      </c>
      <c r="D53" s="15" t="n">
        <f aca="false">COUNTIFS('تفاصيل الفرص'!$B$2:$B$372,$B53,'تفاصيل الفرص'!$D$2:$D$372,$C53)</f>
        <v>0</v>
      </c>
      <c r="E53" s="13" t="n">
        <f aca="false">COUNTIFS('تفاصيل الفرص'!$B$2:$B$372,$B53,'تفاصيل الفرص'!$D$2:$D$372,$C53,'تفاصيل الفرص'!$X$2:$X$372,0)</f>
        <v>0</v>
      </c>
      <c r="F53" s="13" t="n">
        <f aca="false">COUNTIFS('سجل الأكشنات'!$B$2:$B$933,$B53,'سجل الأكشنات'!$D$2:$D$933,$C53)</f>
        <v>0</v>
      </c>
      <c r="G53" s="13" t="n">
        <f aca="false">COUNTIFS('سجل الأكشنات'!$B$2:$B$933,$B53,'سجل الأكشنات'!$D$2:$D$933,$C53,'سجل الأكشنات'!$H$2:$H$933,"تفصيلي")</f>
        <v>0</v>
      </c>
      <c r="H53" s="13" t="n">
        <f aca="false">F53-G53</f>
        <v>0</v>
      </c>
      <c r="I53" s="13" t="str">
        <f aca="false">IF($B53&gt;"2026-09-30","لا توجد بيانات بعد",IF(AND(D53=0,F53=0),"بدون نشاط","نشِط"))</f>
        <v>بدون نشاط</v>
      </c>
    </row>
    <row r="54" customFormat="false" ht="15" hidden="false" customHeight="false" outlineLevel="0" collapsed="false">
      <c r="A54" s="13" t="s">
        <v>61</v>
      </c>
      <c r="B54" s="13" t="s">
        <v>62</v>
      </c>
      <c r="C54" s="14" t="s">
        <v>28</v>
      </c>
      <c r="D54" s="15" t="n">
        <f aca="false">COUNTIFS('تفاصيل الفرص'!$B$2:$B$372,$B54,'تفاصيل الفرص'!$D$2:$D$372,$C54)</f>
        <v>0</v>
      </c>
      <c r="E54" s="13" t="n">
        <f aca="false">COUNTIFS('تفاصيل الفرص'!$B$2:$B$372,$B54,'تفاصيل الفرص'!$D$2:$D$372,$C54,'تفاصيل الفرص'!$X$2:$X$372,0)</f>
        <v>0</v>
      </c>
      <c r="F54" s="13" t="n">
        <f aca="false">COUNTIFS('سجل الأكشنات'!$B$2:$B$933,$B54,'سجل الأكشنات'!$D$2:$D$933,$C54)</f>
        <v>0</v>
      </c>
      <c r="G54" s="13" t="n">
        <f aca="false">COUNTIFS('سجل الأكشنات'!$B$2:$B$933,$B54,'سجل الأكشنات'!$D$2:$D$933,$C54,'سجل الأكشنات'!$H$2:$H$933,"تفصيلي")</f>
        <v>0</v>
      </c>
      <c r="H54" s="13" t="n">
        <f aca="false">F54-G54</f>
        <v>0</v>
      </c>
      <c r="I54" s="13" t="str">
        <f aca="false">IF($B54&gt;"2026-09-30","لا توجد بيانات بعد",IF(AND(D54=0,F54=0),"بدون نشاط","نشِط"))</f>
        <v>بدون نشاط</v>
      </c>
    </row>
    <row r="55" customFormat="false" ht="15" hidden="false" customHeight="false" outlineLevel="0" collapsed="false">
      <c r="A55" s="13" t="s">
        <v>61</v>
      </c>
      <c r="B55" s="13" t="s">
        <v>62</v>
      </c>
      <c r="C55" s="14" t="s">
        <v>30</v>
      </c>
      <c r="D55" s="15" t="n">
        <f aca="false">COUNTIFS('تفاصيل الفرص'!$B$2:$B$372,$B55,'تفاصيل الفرص'!$D$2:$D$372,$C55)</f>
        <v>1</v>
      </c>
      <c r="E55" s="13" t="n">
        <f aca="false">COUNTIFS('تفاصيل الفرص'!$B$2:$B$372,$B55,'تفاصيل الفرص'!$D$2:$D$372,$C55,'تفاصيل الفرص'!$X$2:$X$372,0)</f>
        <v>0</v>
      </c>
      <c r="F55" s="13" t="n">
        <f aca="false">COUNTIFS('سجل الأكشنات'!$B$2:$B$933,$B55,'سجل الأكشنات'!$D$2:$D$933,$C55)</f>
        <v>2</v>
      </c>
      <c r="G55" s="13" t="n">
        <f aca="false">COUNTIFS('سجل الأكشنات'!$B$2:$B$933,$B55,'سجل الأكشنات'!$D$2:$D$933,$C55,'سجل الأكشنات'!$H$2:$H$933,"تفصيلي")</f>
        <v>0</v>
      </c>
      <c r="H55" s="13" t="n">
        <f aca="false">F55-G55</f>
        <v>2</v>
      </c>
      <c r="I55" s="13" t="str">
        <f aca="false">IF($B55&gt;"2026-09-30","لا توجد بيانات بعد",IF(AND(D55=0,F55=0),"بدون نشاط","نشِط"))</f>
        <v>نشِط</v>
      </c>
    </row>
    <row r="56" customFormat="false" ht="15" hidden="false" customHeight="false" outlineLevel="0" collapsed="false">
      <c r="A56" s="13" t="s">
        <v>61</v>
      </c>
      <c r="B56" s="13" t="s">
        <v>62</v>
      </c>
      <c r="C56" s="14" t="s">
        <v>32</v>
      </c>
      <c r="D56" s="15" t="n">
        <f aca="false">COUNTIFS('تفاصيل الفرص'!$B$2:$B$372,$B56,'تفاصيل الفرص'!$D$2:$D$372,$C56)</f>
        <v>0</v>
      </c>
      <c r="E56" s="13" t="n">
        <f aca="false">COUNTIFS('تفاصيل الفرص'!$B$2:$B$372,$B56,'تفاصيل الفرص'!$D$2:$D$372,$C56,'تفاصيل الفرص'!$X$2:$X$372,0)</f>
        <v>0</v>
      </c>
      <c r="F56" s="13" t="n">
        <f aca="false">COUNTIFS('سجل الأكشنات'!$B$2:$B$933,$B56,'سجل الأكشنات'!$D$2:$D$933,$C56)</f>
        <v>0</v>
      </c>
      <c r="G56" s="13" t="n">
        <f aca="false">COUNTIFS('سجل الأكشنات'!$B$2:$B$933,$B56,'سجل الأكشنات'!$D$2:$D$933,$C56,'سجل الأكشنات'!$H$2:$H$933,"تفصيلي")</f>
        <v>0</v>
      </c>
      <c r="H56" s="13" t="n">
        <f aca="false">F56-G56</f>
        <v>0</v>
      </c>
      <c r="I56" s="13" t="str">
        <f aca="false">IF($B56&gt;"2026-09-30","لا توجد بيانات بعد",IF(AND(D56=0,F56=0),"بدون نشاط","نشِط"))</f>
        <v>بدون نشاط</v>
      </c>
    </row>
    <row r="57" customFormat="false" ht="15" hidden="false" customHeight="false" outlineLevel="0" collapsed="false">
      <c r="A57" s="13" t="s">
        <v>61</v>
      </c>
      <c r="B57" s="13" t="s">
        <v>62</v>
      </c>
      <c r="C57" s="14" t="s">
        <v>34</v>
      </c>
      <c r="D57" s="15" t="n">
        <f aca="false">COUNTIFS('تفاصيل الفرص'!$B$2:$B$372,$B57,'تفاصيل الفرص'!$D$2:$D$372,$C57)</f>
        <v>0</v>
      </c>
      <c r="E57" s="13" t="n">
        <f aca="false">COUNTIFS('تفاصيل الفرص'!$B$2:$B$372,$B57,'تفاصيل الفرص'!$D$2:$D$372,$C57,'تفاصيل الفرص'!$X$2:$X$372,0)</f>
        <v>0</v>
      </c>
      <c r="F57" s="13" t="n">
        <f aca="false">COUNTIFS('سجل الأكشنات'!$B$2:$B$933,$B57,'سجل الأكشنات'!$D$2:$D$933,$C57)</f>
        <v>1</v>
      </c>
      <c r="G57" s="13" t="n">
        <f aca="false">COUNTIFS('سجل الأكشنات'!$B$2:$B$933,$B57,'سجل الأكشنات'!$D$2:$D$933,$C57,'سجل الأكشنات'!$H$2:$H$933,"تفصيلي")</f>
        <v>1</v>
      </c>
      <c r="H57" s="13" t="n">
        <f aca="false">F57-G57</f>
        <v>0</v>
      </c>
      <c r="I57" s="13" t="str">
        <f aca="false">IF($B57&gt;"2026-09-30","لا توجد بيانات بعد",IF(AND(D57=0,F57=0),"بدون نشاط","نشِط"))</f>
        <v>نشِط</v>
      </c>
    </row>
    <row r="58" customFormat="false" ht="15" hidden="false" customHeight="false" outlineLevel="0" collapsed="false">
      <c r="A58" s="5" t="s">
        <v>63</v>
      </c>
      <c r="B58" s="5" t="s">
        <v>64</v>
      </c>
      <c r="C58" s="4" t="s">
        <v>18</v>
      </c>
      <c r="D58" s="5" t="n">
        <f aca="false">COUNTIFS('تفاصيل الفرص'!$B$2:$B$372,$B58,'تفاصيل الفرص'!$D$2:$D$372,$C58)</f>
        <v>1</v>
      </c>
      <c r="E58" s="5" t="n">
        <f aca="false">COUNTIFS('تفاصيل الفرص'!$B$2:$B$372,$B58,'تفاصيل الفرص'!$D$2:$D$372,$C58,'تفاصيل الفرص'!$X$2:$X$372,0)</f>
        <v>0</v>
      </c>
      <c r="F58" s="5" t="n">
        <f aca="false">COUNTIFS('سجل الأكشنات'!$B$2:$B$933,$B58,'سجل الأكشنات'!$D$2:$D$933,$C58)</f>
        <v>6</v>
      </c>
      <c r="G58" s="5" t="n">
        <f aca="false">COUNTIFS('سجل الأكشنات'!$B$2:$B$933,$B58,'سجل الأكشنات'!$D$2:$D$933,$C58,'سجل الأكشنات'!$H$2:$H$933,"تفصيلي")</f>
        <v>5</v>
      </c>
      <c r="H58" s="5" t="n">
        <f aca="false">F58-G58</f>
        <v>1</v>
      </c>
      <c r="I58" s="12" t="str">
        <f aca="false">IF($B58&gt;"2026-09-30","لا توجد بيانات بعد",IF(AND(D58=0,F58=0),"بدون نشاط","نشِط"))</f>
        <v>نشِط</v>
      </c>
    </row>
    <row r="59" customFormat="false" ht="15" hidden="false" customHeight="false" outlineLevel="0" collapsed="false">
      <c r="A59" s="5" t="s">
        <v>63</v>
      </c>
      <c r="B59" s="5" t="s">
        <v>64</v>
      </c>
      <c r="C59" s="4" t="s">
        <v>20</v>
      </c>
      <c r="D59" s="5" t="n">
        <f aca="false">COUNTIFS('تفاصيل الفرص'!$B$2:$B$372,$B59,'تفاصيل الفرص'!$D$2:$D$372,$C59)</f>
        <v>0</v>
      </c>
      <c r="E59" s="5" t="n">
        <f aca="false">COUNTIFS('تفاصيل الفرص'!$B$2:$B$372,$B59,'تفاصيل الفرص'!$D$2:$D$372,$C59,'تفاصيل الفرص'!$X$2:$X$372,0)</f>
        <v>0</v>
      </c>
      <c r="F59" s="5" t="n">
        <f aca="false">COUNTIFS('سجل الأكشنات'!$B$2:$B$933,$B59,'سجل الأكشنات'!$D$2:$D$933,$C59)</f>
        <v>0</v>
      </c>
      <c r="G59" s="5" t="n">
        <f aca="false">COUNTIFS('سجل الأكشنات'!$B$2:$B$933,$B59,'سجل الأكشنات'!$D$2:$D$933,$C59,'سجل الأكشنات'!$H$2:$H$933,"تفصيلي")</f>
        <v>0</v>
      </c>
      <c r="H59" s="5" t="n">
        <f aca="false">F59-G59</f>
        <v>0</v>
      </c>
      <c r="I59" s="12" t="str">
        <f aca="false">IF($B59&gt;"2026-09-30","لا توجد بيانات بعد",IF(AND(D59=0,F59=0),"بدون نشاط","نشِط"))</f>
        <v>بدون نشاط</v>
      </c>
    </row>
    <row r="60" customFormat="false" ht="15" hidden="false" customHeight="false" outlineLevel="0" collapsed="false">
      <c r="A60" s="5" t="s">
        <v>63</v>
      </c>
      <c r="B60" s="5" t="s">
        <v>64</v>
      </c>
      <c r="C60" s="4" t="s">
        <v>22</v>
      </c>
      <c r="D60" s="5" t="n">
        <f aca="false">COUNTIFS('تفاصيل الفرص'!$B$2:$B$372,$B60,'تفاصيل الفرص'!$D$2:$D$372,$C60)</f>
        <v>0</v>
      </c>
      <c r="E60" s="5" t="n">
        <f aca="false">COUNTIFS('تفاصيل الفرص'!$B$2:$B$372,$B60,'تفاصيل الفرص'!$D$2:$D$372,$C60,'تفاصيل الفرص'!$X$2:$X$372,0)</f>
        <v>0</v>
      </c>
      <c r="F60" s="5" t="n">
        <f aca="false">COUNTIFS('سجل الأكشنات'!$B$2:$B$933,$B60,'سجل الأكشنات'!$D$2:$D$933,$C60)</f>
        <v>2</v>
      </c>
      <c r="G60" s="5" t="n">
        <f aca="false">COUNTIFS('سجل الأكشنات'!$B$2:$B$933,$B60,'سجل الأكشنات'!$D$2:$D$933,$C60,'سجل الأكشنات'!$H$2:$H$933,"تفصيلي")</f>
        <v>1</v>
      </c>
      <c r="H60" s="5" t="n">
        <f aca="false">F60-G60</f>
        <v>1</v>
      </c>
      <c r="I60" s="12" t="str">
        <f aca="false">IF($B60&gt;"2026-09-30","لا توجد بيانات بعد",IF(AND(D60=0,F60=0),"بدون نشاط","نشِط"))</f>
        <v>نشِط</v>
      </c>
    </row>
    <row r="61" customFormat="false" ht="15" hidden="false" customHeight="false" outlineLevel="0" collapsed="false">
      <c r="A61" s="5" t="s">
        <v>63</v>
      </c>
      <c r="B61" s="5" t="s">
        <v>64</v>
      </c>
      <c r="C61" s="4" t="s">
        <v>24</v>
      </c>
      <c r="D61" s="5" t="n">
        <f aca="false">COUNTIFS('تفاصيل الفرص'!$B$2:$B$372,$B61,'تفاصيل الفرص'!$D$2:$D$372,$C61)</f>
        <v>1</v>
      </c>
      <c r="E61" s="5" t="n">
        <f aca="false">COUNTIFS('تفاصيل الفرص'!$B$2:$B$372,$B61,'تفاصيل الفرص'!$D$2:$D$372,$C61,'تفاصيل الفرص'!$X$2:$X$372,0)</f>
        <v>0</v>
      </c>
      <c r="F61" s="5" t="n">
        <f aca="false">COUNTIFS('سجل الأكشنات'!$B$2:$B$933,$B61,'سجل الأكشنات'!$D$2:$D$933,$C61)</f>
        <v>4</v>
      </c>
      <c r="G61" s="5" t="n">
        <f aca="false">COUNTIFS('سجل الأكشنات'!$B$2:$B$933,$B61,'سجل الأكشنات'!$D$2:$D$933,$C61,'سجل الأكشنات'!$H$2:$H$933,"تفصيلي")</f>
        <v>4</v>
      </c>
      <c r="H61" s="5" t="n">
        <f aca="false">F61-G61</f>
        <v>0</v>
      </c>
      <c r="I61" s="12" t="str">
        <f aca="false">IF($B61&gt;"2026-09-30","لا توجد بيانات بعد",IF(AND(D61=0,F61=0),"بدون نشاط","نشِط"))</f>
        <v>نشِط</v>
      </c>
    </row>
    <row r="62" customFormat="false" ht="15" hidden="false" customHeight="false" outlineLevel="0" collapsed="false">
      <c r="A62" s="5" t="s">
        <v>63</v>
      </c>
      <c r="B62" s="5" t="s">
        <v>64</v>
      </c>
      <c r="C62" s="4" t="s">
        <v>26</v>
      </c>
      <c r="D62" s="5" t="n">
        <f aca="false">COUNTIFS('تفاصيل الفرص'!$B$2:$B$372,$B62,'تفاصيل الفرص'!$D$2:$D$372,$C62)</f>
        <v>0</v>
      </c>
      <c r="E62" s="5" t="n">
        <f aca="false">COUNTIFS('تفاصيل الفرص'!$B$2:$B$372,$B62,'تفاصيل الفرص'!$D$2:$D$372,$C62,'تفاصيل الفرص'!$X$2:$X$372,0)</f>
        <v>0</v>
      </c>
      <c r="F62" s="5" t="n">
        <f aca="false">COUNTIFS('سجل الأكشنات'!$B$2:$B$933,$B62,'سجل الأكشنات'!$D$2:$D$933,$C62)</f>
        <v>0</v>
      </c>
      <c r="G62" s="5" t="n">
        <f aca="false">COUNTIFS('سجل الأكشنات'!$B$2:$B$933,$B62,'سجل الأكشنات'!$D$2:$D$933,$C62,'سجل الأكشنات'!$H$2:$H$933,"تفصيلي")</f>
        <v>0</v>
      </c>
      <c r="H62" s="5" t="n">
        <f aca="false">F62-G62</f>
        <v>0</v>
      </c>
      <c r="I62" s="12" t="str">
        <f aca="false">IF($B62&gt;"2026-09-30","لا توجد بيانات بعد",IF(AND(D62=0,F62=0),"بدون نشاط","نشِط"))</f>
        <v>بدون نشاط</v>
      </c>
    </row>
    <row r="63" customFormat="false" ht="15" hidden="false" customHeight="false" outlineLevel="0" collapsed="false">
      <c r="A63" s="5" t="s">
        <v>63</v>
      </c>
      <c r="B63" s="5" t="s">
        <v>64</v>
      </c>
      <c r="C63" s="4" t="s">
        <v>28</v>
      </c>
      <c r="D63" s="5" t="n">
        <f aca="false">COUNTIFS('تفاصيل الفرص'!$B$2:$B$372,$B63,'تفاصيل الفرص'!$D$2:$D$372,$C63)</f>
        <v>1</v>
      </c>
      <c r="E63" s="5" t="n">
        <f aca="false">COUNTIFS('تفاصيل الفرص'!$B$2:$B$372,$B63,'تفاصيل الفرص'!$D$2:$D$372,$C63,'تفاصيل الفرص'!$X$2:$X$372,0)</f>
        <v>0</v>
      </c>
      <c r="F63" s="5" t="n">
        <f aca="false">COUNTIFS('سجل الأكشنات'!$B$2:$B$933,$B63,'سجل الأكشنات'!$D$2:$D$933,$C63)</f>
        <v>4</v>
      </c>
      <c r="G63" s="5" t="n">
        <f aca="false">COUNTIFS('سجل الأكشنات'!$B$2:$B$933,$B63,'سجل الأكشنات'!$D$2:$D$933,$C63,'سجل الأكشنات'!$H$2:$H$933,"تفصيلي")</f>
        <v>4</v>
      </c>
      <c r="H63" s="5" t="n">
        <f aca="false">F63-G63</f>
        <v>0</v>
      </c>
      <c r="I63" s="12" t="str">
        <f aca="false">IF($B63&gt;"2026-09-30","لا توجد بيانات بعد",IF(AND(D63=0,F63=0),"بدون نشاط","نشِط"))</f>
        <v>نشِط</v>
      </c>
    </row>
    <row r="64" customFormat="false" ht="15" hidden="false" customHeight="false" outlineLevel="0" collapsed="false">
      <c r="A64" s="5" t="s">
        <v>63</v>
      </c>
      <c r="B64" s="5" t="s">
        <v>64</v>
      </c>
      <c r="C64" s="4" t="s">
        <v>30</v>
      </c>
      <c r="D64" s="5" t="n">
        <f aca="false">COUNTIFS('تفاصيل الفرص'!$B$2:$B$372,$B64,'تفاصيل الفرص'!$D$2:$D$372,$C64)</f>
        <v>1</v>
      </c>
      <c r="E64" s="5" t="n">
        <f aca="false">COUNTIFS('تفاصيل الفرص'!$B$2:$B$372,$B64,'تفاصيل الفرص'!$D$2:$D$372,$C64,'تفاصيل الفرص'!$X$2:$X$372,0)</f>
        <v>0</v>
      </c>
      <c r="F64" s="5" t="n">
        <f aca="false">COUNTIFS('سجل الأكشنات'!$B$2:$B$933,$B64,'سجل الأكشنات'!$D$2:$D$933,$C64)</f>
        <v>1</v>
      </c>
      <c r="G64" s="5" t="n">
        <f aca="false">COUNTIFS('سجل الأكشنات'!$B$2:$B$933,$B64,'سجل الأكشنات'!$D$2:$D$933,$C64,'سجل الأكشنات'!$H$2:$H$933,"تفصيلي")</f>
        <v>1</v>
      </c>
      <c r="H64" s="5" t="n">
        <f aca="false">F64-G64</f>
        <v>0</v>
      </c>
      <c r="I64" s="12" t="str">
        <f aca="false">IF($B64&gt;"2026-09-30","لا توجد بيانات بعد",IF(AND(D64=0,F64=0),"بدون نشاط","نشِط"))</f>
        <v>نشِط</v>
      </c>
    </row>
    <row r="65" customFormat="false" ht="15" hidden="false" customHeight="false" outlineLevel="0" collapsed="false">
      <c r="A65" s="5" t="s">
        <v>63</v>
      </c>
      <c r="B65" s="5" t="s">
        <v>64</v>
      </c>
      <c r="C65" s="4" t="s">
        <v>32</v>
      </c>
      <c r="D65" s="5" t="n">
        <f aca="false">COUNTIFS('تفاصيل الفرص'!$B$2:$B$372,$B65,'تفاصيل الفرص'!$D$2:$D$372,$C65)</f>
        <v>4</v>
      </c>
      <c r="E65" s="5" t="n">
        <f aca="false">COUNTIFS('تفاصيل الفرص'!$B$2:$B$372,$B65,'تفاصيل الفرص'!$D$2:$D$372,$C65,'تفاصيل الفرص'!$X$2:$X$372,0)</f>
        <v>0</v>
      </c>
      <c r="F65" s="5" t="n">
        <f aca="false">COUNTIFS('سجل الأكشنات'!$B$2:$B$933,$B65,'سجل الأكشنات'!$D$2:$D$933,$C65)</f>
        <v>5</v>
      </c>
      <c r="G65" s="5" t="n">
        <f aca="false">COUNTIFS('سجل الأكشنات'!$B$2:$B$933,$B65,'سجل الأكشنات'!$D$2:$D$933,$C65,'سجل الأكشنات'!$H$2:$H$933,"تفصيلي")</f>
        <v>5</v>
      </c>
      <c r="H65" s="5" t="n">
        <f aca="false">F65-G65</f>
        <v>0</v>
      </c>
      <c r="I65" s="12" t="str">
        <f aca="false">IF($B65&gt;"2026-09-30","لا توجد بيانات بعد",IF(AND(D65=0,F65=0),"بدون نشاط","نشِط"))</f>
        <v>نشِط</v>
      </c>
    </row>
    <row r="66" customFormat="false" ht="15" hidden="false" customHeight="false" outlineLevel="0" collapsed="false">
      <c r="A66" s="5" t="s">
        <v>63</v>
      </c>
      <c r="B66" s="5" t="s">
        <v>64</v>
      </c>
      <c r="C66" s="4" t="s">
        <v>34</v>
      </c>
      <c r="D66" s="5" t="n">
        <f aca="false">COUNTIFS('تفاصيل الفرص'!$B$2:$B$372,$B66,'تفاصيل الفرص'!$D$2:$D$372,$C66)</f>
        <v>3</v>
      </c>
      <c r="E66" s="5" t="n">
        <f aca="false">COUNTIFS('تفاصيل الفرص'!$B$2:$B$372,$B66,'تفاصيل الفرص'!$D$2:$D$372,$C66,'تفاصيل الفرص'!$X$2:$X$372,0)</f>
        <v>0</v>
      </c>
      <c r="F66" s="5" t="n">
        <f aca="false">COUNTIFS('سجل الأكشنات'!$B$2:$B$933,$B66,'سجل الأكشنات'!$D$2:$D$933,$C66)</f>
        <v>6</v>
      </c>
      <c r="G66" s="5" t="n">
        <f aca="false">COUNTIFS('سجل الأكشنات'!$B$2:$B$933,$B66,'سجل الأكشنات'!$D$2:$D$933,$C66,'سجل الأكشنات'!$H$2:$H$933,"تفصيلي")</f>
        <v>6</v>
      </c>
      <c r="H66" s="5" t="n">
        <f aca="false">F66-G66</f>
        <v>0</v>
      </c>
      <c r="I66" s="12" t="str">
        <f aca="false">IF($B66&gt;"2026-09-30","لا توجد بيانات بعد",IF(AND(D66=0,F66=0),"بدون نشاط","نشِط"))</f>
        <v>نشِط</v>
      </c>
    </row>
    <row r="67" customFormat="false" ht="15" hidden="false" customHeight="false" outlineLevel="0" collapsed="false">
      <c r="A67" s="13" t="s">
        <v>51</v>
      </c>
      <c r="B67" s="13" t="s">
        <v>65</v>
      </c>
      <c r="C67" s="14" t="s">
        <v>18</v>
      </c>
      <c r="D67" s="15" t="n">
        <f aca="false">COUNTIFS('تفاصيل الفرص'!$B$2:$B$372,$B67,'تفاصيل الفرص'!$D$2:$D$372,$C67)</f>
        <v>2</v>
      </c>
      <c r="E67" s="13" t="n">
        <f aca="false">COUNTIFS('تفاصيل الفرص'!$B$2:$B$372,$B67,'تفاصيل الفرص'!$D$2:$D$372,$C67,'تفاصيل الفرص'!$X$2:$X$372,0)</f>
        <v>0</v>
      </c>
      <c r="F67" s="13" t="n">
        <f aca="false">COUNTIFS('سجل الأكشنات'!$B$2:$B$933,$B67,'سجل الأكشنات'!$D$2:$D$933,$C67)</f>
        <v>5</v>
      </c>
      <c r="G67" s="13" t="n">
        <f aca="false">COUNTIFS('سجل الأكشنات'!$B$2:$B$933,$B67,'سجل الأكشنات'!$D$2:$D$933,$C67,'سجل الأكشنات'!$H$2:$H$933,"تفصيلي")</f>
        <v>5</v>
      </c>
      <c r="H67" s="13" t="n">
        <f aca="false">F67-G67</f>
        <v>0</v>
      </c>
      <c r="I67" s="13" t="str">
        <f aca="false">IF($B67&gt;"2026-09-30","لا توجد بيانات بعد",IF(AND(D67=0,F67=0),"بدون نشاط","نشِط"))</f>
        <v>نشِط</v>
      </c>
    </row>
    <row r="68" customFormat="false" ht="15" hidden="false" customHeight="false" outlineLevel="0" collapsed="false">
      <c r="A68" s="13" t="s">
        <v>51</v>
      </c>
      <c r="B68" s="13" t="s">
        <v>65</v>
      </c>
      <c r="C68" s="14" t="s">
        <v>20</v>
      </c>
      <c r="D68" s="15" t="n">
        <f aca="false">COUNTIFS('تفاصيل الفرص'!$B$2:$B$372,$B68,'تفاصيل الفرص'!$D$2:$D$372,$C68)</f>
        <v>0</v>
      </c>
      <c r="E68" s="13" t="n">
        <f aca="false">COUNTIFS('تفاصيل الفرص'!$B$2:$B$372,$B68,'تفاصيل الفرص'!$D$2:$D$372,$C68,'تفاصيل الفرص'!$X$2:$X$372,0)</f>
        <v>0</v>
      </c>
      <c r="F68" s="13" t="n">
        <f aca="false">COUNTIFS('سجل الأكشنات'!$B$2:$B$933,$B68,'سجل الأكشنات'!$D$2:$D$933,$C68)</f>
        <v>0</v>
      </c>
      <c r="G68" s="13" t="n">
        <f aca="false">COUNTIFS('سجل الأكشنات'!$B$2:$B$933,$B68,'سجل الأكشنات'!$D$2:$D$933,$C68,'سجل الأكشنات'!$H$2:$H$933,"تفصيلي")</f>
        <v>0</v>
      </c>
      <c r="H68" s="13" t="n">
        <f aca="false">F68-G68</f>
        <v>0</v>
      </c>
      <c r="I68" s="13" t="str">
        <f aca="false">IF($B68&gt;"2026-09-30","لا توجد بيانات بعد",IF(AND(D68=0,F68=0),"بدون نشاط","نشِط"))</f>
        <v>بدون نشاط</v>
      </c>
    </row>
    <row r="69" customFormat="false" ht="15" hidden="false" customHeight="false" outlineLevel="0" collapsed="false">
      <c r="A69" s="13" t="s">
        <v>51</v>
      </c>
      <c r="B69" s="13" t="s">
        <v>65</v>
      </c>
      <c r="C69" s="14" t="s">
        <v>22</v>
      </c>
      <c r="D69" s="15" t="n">
        <f aca="false">COUNTIFS('تفاصيل الفرص'!$B$2:$B$372,$B69,'تفاصيل الفرص'!$D$2:$D$372,$C69)</f>
        <v>2</v>
      </c>
      <c r="E69" s="13" t="n">
        <f aca="false">COUNTIFS('تفاصيل الفرص'!$B$2:$B$372,$B69,'تفاصيل الفرص'!$D$2:$D$372,$C69,'تفاصيل الفرص'!$X$2:$X$372,0)</f>
        <v>0</v>
      </c>
      <c r="F69" s="13" t="n">
        <f aca="false">COUNTIFS('سجل الأكشنات'!$B$2:$B$933,$B69,'سجل الأكشنات'!$D$2:$D$933,$C69)</f>
        <v>2</v>
      </c>
      <c r="G69" s="13" t="n">
        <f aca="false">COUNTIFS('سجل الأكشنات'!$B$2:$B$933,$B69,'سجل الأكشنات'!$D$2:$D$933,$C69,'سجل الأكشنات'!$H$2:$H$933,"تفصيلي")</f>
        <v>1</v>
      </c>
      <c r="H69" s="13" t="n">
        <f aca="false">F69-G69</f>
        <v>1</v>
      </c>
      <c r="I69" s="13" t="str">
        <f aca="false">IF($B69&gt;"2026-09-30","لا توجد بيانات بعد",IF(AND(D69=0,F69=0),"بدون نشاط","نشِط"))</f>
        <v>نشِط</v>
      </c>
    </row>
    <row r="70" customFormat="false" ht="15" hidden="false" customHeight="false" outlineLevel="0" collapsed="false">
      <c r="A70" s="13" t="s">
        <v>51</v>
      </c>
      <c r="B70" s="13" t="s">
        <v>65</v>
      </c>
      <c r="C70" s="14" t="s">
        <v>24</v>
      </c>
      <c r="D70" s="15" t="n">
        <f aca="false">COUNTIFS('تفاصيل الفرص'!$B$2:$B$372,$B70,'تفاصيل الفرص'!$D$2:$D$372,$C70)</f>
        <v>3</v>
      </c>
      <c r="E70" s="13" t="n">
        <f aca="false">COUNTIFS('تفاصيل الفرص'!$B$2:$B$372,$B70,'تفاصيل الفرص'!$D$2:$D$372,$C70,'تفاصيل الفرص'!$X$2:$X$372,0)</f>
        <v>0</v>
      </c>
      <c r="F70" s="13" t="n">
        <f aca="false">COUNTIFS('سجل الأكشنات'!$B$2:$B$933,$B70,'سجل الأكشنات'!$D$2:$D$933,$C70)</f>
        <v>5</v>
      </c>
      <c r="G70" s="13" t="n">
        <f aca="false">COUNTIFS('سجل الأكشنات'!$B$2:$B$933,$B70,'سجل الأكشنات'!$D$2:$D$933,$C70,'سجل الأكشنات'!$H$2:$H$933,"تفصيلي")</f>
        <v>5</v>
      </c>
      <c r="H70" s="13" t="n">
        <f aca="false">F70-G70</f>
        <v>0</v>
      </c>
      <c r="I70" s="13" t="str">
        <f aca="false">IF($B70&gt;"2026-09-30","لا توجد بيانات بعد",IF(AND(D70=0,F70=0),"بدون نشاط","نشِط"))</f>
        <v>نشِط</v>
      </c>
    </row>
    <row r="71" customFormat="false" ht="15" hidden="false" customHeight="false" outlineLevel="0" collapsed="false">
      <c r="A71" s="13" t="s">
        <v>51</v>
      </c>
      <c r="B71" s="13" t="s">
        <v>65</v>
      </c>
      <c r="C71" s="14" t="s">
        <v>26</v>
      </c>
      <c r="D71" s="15" t="n">
        <f aca="false">COUNTIFS('تفاصيل الفرص'!$B$2:$B$372,$B71,'تفاصيل الفرص'!$D$2:$D$372,$C71)</f>
        <v>0</v>
      </c>
      <c r="E71" s="13" t="n">
        <f aca="false">COUNTIFS('تفاصيل الفرص'!$B$2:$B$372,$B71,'تفاصيل الفرص'!$D$2:$D$372,$C71,'تفاصيل الفرص'!$X$2:$X$372,0)</f>
        <v>0</v>
      </c>
      <c r="F71" s="13" t="n">
        <f aca="false">COUNTIFS('سجل الأكشنات'!$B$2:$B$933,$B71,'سجل الأكشنات'!$D$2:$D$933,$C71)</f>
        <v>0</v>
      </c>
      <c r="G71" s="13" t="n">
        <f aca="false">COUNTIFS('سجل الأكشنات'!$B$2:$B$933,$B71,'سجل الأكشنات'!$D$2:$D$933,$C71,'سجل الأكشنات'!$H$2:$H$933,"تفصيلي")</f>
        <v>0</v>
      </c>
      <c r="H71" s="13" t="n">
        <f aca="false">F71-G71</f>
        <v>0</v>
      </c>
      <c r="I71" s="13" t="str">
        <f aca="false">IF($B71&gt;"2026-09-30","لا توجد بيانات بعد",IF(AND(D71=0,F71=0),"بدون نشاط","نشِط"))</f>
        <v>بدون نشاط</v>
      </c>
    </row>
    <row r="72" customFormat="false" ht="15" hidden="false" customHeight="false" outlineLevel="0" collapsed="false">
      <c r="A72" s="13" t="s">
        <v>51</v>
      </c>
      <c r="B72" s="13" t="s">
        <v>65</v>
      </c>
      <c r="C72" s="14" t="s">
        <v>28</v>
      </c>
      <c r="D72" s="15" t="n">
        <f aca="false">COUNTIFS('تفاصيل الفرص'!$B$2:$B$372,$B72,'تفاصيل الفرص'!$D$2:$D$372,$C72)</f>
        <v>1</v>
      </c>
      <c r="E72" s="13" t="n">
        <f aca="false">COUNTIFS('تفاصيل الفرص'!$B$2:$B$372,$B72,'تفاصيل الفرص'!$D$2:$D$372,$C72,'تفاصيل الفرص'!$X$2:$X$372,0)</f>
        <v>0</v>
      </c>
      <c r="F72" s="13" t="n">
        <f aca="false">COUNTIFS('سجل الأكشنات'!$B$2:$B$933,$B72,'سجل الأكشنات'!$D$2:$D$933,$C72)</f>
        <v>3</v>
      </c>
      <c r="G72" s="13" t="n">
        <f aca="false">COUNTIFS('سجل الأكشنات'!$B$2:$B$933,$B72,'سجل الأكشنات'!$D$2:$D$933,$C72,'سجل الأكشنات'!$H$2:$H$933,"تفصيلي")</f>
        <v>3</v>
      </c>
      <c r="H72" s="13" t="n">
        <f aca="false">F72-G72</f>
        <v>0</v>
      </c>
      <c r="I72" s="13" t="str">
        <f aca="false">IF($B72&gt;"2026-09-30","لا توجد بيانات بعد",IF(AND(D72=0,F72=0),"بدون نشاط","نشِط"))</f>
        <v>نشِط</v>
      </c>
    </row>
    <row r="73" customFormat="false" ht="15" hidden="false" customHeight="false" outlineLevel="0" collapsed="false">
      <c r="A73" s="13" t="s">
        <v>51</v>
      </c>
      <c r="B73" s="13" t="s">
        <v>65</v>
      </c>
      <c r="C73" s="14" t="s">
        <v>30</v>
      </c>
      <c r="D73" s="15" t="n">
        <f aca="false">COUNTIFS('تفاصيل الفرص'!$B$2:$B$372,$B73,'تفاصيل الفرص'!$D$2:$D$372,$C73)</f>
        <v>6</v>
      </c>
      <c r="E73" s="13" t="n">
        <f aca="false">COUNTIFS('تفاصيل الفرص'!$B$2:$B$372,$B73,'تفاصيل الفرص'!$D$2:$D$372,$C73,'تفاصيل الفرص'!$X$2:$X$372,0)</f>
        <v>0</v>
      </c>
      <c r="F73" s="13" t="n">
        <f aca="false">COUNTIFS('سجل الأكشنات'!$B$2:$B$933,$B73,'سجل الأكشنات'!$D$2:$D$933,$C73)</f>
        <v>6</v>
      </c>
      <c r="G73" s="13" t="n">
        <f aca="false">COUNTIFS('سجل الأكشنات'!$B$2:$B$933,$B73,'سجل الأكشنات'!$D$2:$D$933,$C73,'سجل الأكشنات'!$H$2:$H$933,"تفصيلي")</f>
        <v>6</v>
      </c>
      <c r="H73" s="13" t="n">
        <f aca="false">F73-G73</f>
        <v>0</v>
      </c>
      <c r="I73" s="13" t="str">
        <f aca="false">IF($B73&gt;"2026-09-30","لا توجد بيانات بعد",IF(AND(D73=0,F73=0),"بدون نشاط","نشِط"))</f>
        <v>نشِط</v>
      </c>
    </row>
    <row r="74" customFormat="false" ht="15" hidden="false" customHeight="false" outlineLevel="0" collapsed="false">
      <c r="A74" s="13" t="s">
        <v>51</v>
      </c>
      <c r="B74" s="13" t="s">
        <v>65</v>
      </c>
      <c r="C74" s="14" t="s">
        <v>32</v>
      </c>
      <c r="D74" s="15" t="n">
        <f aca="false">COUNTIFS('تفاصيل الفرص'!$B$2:$B$372,$B74,'تفاصيل الفرص'!$D$2:$D$372,$C74)</f>
        <v>0</v>
      </c>
      <c r="E74" s="13" t="n">
        <f aca="false">COUNTIFS('تفاصيل الفرص'!$B$2:$B$372,$B74,'تفاصيل الفرص'!$D$2:$D$372,$C74,'تفاصيل الفرص'!$X$2:$X$372,0)</f>
        <v>0</v>
      </c>
      <c r="F74" s="13" t="n">
        <f aca="false">COUNTIFS('سجل الأكشنات'!$B$2:$B$933,$B74,'سجل الأكشنات'!$D$2:$D$933,$C74)</f>
        <v>6</v>
      </c>
      <c r="G74" s="13" t="n">
        <f aca="false">COUNTIFS('سجل الأكشنات'!$B$2:$B$933,$B74,'سجل الأكشنات'!$D$2:$D$933,$C74,'سجل الأكشنات'!$H$2:$H$933,"تفصيلي")</f>
        <v>2</v>
      </c>
      <c r="H74" s="13" t="n">
        <f aca="false">F74-G74</f>
        <v>4</v>
      </c>
      <c r="I74" s="13" t="str">
        <f aca="false">IF($B74&gt;"2026-09-30","لا توجد بيانات بعد",IF(AND(D74=0,F74=0),"بدون نشاط","نشِط"))</f>
        <v>نشِط</v>
      </c>
    </row>
    <row r="75" customFormat="false" ht="15" hidden="false" customHeight="false" outlineLevel="0" collapsed="false">
      <c r="A75" s="13" t="s">
        <v>51</v>
      </c>
      <c r="B75" s="13" t="s">
        <v>65</v>
      </c>
      <c r="C75" s="14" t="s">
        <v>34</v>
      </c>
      <c r="D75" s="15" t="n">
        <f aca="false">COUNTIFS('تفاصيل الفرص'!$B$2:$B$372,$B75,'تفاصيل الفرص'!$D$2:$D$372,$C75)</f>
        <v>2</v>
      </c>
      <c r="E75" s="13" t="n">
        <f aca="false">COUNTIFS('تفاصيل الفرص'!$B$2:$B$372,$B75,'تفاصيل الفرص'!$D$2:$D$372,$C75,'تفاصيل الفرص'!$X$2:$X$372,0)</f>
        <v>0</v>
      </c>
      <c r="F75" s="13" t="n">
        <f aca="false">COUNTIFS('سجل الأكشنات'!$B$2:$B$933,$B75,'سجل الأكشنات'!$D$2:$D$933,$C75)</f>
        <v>14</v>
      </c>
      <c r="G75" s="13" t="n">
        <f aca="false">COUNTIFS('سجل الأكشنات'!$B$2:$B$933,$B75,'سجل الأكشنات'!$D$2:$D$933,$C75,'سجل الأكشنات'!$H$2:$H$933,"تفصيلي")</f>
        <v>12</v>
      </c>
      <c r="H75" s="13" t="n">
        <f aca="false">F75-G75</f>
        <v>2</v>
      </c>
      <c r="I75" s="13" t="str">
        <f aca="false">IF($B75&gt;"2026-09-30","لا توجد بيانات بعد",IF(AND(D75=0,F75=0),"بدون نشاط","نشِط"))</f>
        <v>نشِط</v>
      </c>
    </row>
    <row r="76" customFormat="false" ht="15" hidden="false" customHeight="false" outlineLevel="0" collapsed="false">
      <c r="A76" s="5" t="s">
        <v>53</v>
      </c>
      <c r="B76" s="5" t="s">
        <v>66</v>
      </c>
      <c r="C76" s="4" t="s">
        <v>18</v>
      </c>
      <c r="D76" s="5" t="n">
        <f aca="false">COUNTIFS('تفاصيل الفرص'!$B$2:$B$372,$B76,'تفاصيل الفرص'!$D$2:$D$372,$C76)</f>
        <v>2</v>
      </c>
      <c r="E76" s="5" t="n">
        <f aca="false">COUNTIFS('تفاصيل الفرص'!$B$2:$B$372,$B76,'تفاصيل الفرص'!$D$2:$D$372,$C76,'تفاصيل الفرص'!$X$2:$X$372,0)</f>
        <v>0</v>
      </c>
      <c r="F76" s="5" t="n">
        <f aca="false">COUNTIFS('سجل الأكشنات'!$B$2:$B$933,$B76,'سجل الأكشنات'!$D$2:$D$933,$C76)</f>
        <v>8</v>
      </c>
      <c r="G76" s="5" t="n">
        <f aca="false">COUNTIFS('سجل الأكشنات'!$B$2:$B$933,$B76,'سجل الأكشنات'!$D$2:$D$933,$C76,'سجل الأكشنات'!$H$2:$H$933,"تفصيلي")</f>
        <v>7</v>
      </c>
      <c r="H76" s="5" t="n">
        <f aca="false">F76-G76</f>
        <v>1</v>
      </c>
      <c r="I76" s="12" t="str">
        <f aca="false">IF($B76&gt;"2026-09-30","لا توجد بيانات بعد",IF(AND(D76=0,F76=0),"بدون نشاط","نشِط"))</f>
        <v>نشِط</v>
      </c>
    </row>
    <row r="77" customFormat="false" ht="15" hidden="false" customHeight="false" outlineLevel="0" collapsed="false">
      <c r="A77" s="5" t="s">
        <v>53</v>
      </c>
      <c r="B77" s="5" t="s">
        <v>66</v>
      </c>
      <c r="C77" s="4" t="s">
        <v>20</v>
      </c>
      <c r="D77" s="5" t="n">
        <f aca="false">COUNTIFS('تفاصيل الفرص'!$B$2:$B$372,$B77,'تفاصيل الفرص'!$D$2:$D$372,$C77)</f>
        <v>0</v>
      </c>
      <c r="E77" s="5" t="n">
        <f aca="false">COUNTIFS('تفاصيل الفرص'!$B$2:$B$372,$B77,'تفاصيل الفرص'!$D$2:$D$372,$C77,'تفاصيل الفرص'!$X$2:$X$372,0)</f>
        <v>0</v>
      </c>
      <c r="F77" s="5" t="n">
        <f aca="false">COUNTIFS('سجل الأكشنات'!$B$2:$B$933,$B77,'سجل الأكشنات'!$D$2:$D$933,$C77)</f>
        <v>0</v>
      </c>
      <c r="G77" s="5" t="n">
        <f aca="false">COUNTIFS('سجل الأكشنات'!$B$2:$B$933,$B77,'سجل الأكشنات'!$D$2:$D$933,$C77,'سجل الأكشنات'!$H$2:$H$933,"تفصيلي")</f>
        <v>0</v>
      </c>
      <c r="H77" s="5" t="n">
        <f aca="false">F77-G77</f>
        <v>0</v>
      </c>
      <c r="I77" s="12" t="str">
        <f aca="false">IF($B77&gt;"2026-09-30","لا توجد بيانات بعد",IF(AND(D77=0,F77=0),"بدون نشاط","نشِط"))</f>
        <v>بدون نشاط</v>
      </c>
    </row>
    <row r="78" customFormat="false" ht="15" hidden="false" customHeight="false" outlineLevel="0" collapsed="false">
      <c r="A78" s="5" t="s">
        <v>53</v>
      </c>
      <c r="B78" s="5" t="s">
        <v>66</v>
      </c>
      <c r="C78" s="4" t="s">
        <v>22</v>
      </c>
      <c r="D78" s="5" t="n">
        <f aca="false">COUNTIFS('تفاصيل الفرص'!$B$2:$B$372,$B78,'تفاصيل الفرص'!$D$2:$D$372,$C78)</f>
        <v>0</v>
      </c>
      <c r="E78" s="5" t="n">
        <f aca="false">COUNTIFS('تفاصيل الفرص'!$B$2:$B$372,$B78,'تفاصيل الفرص'!$D$2:$D$372,$C78,'تفاصيل الفرص'!$X$2:$X$372,0)</f>
        <v>0</v>
      </c>
      <c r="F78" s="5" t="n">
        <f aca="false">COUNTIFS('سجل الأكشنات'!$B$2:$B$933,$B78,'سجل الأكشنات'!$D$2:$D$933,$C78)</f>
        <v>0</v>
      </c>
      <c r="G78" s="5" t="n">
        <f aca="false">COUNTIFS('سجل الأكشنات'!$B$2:$B$933,$B78,'سجل الأكشنات'!$D$2:$D$933,$C78,'سجل الأكشنات'!$H$2:$H$933,"تفصيلي")</f>
        <v>0</v>
      </c>
      <c r="H78" s="5" t="n">
        <f aca="false">F78-G78</f>
        <v>0</v>
      </c>
      <c r="I78" s="12" t="str">
        <f aca="false">IF($B78&gt;"2026-09-30","لا توجد بيانات بعد",IF(AND(D78=0,F78=0),"بدون نشاط","نشِط"))</f>
        <v>بدون نشاط</v>
      </c>
    </row>
    <row r="79" customFormat="false" ht="15" hidden="false" customHeight="false" outlineLevel="0" collapsed="false">
      <c r="A79" s="5" t="s">
        <v>53</v>
      </c>
      <c r="B79" s="5" t="s">
        <v>66</v>
      </c>
      <c r="C79" s="4" t="s">
        <v>24</v>
      </c>
      <c r="D79" s="5" t="n">
        <f aca="false">COUNTIFS('تفاصيل الفرص'!$B$2:$B$372,$B79,'تفاصيل الفرص'!$D$2:$D$372,$C79)</f>
        <v>0</v>
      </c>
      <c r="E79" s="5" t="n">
        <f aca="false">COUNTIFS('تفاصيل الفرص'!$B$2:$B$372,$B79,'تفاصيل الفرص'!$D$2:$D$372,$C79,'تفاصيل الفرص'!$X$2:$X$372,0)</f>
        <v>0</v>
      </c>
      <c r="F79" s="5" t="n">
        <f aca="false">COUNTIFS('سجل الأكشنات'!$B$2:$B$933,$B79,'سجل الأكشنات'!$D$2:$D$933,$C79)</f>
        <v>3</v>
      </c>
      <c r="G79" s="5" t="n">
        <f aca="false">COUNTIFS('سجل الأكشنات'!$B$2:$B$933,$B79,'سجل الأكشنات'!$D$2:$D$933,$C79,'سجل الأكشنات'!$H$2:$H$933,"تفصيلي")</f>
        <v>3</v>
      </c>
      <c r="H79" s="5" t="n">
        <f aca="false">F79-G79</f>
        <v>0</v>
      </c>
      <c r="I79" s="12" t="str">
        <f aca="false">IF($B79&gt;"2026-09-30","لا توجد بيانات بعد",IF(AND(D79=0,F79=0),"بدون نشاط","نشِط"))</f>
        <v>نشِط</v>
      </c>
    </row>
    <row r="80" customFormat="false" ht="15" hidden="false" customHeight="false" outlineLevel="0" collapsed="false">
      <c r="A80" s="5" t="s">
        <v>53</v>
      </c>
      <c r="B80" s="5" t="s">
        <v>66</v>
      </c>
      <c r="C80" s="4" t="s">
        <v>26</v>
      </c>
      <c r="D80" s="5" t="n">
        <f aca="false">COUNTIFS('تفاصيل الفرص'!$B$2:$B$372,$B80,'تفاصيل الفرص'!$D$2:$D$372,$C80)</f>
        <v>0</v>
      </c>
      <c r="E80" s="5" t="n">
        <f aca="false">COUNTIFS('تفاصيل الفرص'!$B$2:$B$372,$B80,'تفاصيل الفرص'!$D$2:$D$372,$C80,'تفاصيل الفرص'!$X$2:$X$372,0)</f>
        <v>0</v>
      </c>
      <c r="F80" s="5" t="n">
        <f aca="false">COUNTIFS('سجل الأكشنات'!$B$2:$B$933,$B80,'سجل الأكشنات'!$D$2:$D$933,$C80)</f>
        <v>0</v>
      </c>
      <c r="G80" s="5" t="n">
        <f aca="false">COUNTIFS('سجل الأكشنات'!$B$2:$B$933,$B80,'سجل الأكشنات'!$D$2:$D$933,$C80,'سجل الأكشنات'!$H$2:$H$933,"تفصيلي")</f>
        <v>0</v>
      </c>
      <c r="H80" s="5" t="n">
        <f aca="false">F80-G80</f>
        <v>0</v>
      </c>
      <c r="I80" s="12" t="str">
        <f aca="false">IF($B80&gt;"2026-09-30","لا توجد بيانات بعد",IF(AND(D80=0,F80=0),"بدون نشاط","نشِط"))</f>
        <v>بدون نشاط</v>
      </c>
    </row>
    <row r="81" customFormat="false" ht="15" hidden="false" customHeight="false" outlineLevel="0" collapsed="false">
      <c r="A81" s="5" t="s">
        <v>53</v>
      </c>
      <c r="B81" s="5" t="s">
        <v>66</v>
      </c>
      <c r="C81" s="4" t="s">
        <v>28</v>
      </c>
      <c r="D81" s="5" t="n">
        <f aca="false">COUNTIFS('تفاصيل الفرص'!$B$2:$B$372,$B81,'تفاصيل الفرص'!$D$2:$D$372,$C81)</f>
        <v>3</v>
      </c>
      <c r="E81" s="5" t="n">
        <f aca="false">COUNTIFS('تفاصيل الفرص'!$B$2:$B$372,$B81,'تفاصيل الفرص'!$D$2:$D$372,$C81,'تفاصيل الفرص'!$X$2:$X$372,0)</f>
        <v>0</v>
      </c>
      <c r="F81" s="5" t="n">
        <f aca="false">COUNTIFS('سجل الأكشنات'!$B$2:$B$933,$B81,'سجل الأكشنات'!$D$2:$D$933,$C81)</f>
        <v>3</v>
      </c>
      <c r="G81" s="5" t="n">
        <f aca="false">COUNTIFS('سجل الأكشنات'!$B$2:$B$933,$B81,'سجل الأكشنات'!$D$2:$D$933,$C81,'سجل الأكشنات'!$H$2:$H$933,"تفصيلي")</f>
        <v>3</v>
      </c>
      <c r="H81" s="5" t="n">
        <f aca="false">F81-G81</f>
        <v>0</v>
      </c>
      <c r="I81" s="12" t="str">
        <f aca="false">IF($B81&gt;"2026-09-30","لا توجد بيانات بعد",IF(AND(D81=0,F81=0),"بدون نشاط","نشِط"))</f>
        <v>نشِط</v>
      </c>
    </row>
    <row r="82" customFormat="false" ht="15" hidden="false" customHeight="false" outlineLevel="0" collapsed="false">
      <c r="A82" s="5" t="s">
        <v>53</v>
      </c>
      <c r="B82" s="5" t="s">
        <v>66</v>
      </c>
      <c r="C82" s="4" t="s">
        <v>30</v>
      </c>
      <c r="D82" s="5" t="n">
        <f aca="false">COUNTIFS('تفاصيل الفرص'!$B$2:$B$372,$B82,'تفاصيل الفرص'!$D$2:$D$372,$C82)</f>
        <v>5</v>
      </c>
      <c r="E82" s="5" t="n">
        <f aca="false">COUNTIFS('تفاصيل الفرص'!$B$2:$B$372,$B82,'تفاصيل الفرص'!$D$2:$D$372,$C82,'تفاصيل الفرص'!$X$2:$X$372,0)</f>
        <v>0</v>
      </c>
      <c r="F82" s="5" t="n">
        <f aca="false">COUNTIFS('سجل الأكشنات'!$B$2:$B$933,$B82,'سجل الأكشنات'!$D$2:$D$933,$C82)</f>
        <v>5</v>
      </c>
      <c r="G82" s="5" t="n">
        <f aca="false">COUNTIFS('سجل الأكشنات'!$B$2:$B$933,$B82,'سجل الأكشنات'!$D$2:$D$933,$C82,'سجل الأكشنات'!$H$2:$H$933,"تفصيلي")</f>
        <v>5</v>
      </c>
      <c r="H82" s="5" t="n">
        <f aca="false">F82-G82</f>
        <v>0</v>
      </c>
      <c r="I82" s="12" t="str">
        <f aca="false">IF($B82&gt;"2026-09-30","لا توجد بيانات بعد",IF(AND(D82=0,F82=0),"بدون نشاط","نشِط"))</f>
        <v>نشِط</v>
      </c>
    </row>
    <row r="83" customFormat="false" ht="15" hidden="false" customHeight="false" outlineLevel="0" collapsed="false">
      <c r="A83" s="5" t="s">
        <v>53</v>
      </c>
      <c r="B83" s="5" t="s">
        <v>66</v>
      </c>
      <c r="C83" s="4" t="s">
        <v>32</v>
      </c>
      <c r="D83" s="5" t="n">
        <f aca="false">COUNTIFS('تفاصيل الفرص'!$B$2:$B$372,$B83,'تفاصيل الفرص'!$D$2:$D$372,$C83)</f>
        <v>6</v>
      </c>
      <c r="E83" s="5" t="n">
        <f aca="false">COUNTIFS('تفاصيل الفرص'!$B$2:$B$372,$B83,'تفاصيل الفرص'!$D$2:$D$372,$C83,'تفاصيل الفرص'!$X$2:$X$372,0)</f>
        <v>0</v>
      </c>
      <c r="F83" s="5" t="n">
        <f aca="false">COUNTIFS('سجل الأكشنات'!$B$2:$B$933,$B83,'سجل الأكشنات'!$D$2:$D$933,$C83)</f>
        <v>8</v>
      </c>
      <c r="G83" s="5" t="n">
        <f aca="false">COUNTIFS('سجل الأكشنات'!$B$2:$B$933,$B83,'سجل الأكشنات'!$D$2:$D$933,$C83,'سجل الأكشنات'!$H$2:$H$933,"تفصيلي")</f>
        <v>7</v>
      </c>
      <c r="H83" s="5" t="n">
        <f aca="false">F83-G83</f>
        <v>1</v>
      </c>
      <c r="I83" s="12" t="str">
        <f aca="false">IF($B83&gt;"2026-09-30","لا توجد بيانات بعد",IF(AND(D83=0,F83=0),"بدون نشاط","نشِط"))</f>
        <v>نشِط</v>
      </c>
    </row>
    <row r="84" customFormat="false" ht="15" hidden="false" customHeight="false" outlineLevel="0" collapsed="false">
      <c r="A84" s="5" t="s">
        <v>53</v>
      </c>
      <c r="B84" s="5" t="s">
        <v>66</v>
      </c>
      <c r="C84" s="4" t="s">
        <v>34</v>
      </c>
      <c r="D84" s="5" t="n">
        <f aca="false">COUNTIFS('تفاصيل الفرص'!$B$2:$B$372,$B84,'تفاصيل الفرص'!$D$2:$D$372,$C84)</f>
        <v>0</v>
      </c>
      <c r="E84" s="5" t="n">
        <f aca="false">COUNTIFS('تفاصيل الفرص'!$B$2:$B$372,$B84,'تفاصيل الفرص'!$D$2:$D$372,$C84,'تفاصيل الفرص'!$X$2:$X$372,0)</f>
        <v>0</v>
      </c>
      <c r="F84" s="5" t="n">
        <f aca="false">COUNTIFS('سجل الأكشنات'!$B$2:$B$933,$B84,'سجل الأكشنات'!$D$2:$D$933,$C84)</f>
        <v>4</v>
      </c>
      <c r="G84" s="5" t="n">
        <f aca="false">COUNTIFS('سجل الأكشنات'!$B$2:$B$933,$B84,'سجل الأكشنات'!$D$2:$D$933,$C84,'سجل الأكشنات'!$H$2:$H$933,"تفصيلي")</f>
        <v>4</v>
      </c>
      <c r="H84" s="5" t="n">
        <f aca="false">F84-G84</f>
        <v>0</v>
      </c>
      <c r="I84" s="12" t="str">
        <f aca="false">IF($B84&gt;"2026-09-30","لا توجد بيانات بعد",IF(AND(D84=0,F84=0),"بدون نشاط","نشِط"))</f>
        <v>نشِط</v>
      </c>
    </row>
    <row r="85" customFormat="false" ht="15" hidden="false" customHeight="false" outlineLevel="0" collapsed="false">
      <c r="A85" s="13" t="s">
        <v>55</v>
      </c>
      <c r="B85" s="13" t="s">
        <v>67</v>
      </c>
      <c r="C85" s="14" t="s">
        <v>18</v>
      </c>
      <c r="D85" s="15" t="n">
        <f aca="false">COUNTIFS('تفاصيل الفرص'!$B$2:$B$372,$B85,'تفاصيل الفرص'!$D$2:$D$372,$C85)</f>
        <v>0</v>
      </c>
      <c r="E85" s="13" t="n">
        <f aca="false">COUNTIFS('تفاصيل الفرص'!$B$2:$B$372,$B85,'تفاصيل الفرص'!$D$2:$D$372,$C85,'تفاصيل الفرص'!$X$2:$X$372,0)</f>
        <v>0</v>
      </c>
      <c r="F85" s="13" t="n">
        <f aca="false">COUNTIFS('سجل الأكشنات'!$B$2:$B$933,$B85,'سجل الأكشنات'!$D$2:$D$933,$C85)</f>
        <v>0</v>
      </c>
      <c r="G85" s="13" t="n">
        <f aca="false">COUNTIFS('سجل الأكشنات'!$B$2:$B$933,$B85,'سجل الأكشنات'!$D$2:$D$933,$C85,'سجل الأكشنات'!$H$2:$H$933,"تفصيلي")</f>
        <v>0</v>
      </c>
      <c r="H85" s="13" t="n">
        <f aca="false">F85-G85</f>
        <v>0</v>
      </c>
      <c r="I85" s="13" t="str">
        <f aca="false">IF($B85&gt;"2026-09-30","لا توجد بيانات بعد",IF(AND(D85=0,F85=0),"بدون نشاط","نشِط"))</f>
        <v>بدون نشاط</v>
      </c>
    </row>
    <row r="86" customFormat="false" ht="15" hidden="false" customHeight="false" outlineLevel="0" collapsed="false">
      <c r="A86" s="13" t="s">
        <v>55</v>
      </c>
      <c r="B86" s="13" t="s">
        <v>67</v>
      </c>
      <c r="C86" s="14" t="s">
        <v>20</v>
      </c>
      <c r="D86" s="15" t="n">
        <f aca="false">COUNTIFS('تفاصيل الفرص'!$B$2:$B$372,$B86,'تفاصيل الفرص'!$D$2:$D$372,$C86)</f>
        <v>0</v>
      </c>
      <c r="E86" s="13" t="n">
        <f aca="false">COUNTIFS('تفاصيل الفرص'!$B$2:$B$372,$B86,'تفاصيل الفرص'!$D$2:$D$372,$C86,'تفاصيل الفرص'!$X$2:$X$372,0)</f>
        <v>0</v>
      </c>
      <c r="F86" s="13" t="n">
        <f aca="false">COUNTIFS('سجل الأكشنات'!$B$2:$B$933,$B86,'سجل الأكشنات'!$D$2:$D$933,$C86)</f>
        <v>0</v>
      </c>
      <c r="G86" s="13" t="n">
        <f aca="false">COUNTIFS('سجل الأكشنات'!$B$2:$B$933,$B86,'سجل الأكشنات'!$D$2:$D$933,$C86,'سجل الأكشنات'!$H$2:$H$933,"تفصيلي")</f>
        <v>0</v>
      </c>
      <c r="H86" s="13" t="n">
        <f aca="false">F86-G86</f>
        <v>0</v>
      </c>
      <c r="I86" s="13" t="str">
        <f aca="false">IF($B86&gt;"2026-09-30","لا توجد بيانات بعد",IF(AND(D86=0,F86=0),"بدون نشاط","نشِط"))</f>
        <v>بدون نشاط</v>
      </c>
    </row>
    <row r="87" customFormat="false" ht="15" hidden="false" customHeight="false" outlineLevel="0" collapsed="false">
      <c r="A87" s="13" t="s">
        <v>55</v>
      </c>
      <c r="B87" s="13" t="s">
        <v>67</v>
      </c>
      <c r="C87" s="14" t="s">
        <v>22</v>
      </c>
      <c r="D87" s="15" t="n">
        <f aca="false">COUNTIFS('تفاصيل الفرص'!$B$2:$B$372,$B87,'تفاصيل الفرص'!$D$2:$D$372,$C87)</f>
        <v>4</v>
      </c>
      <c r="E87" s="13" t="n">
        <f aca="false">COUNTIFS('تفاصيل الفرص'!$B$2:$B$372,$B87,'تفاصيل الفرص'!$D$2:$D$372,$C87,'تفاصيل الفرص'!$X$2:$X$372,0)</f>
        <v>0</v>
      </c>
      <c r="F87" s="13" t="n">
        <f aca="false">COUNTIFS('سجل الأكشنات'!$B$2:$B$933,$B87,'سجل الأكشنات'!$D$2:$D$933,$C87)</f>
        <v>8</v>
      </c>
      <c r="G87" s="13" t="n">
        <f aca="false">COUNTIFS('سجل الأكشنات'!$B$2:$B$933,$B87,'سجل الأكشنات'!$D$2:$D$933,$C87,'سجل الأكشنات'!$H$2:$H$933,"تفصيلي")</f>
        <v>6</v>
      </c>
      <c r="H87" s="13" t="n">
        <f aca="false">F87-G87</f>
        <v>2</v>
      </c>
      <c r="I87" s="13" t="str">
        <f aca="false">IF($B87&gt;"2026-09-30","لا توجد بيانات بعد",IF(AND(D87=0,F87=0),"بدون نشاط","نشِط"))</f>
        <v>نشِط</v>
      </c>
    </row>
    <row r="88" customFormat="false" ht="15" hidden="false" customHeight="false" outlineLevel="0" collapsed="false">
      <c r="A88" s="13" t="s">
        <v>55</v>
      </c>
      <c r="B88" s="13" t="s">
        <v>67</v>
      </c>
      <c r="C88" s="14" t="s">
        <v>24</v>
      </c>
      <c r="D88" s="15" t="n">
        <f aca="false">COUNTIFS('تفاصيل الفرص'!$B$2:$B$372,$B88,'تفاصيل الفرص'!$D$2:$D$372,$C88)</f>
        <v>2</v>
      </c>
      <c r="E88" s="13" t="n">
        <f aca="false">COUNTIFS('تفاصيل الفرص'!$B$2:$B$372,$B88,'تفاصيل الفرص'!$D$2:$D$372,$C88,'تفاصيل الفرص'!$X$2:$X$372,0)</f>
        <v>0</v>
      </c>
      <c r="F88" s="13" t="n">
        <f aca="false">COUNTIFS('سجل الأكشنات'!$B$2:$B$933,$B88,'سجل الأكشنات'!$D$2:$D$933,$C88)</f>
        <v>5</v>
      </c>
      <c r="G88" s="13" t="n">
        <f aca="false">COUNTIFS('سجل الأكشنات'!$B$2:$B$933,$B88,'سجل الأكشنات'!$D$2:$D$933,$C88,'سجل الأكشنات'!$H$2:$H$933,"تفصيلي")</f>
        <v>5</v>
      </c>
      <c r="H88" s="13" t="n">
        <f aca="false">F88-G88</f>
        <v>0</v>
      </c>
      <c r="I88" s="13" t="str">
        <f aca="false">IF($B88&gt;"2026-09-30","لا توجد بيانات بعد",IF(AND(D88=0,F88=0),"بدون نشاط","نشِط"))</f>
        <v>نشِط</v>
      </c>
    </row>
    <row r="89" customFormat="false" ht="15" hidden="false" customHeight="false" outlineLevel="0" collapsed="false">
      <c r="A89" s="13" t="s">
        <v>55</v>
      </c>
      <c r="B89" s="13" t="s">
        <v>67</v>
      </c>
      <c r="C89" s="14" t="s">
        <v>26</v>
      </c>
      <c r="D89" s="15" t="n">
        <f aca="false">COUNTIFS('تفاصيل الفرص'!$B$2:$B$372,$B89,'تفاصيل الفرص'!$D$2:$D$372,$C89)</f>
        <v>0</v>
      </c>
      <c r="E89" s="13" t="n">
        <f aca="false">COUNTIFS('تفاصيل الفرص'!$B$2:$B$372,$B89,'تفاصيل الفرص'!$D$2:$D$372,$C89,'تفاصيل الفرص'!$X$2:$X$372,0)</f>
        <v>0</v>
      </c>
      <c r="F89" s="13" t="n">
        <f aca="false">COUNTIFS('سجل الأكشنات'!$B$2:$B$933,$B89,'سجل الأكشنات'!$D$2:$D$933,$C89)</f>
        <v>0</v>
      </c>
      <c r="G89" s="13" t="n">
        <f aca="false">COUNTIFS('سجل الأكشنات'!$B$2:$B$933,$B89,'سجل الأكشنات'!$D$2:$D$933,$C89,'سجل الأكشنات'!$H$2:$H$933,"تفصيلي")</f>
        <v>0</v>
      </c>
      <c r="H89" s="13" t="n">
        <f aca="false">F89-G89</f>
        <v>0</v>
      </c>
      <c r="I89" s="13" t="str">
        <f aca="false">IF($B89&gt;"2026-09-30","لا توجد بيانات بعد",IF(AND(D89=0,F89=0),"بدون نشاط","نشِط"))</f>
        <v>بدون نشاط</v>
      </c>
    </row>
    <row r="90" customFormat="false" ht="15" hidden="false" customHeight="false" outlineLevel="0" collapsed="false">
      <c r="A90" s="13" t="s">
        <v>55</v>
      </c>
      <c r="B90" s="13" t="s">
        <v>67</v>
      </c>
      <c r="C90" s="14" t="s">
        <v>28</v>
      </c>
      <c r="D90" s="15" t="n">
        <f aca="false">COUNTIFS('تفاصيل الفرص'!$B$2:$B$372,$B90,'تفاصيل الفرص'!$D$2:$D$372,$C90)</f>
        <v>1</v>
      </c>
      <c r="E90" s="13" t="n">
        <f aca="false">COUNTIFS('تفاصيل الفرص'!$B$2:$B$372,$B90,'تفاصيل الفرص'!$D$2:$D$372,$C90,'تفاصيل الفرص'!$X$2:$X$372,0)</f>
        <v>0</v>
      </c>
      <c r="F90" s="13" t="n">
        <f aca="false">COUNTIFS('سجل الأكشنات'!$B$2:$B$933,$B90,'سجل الأكشنات'!$D$2:$D$933,$C90)</f>
        <v>5</v>
      </c>
      <c r="G90" s="13" t="n">
        <f aca="false">COUNTIFS('سجل الأكشنات'!$B$2:$B$933,$B90,'سجل الأكشنات'!$D$2:$D$933,$C90,'سجل الأكشنات'!$H$2:$H$933,"تفصيلي")</f>
        <v>5</v>
      </c>
      <c r="H90" s="13" t="n">
        <f aca="false">F90-G90</f>
        <v>0</v>
      </c>
      <c r="I90" s="13" t="str">
        <f aca="false">IF($B90&gt;"2026-09-30","لا توجد بيانات بعد",IF(AND(D90=0,F90=0),"بدون نشاط","نشِط"))</f>
        <v>نشِط</v>
      </c>
    </row>
    <row r="91" customFormat="false" ht="15" hidden="false" customHeight="false" outlineLevel="0" collapsed="false">
      <c r="A91" s="13" t="s">
        <v>55</v>
      </c>
      <c r="B91" s="13" t="s">
        <v>67</v>
      </c>
      <c r="C91" s="14" t="s">
        <v>30</v>
      </c>
      <c r="D91" s="15" t="n">
        <f aca="false">COUNTIFS('تفاصيل الفرص'!$B$2:$B$372,$B91,'تفاصيل الفرص'!$D$2:$D$372,$C91)</f>
        <v>4</v>
      </c>
      <c r="E91" s="13" t="n">
        <f aca="false">COUNTIFS('تفاصيل الفرص'!$B$2:$B$372,$B91,'تفاصيل الفرص'!$D$2:$D$372,$C91,'تفاصيل الفرص'!$X$2:$X$372,0)</f>
        <v>0</v>
      </c>
      <c r="F91" s="13" t="n">
        <f aca="false">COUNTIFS('سجل الأكشنات'!$B$2:$B$933,$B91,'سجل الأكشنات'!$D$2:$D$933,$C91)</f>
        <v>4</v>
      </c>
      <c r="G91" s="13" t="n">
        <f aca="false">COUNTIFS('سجل الأكشنات'!$B$2:$B$933,$B91,'سجل الأكشنات'!$D$2:$D$933,$C91,'سجل الأكشنات'!$H$2:$H$933,"تفصيلي")</f>
        <v>4</v>
      </c>
      <c r="H91" s="13" t="n">
        <f aca="false">F91-G91</f>
        <v>0</v>
      </c>
      <c r="I91" s="13" t="str">
        <f aca="false">IF($B91&gt;"2026-09-30","لا توجد بيانات بعد",IF(AND(D91=0,F91=0),"بدون نشاط","نشِط"))</f>
        <v>نشِط</v>
      </c>
    </row>
    <row r="92" customFormat="false" ht="15" hidden="false" customHeight="false" outlineLevel="0" collapsed="false">
      <c r="A92" s="13" t="s">
        <v>55</v>
      </c>
      <c r="B92" s="13" t="s">
        <v>67</v>
      </c>
      <c r="C92" s="14" t="s">
        <v>32</v>
      </c>
      <c r="D92" s="15" t="n">
        <f aca="false">COUNTIFS('تفاصيل الفرص'!$B$2:$B$372,$B92,'تفاصيل الفرص'!$D$2:$D$372,$C92)</f>
        <v>1</v>
      </c>
      <c r="E92" s="13" t="n">
        <f aca="false">COUNTIFS('تفاصيل الفرص'!$B$2:$B$372,$B92,'تفاصيل الفرص'!$D$2:$D$372,$C92,'تفاصيل الفرص'!$X$2:$X$372,0)</f>
        <v>0</v>
      </c>
      <c r="F92" s="13" t="n">
        <f aca="false">COUNTIFS('سجل الأكشنات'!$B$2:$B$933,$B92,'سجل الأكشنات'!$D$2:$D$933,$C92)</f>
        <v>4</v>
      </c>
      <c r="G92" s="13" t="n">
        <f aca="false">COUNTIFS('سجل الأكشنات'!$B$2:$B$933,$B92,'سجل الأكشنات'!$D$2:$D$933,$C92,'سجل الأكشنات'!$H$2:$H$933,"تفصيلي")</f>
        <v>3</v>
      </c>
      <c r="H92" s="13" t="n">
        <f aca="false">F92-G92</f>
        <v>1</v>
      </c>
      <c r="I92" s="13" t="str">
        <f aca="false">IF($B92&gt;"2026-09-30","لا توجد بيانات بعد",IF(AND(D92=0,F92=0),"بدون نشاط","نشِط"))</f>
        <v>نشِط</v>
      </c>
    </row>
    <row r="93" customFormat="false" ht="15" hidden="false" customHeight="false" outlineLevel="0" collapsed="false">
      <c r="A93" s="13" t="s">
        <v>55</v>
      </c>
      <c r="B93" s="13" t="s">
        <v>67</v>
      </c>
      <c r="C93" s="14" t="s">
        <v>34</v>
      </c>
      <c r="D93" s="15" t="n">
        <f aca="false">COUNTIFS('تفاصيل الفرص'!$B$2:$B$372,$B93,'تفاصيل الفرص'!$D$2:$D$372,$C93)</f>
        <v>3</v>
      </c>
      <c r="E93" s="13" t="n">
        <f aca="false">COUNTIFS('تفاصيل الفرص'!$B$2:$B$372,$B93,'تفاصيل الفرص'!$D$2:$D$372,$C93,'تفاصيل الفرص'!$X$2:$X$372,0)</f>
        <v>0</v>
      </c>
      <c r="F93" s="13" t="n">
        <f aca="false">COUNTIFS('سجل الأكشنات'!$B$2:$B$933,$B93,'سجل الأكشنات'!$D$2:$D$933,$C93)</f>
        <v>8</v>
      </c>
      <c r="G93" s="13" t="n">
        <f aca="false">COUNTIFS('سجل الأكشنات'!$B$2:$B$933,$B93,'سجل الأكشنات'!$D$2:$D$933,$C93,'سجل الأكشنات'!$H$2:$H$933,"تفصيلي")</f>
        <v>7</v>
      </c>
      <c r="H93" s="13" t="n">
        <f aca="false">F93-G93</f>
        <v>1</v>
      </c>
      <c r="I93" s="13" t="str">
        <f aca="false">IF($B93&gt;"2026-09-30","لا توجد بيانات بعد",IF(AND(D93=0,F93=0),"بدون نشاط","نشِط"))</f>
        <v>نشِط</v>
      </c>
    </row>
    <row r="94" customFormat="false" ht="15" hidden="false" customHeight="false" outlineLevel="0" collapsed="false">
      <c r="A94" s="5" t="s">
        <v>57</v>
      </c>
      <c r="B94" s="5" t="s">
        <v>68</v>
      </c>
      <c r="C94" s="4" t="s">
        <v>18</v>
      </c>
      <c r="D94" s="5" t="n">
        <f aca="false">COUNTIFS('تفاصيل الفرص'!$B$2:$B$372,$B94,'تفاصيل الفرص'!$D$2:$D$372,$C94)</f>
        <v>0</v>
      </c>
      <c r="E94" s="5" t="n">
        <f aca="false">COUNTIFS('تفاصيل الفرص'!$B$2:$B$372,$B94,'تفاصيل الفرص'!$D$2:$D$372,$C94,'تفاصيل الفرص'!$X$2:$X$372,0)</f>
        <v>0</v>
      </c>
      <c r="F94" s="5" t="n">
        <f aca="false">COUNTIFS('سجل الأكشنات'!$B$2:$B$933,$B94,'سجل الأكشنات'!$D$2:$D$933,$C94)</f>
        <v>2</v>
      </c>
      <c r="G94" s="5" t="n">
        <f aca="false">COUNTIFS('سجل الأكشنات'!$B$2:$B$933,$B94,'سجل الأكشنات'!$D$2:$D$933,$C94,'سجل الأكشنات'!$H$2:$H$933,"تفصيلي")</f>
        <v>2</v>
      </c>
      <c r="H94" s="5" t="n">
        <f aca="false">F94-G94</f>
        <v>0</v>
      </c>
      <c r="I94" s="12" t="str">
        <f aca="false">IF($B94&gt;"2026-09-30","لا توجد بيانات بعد",IF(AND(D94=0,F94=0),"بدون نشاط","نشِط"))</f>
        <v>نشِط</v>
      </c>
    </row>
    <row r="95" customFormat="false" ht="15" hidden="false" customHeight="false" outlineLevel="0" collapsed="false">
      <c r="A95" s="5" t="s">
        <v>57</v>
      </c>
      <c r="B95" s="5" t="s">
        <v>68</v>
      </c>
      <c r="C95" s="4" t="s">
        <v>20</v>
      </c>
      <c r="D95" s="5" t="n">
        <f aca="false">COUNTIFS('تفاصيل الفرص'!$B$2:$B$372,$B95,'تفاصيل الفرص'!$D$2:$D$372,$C95)</f>
        <v>0</v>
      </c>
      <c r="E95" s="5" t="n">
        <f aca="false">COUNTIFS('تفاصيل الفرص'!$B$2:$B$372,$B95,'تفاصيل الفرص'!$D$2:$D$372,$C95,'تفاصيل الفرص'!$X$2:$X$372,0)</f>
        <v>0</v>
      </c>
      <c r="F95" s="5" t="n">
        <f aca="false">COUNTIFS('سجل الأكشنات'!$B$2:$B$933,$B95,'سجل الأكشنات'!$D$2:$D$933,$C95)</f>
        <v>0</v>
      </c>
      <c r="G95" s="5" t="n">
        <f aca="false">COUNTIFS('سجل الأكشنات'!$B$2:$B$933,$B95,'سجل الأكشنات'!$D$2:$D$933,$C95,'سجل الأكشنات'!$H$2:$H$933,"تفصيلي")</f>
        <v>0</v>
      </c>
      <c r="H95" s="5" t="n">
        <f aca="false">F95-G95</f>
        <v>0</v>
      </c>
      <c r="I95" s="12" t="str">
        <f aca="false">IF($B95&gt;"2026-09-30","لا توجد بيانات بعد",IF(AND(D95=0,F95=0),"بدون نشاط","نشِط"))</f>
        <v>بدون نشاط</v>
      </c>
    </row>
    <row r="96" customFormat="false" ht="15" hidden="false" customHeight="false" outlineLevel="0" collapsed="false">
      <c r="A96" s="5" t="s">
        <v>57</v>
      </c>
      <c r="B96" s="5" t="s">
        <v>68</v>
      </c>
      <c r="C96" s="4" t="s">
        <v>22</v>
      </c>
      <c r="D96" s="5" t="n">
        <f aca="false">COUNTIFS('تفاصيل الفرص'!$B$2:$B$372,$B96,'تفاصيل الفرص'!$D$2:$D$372,$C96)</f>
        <v>0</v>
      </c>
      <c r="E96" s="5" t="n">
        <f aca="false">COUNTIFS('تفاصيل الفرص'!$B$2:$B$372,$B96,'تفاصيل الفرص'!$D$2:$D$372,$C96,'تفاصيل الفرص'!$X$2:$X$372,0)</f>
        <v>0</v>
      </c>
      <c r="F96" s="5" t="n">
        <f aca="false">COUNTIFS('سجل الأكشنات'!$B$2:$B$933,$B96,'سجل الأكشنات'!$D$2:$D$933,$C96)</f>
        <v>0</v>
      </c>
      <c r="G96" s="5" t="n">
        <f aca="false">COUNTIFS('سجل الأكشنات'!$B$2:$B$933,$B96,'سجل الأكشنات'!$D$2:$D$933,$C96,'سجل الأكشنات'!$H$2:$H$933,"تفصيلي")</f>
        <v>0</v>
      </c>
      <c r="H96" s="5" t="n">
        <f aca="false">F96-G96</f>
        <v>0</v>
      </c>
      <c r="I96" s="12" t="str">
        <f aca="false">IF($B96&gt;"2026-09-30","لا توجد بيانات بعد",IF(AND(D96=0,F96=0),"بدون نشاط","نشِط"))</f>
        <v>بدون نشاط</v>
      </c>
    </row>
    <row r="97" customFormat="false" ht="15" hidden="false" customHeight="false" outlineLevel="0" collapsed="false">
      <c r="A97" s="5" t="s">
        <v>57</v>
      </c>
      <c r="B97" s="5" t="s">
        <v>68</v>
      </c>
      <c r="C97" s="4" t="s">
        <v>24</v>
      </c>
      <c r="D97" s="5" t="n">
        <f aca="false">COUNTIFS('تفاصيل الفرص'!$B$2:$B$372,$B97,'تفاصيل الفرص'!$D$2:$D$372,$C97)</f>
        <v>0</v>
      </c>
      <c r="E97" s="5" t="n">
        <f aca="false">COUNTIFS('تفاصيل الفرص'!$B$2:$B$372,$B97,'تفاصيل الفرص'!$D$2:$D$372,$C97,'تفاصيل الفرص'!$X$2:$X$372,0)</f>
        <v>0</v>
      </c>
      <c r="F97" s="5" t="n">
        <f aca="false">COUNTIFS('سجل الأكشنات'!$B$2:$B$933,$B97,'سجل الأكشنات'!$D$2:$D$933,$C97)</f>
        <v>0</v>
      </c>
      <c r="G97" s="5" t="n">
        <f aca="false">COUNTIFS('سجل الأكشنات'!$B$2:$B$933,$B97,'سجل الأكشنات'!$D$2:$D$933,$C97,'سجل الأكشنات'!$H$2:$H$933,"تفصيلي")</f>
        <v>0</v>
      </c>
      <c r="H97" s="5" t="n">
        <f aca="false">F97-G97</f>
        <v>0</v>
      </c>
      <c r="I97" s="12" t="str">
        <f aca="false">IF($B97&gt;"2026-09-30","لا توجد بيانات بعد",IF(AND(D97=0,F97=0),"بدون نشاط","نشِط"))</f>
        <v>بدون نشاط</v>
      </c>
    </row>
    <row r="98" customFormat="false" ht="15" hidden="false" customHeight="false" outlineLevel="0" collapsed="false">
      <c r="A98" s="5" t="s">
        <v>57</v>
      </c>
      <c r="B98" s="5" t="s">
        <v>68</v>
      </c>
      <c r="C98" s="4" t="s">
        <v>26</v>
      </c>
      <c r="D98" s="5" t="n">
        <f aca="false">COUNTIFS('تفاصيل الفرص'!$B$2:$B$372,$B98,'تفاصيل الفرص'!$D$2:$D$372,$C98)</f>
        <v>0</v>
      </c>
      <c r="E98" s="5" t="n">
        <f aca="false">COUNTIFS('تفاصيل الفرص'!$B$2:$B$372,$B98,'تفاصيل الفرص'!$D$2:$D$372,$C98,'تفاصيل الفرص'!$X$2:$X$372,0)</f>
        <v>0</v>
      </c>
      <c r="F98" s="5" t="n">
        <f aca="false">COUNTIFS('سجل الأكشنات'!$B$2:$B$933,$B98,'سجل الأكشنات'!$D$2:$D$933,$C98)</f>
        <v>0</v>
      </c>
      <c r="G98" s="5" t="n">
        <f aca="false">COUNTIFS('سجل الأكشنات'!$B$2:$B$933,$B98,'سجل الأكشنات'!$D$2:$D$933,$C98,'سجل الأكشنات'!$H$2:$H$933,"تفصيلي")</f>
        <v>0</v>
      </c>
      <c r="H98" s="5" t="n">
        <f aca="false">F98-G98</f>
        <v>0</v>
      </c>
      <c r="I98" s="12" t="str">
        <f aca="false">IF($B98&gt;"2026-09-30","لا توجد بيانات بعد",IF(AND(D98=0,F98=0),"بدون نشاط","نشِط"))</f>
        <v>بدون نشاط</v>
      </c>
    </row>
    <row r="99" customFormat="false" ht="15" hidden="false" customHeight="false" outlineLevel="0" collapsed="false">
      <c r="A99" s="5" t="s">
        <v>57</v>
      </c>
      <c r="B99" s="5" t="s">
        <v>68</v>
      </c>
      <c r="C99" s="4" t="s">
        <v>28</v>
      </c>
      <c r="D99" s="5" t="n">
        <f aca="false">COUNTIFS('تفاصيل الفرص'!$B$2:$B$372,$B99,'تفاصيل الفرص'!$D$2:$D$372,$C99)</f>
        <v>0</v>
      </c>
      <c r="E99" s="5" t="n">
        <f aca="false">COUNTIFS('تفاصيل الفرص'!$B$2:$B$372,$B99,'تفاصيل الفرص'!$D$2:$D$372,$C99,'تفاصيل الفرص'!$X$2:$X$372,0)</f>
        <v>0</v>
      </c>
      <c r="F99" s="5" t="n">
        <f aca="false">COUNTIFS('سجل الأكشنات'!$B$2:$B$933,$B99,'سجل الأكشنات'!$D$2:$D$933,$C99)</f>
        <v>0</v>
      </c>
      <c r="G99" s="5" t="n">
        <f aca="false">COUNTIFS('سجل الأكشنات'!$B$2:$B$933,$B99,'سجل الأكشنات'!$D$2:$D$933,$C99,'سجل الأكشنات'!$H$2:$H$933,"تفصيلي")</f>
        <v>0</v>
      </c>
      <c r="H99" s="5" t="n">
        <f aca="false">F99-G99</f>
        <v>0</v>
      </c>
      <c r="I99" s="12" t="str">
        <f aca="false">IF($B99&gt;"2026-09-30","لا توجد بيانات بعد",IF(AND(D99=0,F99=0),"بدون نشاط","نشِط"))</f>
        <v>بدون نشاط</v>
      </c>
    </row>
    <row r="100" customFormat="false" ht="15" hidden="false" customHeight="false" outlineLevel="0" collapsed="false">
      <c r="A100" s="5" t="s">
        <v>57</v>
      </c>
      <c r="B100" s="5" t="s">
        <v>68</v>
      </c>
      <c r="C100" s="4" t="s">
        <v>30</v>
      </c>
      <c r="D100" s="5" t="n">
        <f aca="false">COUNTIFS('تفاصيل الفرص'!$B$2:$B$372,$B100,'تفاصيل الفرص'!$D$2:$D$372,$C100)</f>
        <v>0</v>
      </c>
      <c r="E100" s="5" t="n">
        <f aca="false">COUNTIFS('تفاصيل الفرص'!$B$2:$B$372,$B100,'تفاصيل الفرص'!$D$2:$D$372,$C100,'تفاصيل الفرص'!$X$2:$X$372,0)</f>
        <v>0</v>
      </c>
      <c r="F100" s="5" t="n">
        <f aca="false">COUNTIFS('سجل الأكشنات'!$B$2:$B$933,$B100,'سجل الأكشنات'!$D$2:$D$933,$C100)</f>
        <v>0</v>
      </c>
      <c r="G100" s="5" t="n">
        <f aca="false">COUNTIFS('سجل الأكشنات'!$B$2:$B$933,$B100,'سجل الأكشنات'!$D$2:$D$933,$C100,'سجل الأكشنات'!$H$2:$H$933,"تفصيلي")</f>
        <v>0</v>
      </c>
      <c r="H100" s="5" t="n">
        <f aca="false">F100-G100</f>
        <v>0</v>
      </c>
      <c r="I100" s="12" t="str">
        <f aca="false">IF($B100&gt;"2026-09-30","لا توجد بيانات بعد",IF(AND(D100=0,F100=0),"بدون نشاط","نشِط"))</f>
        <v>بدون نشاط</v>
      </c>
    </row>
    <row r="101" customFormat="false" ht="15" hidden="false" customHeight="false" outlineLevel="0" collapsed="false">
      <c r="A101" s="5" t="s">
        <v>57</v>
      </c>
      <c r="B101" s="5" t="s">
        <v>68</v>
      </c>
      <c r="C101" s="4" t="s">
        <v>32</v>
      </c>
      <c r="D101" s="5" t="n">
        <f aca="false">COUNTIFS('تفاصيل الفرص'!$B$2:$B$372,$B101,'تفاصيل الفرص'!$D$2:$D$372,$C101)</f>
        <v>0</v>
      </c>
      <c r="E101" s="5" t="n">
        <f aca="false">COUNTIFS('تفاصيل الفرص'!$B$2:$B$372,$B101,'تفاصيل الفرص'!$D$2:$D$372,$C101,'تفاصيل الفرص'!$X$2:$X$372,0)</f>
        <v>0</v>
      </c>
      <c r="F101" s="5" t="n">
        <f aca="false">COUNTIFS('سجل الأكشنات'!$B$2:$B$933,$B101,'سجل الأكشنات'!$D$2:$D$933,$C101)</f>
        <v>0</v>
      </c>
      <c r="G101" s="5" t="n">
        <f aca="false">COUNTIFS('سجل الأكشنات'!$B$2:$B$933,$B101,'سجل الأكشنات'!$D$2:$D$933,$C101,'سجل الأكشنات'!$H$2:$H$933,"تفصيلي")</f>
        <v>0</v>
      </c>
      <c r="H101" s="5" t="n">
        <f aca="false">F101-G101</f>
        <v>0</v>
      </c>
      <c r="I101" s="12" t="str">
        <f aca="false">IF($B101&gt;"2026-09-30","لا توجد بيانات بعد",IF(AND(D101=0,F101=0),"بدون نشاط","نشِط"))</f>
        <v>بدون نشاط</v>
      </c>
    </row>
    <row r="102" customFormat="false" ht="15" hidden="false" customHeight="false" outlineLevel="0" collapsed="false">
      <c r="A102" s="5" t="s">
        <v>57</v>
      </c>
      <c r="B102" s="5" t="s">
        <v>68</v>
      </c>
      <c r="C102" s="4" t="s">
        <v>34</v>
      </c>
      <c r="D102" s="5" t="n">
        <f aca="false">COUNTIFS('تفاصيل الفرص'!$B$2:$B$372,$B102,'تفاصيل الفرص'!$D$2:$D$372,$C102)</f>
        <v>0</v>
      </c>
      <c r="E102" s="5" t="n">
        <f aca="false">COUNTIFS('تفاصيل الفرص'!$B$2:$B$372,$B102,'تفاصيل الفرص'!$D$2:$D$372,$C102,'تفاصيل الفرص'!$X$2:$X$372,0)</f>
        <v>0</v>
      </c>
      <c r="F102" s="5" t="n">
        <f aca="false">COUNTIFS('سجل الأكشنات'!$B$2:$B$933,$B102,'سجل الأكشنات'!$D$2:$D$933,$C102)</f>
        <v>0</v>
      </c>
      <c r="G102" s="5" t="n">
        <f aca="false">COUNTIFS('سجل الأكشنات'!$B$2:$B$933,$B102,'سجل الأكشنات'!$D$2:$D$933,$C102,'سجل الأكشنات'!$H$2:$H$933,"تفصيلي")</f>
        <v>0</v>
      </c>
      <c r="H102" s="5" t="n">
        <f aca="false">F102-G102</f>
        <v>0</v>
      </c>
      <c r="I102" s="12" t="str">
        <f aca="false">IF($B102&gt;"2026-09-30","لا توجد بيانات بعد",IF(AND(D102=0,F102=0),"بدون نشاط","نشِط"))</f>
        <v>بدون نشاط</v>
      </c>
    </row>
    <row r="103" customFormat="false" ht="15" hidden="false" customHeight="false" outlineLevel="0" collapsed="false">
      <c r="A103" s="13" t="s">
        <v>59</v>
      </c>
      <c r="B103" s="13" t="s">
        <v>69</v>
      </c>
      <c r="C103" s="14" t="s">
        <v>18</v>
      </c>
      <c r="D103" s="15" t="n">
        <f aca="false">COUNTIFS('تفاصيل الفرص'!$B$2:$B$372,$B103,'تفاصيل الفرص'!$D$2:$D$372,$C103)</f>
        <v>3</v>
      </c>
      <c r="E103" s="13" t="n">
        <f aca="false">COUNTIFS('تفاصيل الفرص'!$B$2:$B$372,$B103,'تفاصيل الفرص'!$D$2:$D$372,$C103,'تفاصيل الفرص'!$X$2:$X$372,0)</f>
        <v>0</v>
      </c>
      <c r="F103" s="13" t="n">
        <f aca="false">COUNTIFS('سجل الأكشنات'!$B$2:$B$933,$B103,'سجل الأكشنات'!$D$2:$D$933,$C103)</f>
        <v>9</v>
      </c>
      <c r="G103" s="13" t="n">
        <f aca="false">COUNTIFS('سجل الأكشنات'!$B$2:$B$933,$B103,'سجل الأكشنات'!$D$2:$D$933,$C103,'سجل الأكشنات'!$H$2:$H$933,"تفصيلي")</f>
        <v>8</v>
      </c>
      <c r="H103" s="13" t="n">
        <f aca="false">F103-G103</f>
        <v>1</v>
      </c>
      <c r="I103" s="13" t="str">
        <f aca="false">IF($B103&gt;"2026-09-30","لا توجد بيانات بعد",IF(AND(D103=0,F103=0),"بدون نشاط","نشِط"))</f>
        <v>نشِط</v>
      </c>
    </row>
    <row r="104" customFormat="false" ht="15" hidden="false" customHeight="false" outlineLevel="0" collapsed="false">
      <c r="A104" s="13" t="s">
        <v>59</v>
      </c>
      <c r="B104" s="13" t="s">
        <v>69</v>
      </c>
      <c r="C104" s="14" t="s">
        <v>20</v>
      </c>
      <c r="D104" s="15" t="n">
        <f aca="false">COUNTIFS('تفاصيل الفرص'!$B$2:$B$372,$B104,'تفاصيل الفرص'!$D$2:$D$372,$C104)</f>
        <v>6</v>
      </c>
      <c r="E104" s="13" t="n">
        <f aca="false">COUNTIFS('تفاصيل الفرص'!$B$2:$B$372,$B104,'تفاصيل الفرص'!$D$2:$D$372,$C104,'تفاصيل الفرص'!$X$2:$X$372,0)</f>
        <v>0</v>
      </c>
      <c r="F104" s="13" t="n">
        <f aca="false">COUNTIFS('سجل الأكشنات'!$B$2:$B$933,$B104,'سجل الأكشنات'!$D$2:$D$933,$C104)</f>
        <v>17</v>
      </c>
      <c r="G104" s="13" t="n">
        <f aca="false">COUNTIFS('سجل الأكشنات'!$B$2:$B$933,$B104,'سجل الأكشنات'!$D$2:$D$933,$C104,'سجل الأكشنات'!$H$2:$H$933,"تفصيلي")</f>
        <v>13</v>
      </c>
      <c r="H104" s="13" t="n">
        <f aca="false">F104-G104</f>
        <v>4</v>
      </c>
      <c r="I104" s="13" t="str">
        <f aca="false">IF($B104&gt;"2026-09-30","لا توجد بيانات بعد",IF(AND(D104=0,F104=0),"بدون نشاط","نشِط"))</f>
        <v>نشِط</v>
      </c>
    </row>
    <row r="105" customFormat="false" ht="15" hidden="false" customHeight="false" outlineLevel="0" collapsed="false">
      <c r="A105" s="13" t="s">
        <v>59</v>
      </c>
      <c r="B105" s="13" t="s">
        <v>69</v>
      </c>
      <c r="C105" s="14" t="s">
        <v>22</v>
      </c>
      <c r="D105" s="15" t="n">
        <f aca="false">COUNTIFS('تفاصيل الفرص'!$B$2:$B$372,$B105,'تفاصيل الفرص'!$D$2:$D$372,$C105)</f>
        <v>1</v>
      </c>
      <c r="E105" s="13" t="n">
        <f aca="false">COUNTIFS('تفاصيل الفرص'!$B$2:$B$372,$B105,'تفاصيل الفرص'!$D$2:$D$372,$C105,'تفاصيل الفرص'!$X$2:$X$372,0)</f>
        <v>0</v>
      </c>
      <c r="F105" s="13" t="n">
        <f aca="false">COUNTIFS('سجل الأكشنات'!$B$2:$B$933,$B105,'سجل الأكشنات'!$D$2:$D$933,$C105)</f>
        <v>5</v>
      </c>
      <c r="G105" s="13" t="n">
        <f aca="false">COUNTIFS('سجل الأكشنات'!$B$2:$B$933,$B105,'سجل الأكشنات'!$D$2:$D$933,$C105,'سجل الأكشنات'!$H$2:$H$933,"تفصيلي")</f>
        <v>3</v>
      </c>
      <c r="H105" s="13" t="n">
        <f aca="false">F105-G105</f>
        <v>2</v>
      </c>
      <c r="I105" s="13" t="str">
        <f aca="false">IF($B105&gt;"2026-09-30","لا توجد بيانات بعد",IF(AND(D105=0,F105=0),"بدون نشاط","نشِط"))</f>
        <v>نشِط</v>
      </c>
    </row>
    <row r="106" customFormat="false" ht="15" hidden="false" customHeight="false" outlineLevel="0" collapsed="false">
      <c r="A106" s="13" t="s">
        <v>59</v>
      </c>
      <c r="B106" s="13" t="s">
        <v>69</v>
      </c>
      <c r="C106" s="14" t="s">
        <v>24</v>
      </c>
      <c r="D106" s="15" t="n">
        <f aca="false">COUNTIFS('تفاصيل الفرص'!$B$2:$B$372,$B106,'تفاصيل الفرص'!$D$2:$D$372,$C106)</f>
        <v>0</v>
      </c>
      <c r="E106" s="13" t="n">
        <f aca="false">COUNTIFS('تفاصيل الفرص'!$B$2:$B$372,$B106,'تفاصيل الفرص'!$D$2:$D$372,$C106,'تفاصيل الفرص'!$X$2:$X$372,0)</f>
        <v>0</v>
      </c>
      <c r="F106" s="13" t="n">
        <f aca="false">COUNTIFS('سجل الأكشنات'!$B$2:$B$933,$B106,'سجل الأكشنات'!$D$2:$D$933,$C106)</f>
        <v>4</v>
      </c>
      <c r="G106" s="13" t="n">
        <f aca="false">COUNTIFS('سجل الأكشنات'!$B$2:$B$933,$B106,'سجل الأكشنات'!$D$2:$D$933,$C106,'سجل الأكشنات'!$H$2:$H$933,"تفصيلي")</f>
        <v>3</v>
      </c>
      <c r="H106" s="13" t="n">
        <f aca="false">F106-G106</f>
        <v>1</v>
      </c>
      <c r="I106" s="13" t="str">
        <f aca="false">IF($B106&gt;"2026-09-30","لا توجد بيانات بعد",IF(AND(D106=0,F106=0),"بدون نشاط","نشِط"))</f>
        <v>نشِط</v>
      </c>
    </row>
    <row r="107" customFormat="false" ht="15" hidden="false" customHeight="false" outlineLevel="0" collapsed="false">
      <c r="A107" s="13" t="s">
        <v>59</v>
      </c>
      <c r="B107" s="13" t="s">
        <v>69</v>
      </c>
      <c r="C107" s="14" t="s">
        <v>26</v>
      </c>
      <c r="D107" s="15" t="n">
        <f aca="false">COUNTIFS('تفاصيل الفرص'!$B$2:$B$372,$B107,'تفاصيل الفرص'!$D$2:$D$372,$C107)</f>
        <v>0</v>
      </c>
      <c r="E107" s="13" t="n">
        <f aca="false">COUNTIFS('تفاصيل الفرص'!$B$2:$B$372,$B107,'تفاصيل الفرص'!$D$2:$D$372,$C107,'تفاصيل الفرص'!$X$2:$X$372,0)</f>
        <v>0</v>
      </c>
      <c r="F107" s="13" t="n">
        <f aca="false">COUNTIFS('سجل الأكشنات'!$B$2:$B$933,$B107,'سجل الأكشنات'!$D$2:$D$933,$C107)</f>
        <v>0</v>
      </c>
      <c r="G107" s="13" t="n">
        <f aca="false">COUNTIFS('سجل الأكشنات'!$B$2:$B$933,$B107,'سجل الأكشنات'!$D$2:$D$933,$C107,'سجل الأكشنات'!$H$2:$H$933,"تفصيلي")</f>
        <v>0</v>
      </c>
      <c r="H107" s="13" t="n">
        <f aca="false">F107-G107</f>
        <v>0</v>
      </c>
      <c r="I107" s="13" t="str">
        <f aca="false">IF($B107&gt;"2026-09-30","لا توجد بيانات بعد",IF(AND(D107=0,F107=0),"بدون نشاط","نشِط"))</f>
        <v>بدون نشاط</v>
      </c>
    </row>
    <row r="108" customFormat="false" ht="15" hidden="false" customHeight="false" outlineLevel="0" collapsed="false">
      <c r="A108" s="13" t="s">
        <v>59</v>
      </c>
      <c r="B108" s="13" t="s">
        <v>69</v>
      </c>
      <c r="C108" s="14" t="s">
        <v>28</v>
      </c>
      <c r="D108" s="15" t="n">
        <f aca="false">COUNTIFS('تفاصيل الفرص'!$B$2:$B$372,$B108,'تفاصيل الفرص'!$D$2:$D$372,$C108)</f>
        <v>1</v>
      </c>
      <c r="E108" s="13" t="n">
        <f aca="false">COUNTIFS('تفاصيل الفرص'!$B$2:$B$372,$B108,'تفاصيل الفرص'!$D$2:$D$372,$C108,'تفاصيل الفرص'!$X$2:$X$372,0)</f>
        <v>0</v>
      </c>
      <c r="F108" s="13" t="n">
        <f aca="false">COUNTIFS('سجل الأكشنات'!$B$2:$B$933,$B108,'سجل الأكشنات'!$D$2:$D$933,$C108)</f>
        <v>2</v>
      </c>
      <c r="G108" s="13" t="n">
        <f aca="false">COUNTIFS('سجل الأكشنات'!$B$2:$B$933,$B108,'سجل الأكشنات'!$D$2:$D$933,$C108,'سجل الأكشنات'!$H$2:$H$933,"تفصيلي")</f>
        <v>1</v>
      </c>
      <c r="H108" s="13" t="n">
        <f aca="false">F108-G108</f>
        <v>1</v>
      </c>
      <c r="I108" s="13" t="str">
        <f aca="false">IF($B108&gt;"2026-09-30","لا توجد بيانات بعد",IF(AND(D108=0,F108=0),"بدون نشاط","نشِط"))</f>
        <v>نشِط</v>
      </c>
    </row>
    <row r="109" customFormat="false" ht="15" hidden="false" customHeight="false" outlineLevel="0" collapsed="false">
      <c r="A109" s="13" t="s">
        <v>59</v>
      </c>
      <c r="B109" s="13" t="s">
        <v>69</v>
      </c>
      <c r="C109" s="14" t="s">
        <v>30</v>
      </c>
      <c r="D109" s="15" t="n">
        <f aca="false">COUNTIFS('تفاصيل الفرص'!$B$2:$B$372,$B109,'تفاصيل الفرص'!$D$2:$D$372,$C109)</f>
        <v>4</v>
      </c>
      <c r="E109" s="13" t="n">
        <f aca="false">COUNTIFS('تفاصيل الفرص'!$B$2:$B$372,$B109,'تفاصيل الفرص'!$D$2:$D$372,$C109,'تفاصيل الفرص'!$X$2:$X$372,0)</f>
        <v>0</v>
      </c>
      <c r="F109" s="13" t="n">
        <f aca="false">COUNTIFS('سجل الأكشنات'!$B$2:$B$933,$B109,'سجل الأكشنات'!$D$2:$D$933,$C109)</f>
        <v>4</v>
      </c>
      <c r="G109" s="13" t="n">
        <f aca="false">COUNTIFS('سجل الأكشنات'!$B$2:$B$933,$B109,'سجل الأكشنات'!$D$2:$D$933,$C109,'سجل الأكشنات'!$H$2:$H$933,"تفصيلي")</f>
        <v>4</v>
      </c>
      <c r="H109" s="13" t="n">
        <f aca="false">F109-G109</f>
        <v>0</v>
      </c>
      <c r="I109" s="13" t="str">
        <f aca="false">IF($B109&gt;"2026-09-30","لا توجد بيانات بعد",IF(AND(D109=0,F109=0),"بدون نشاط","نشِط"))</f>
        <v>نشِط</v>
      </c>
    </row>
    <row r="110" customFormat="false" ht="15" hidden="false" customHeight="false" outlineLevel="0" collapsed="false">
      <c r="A110" s="13" t="s">
        <v>59</v>
      </c>
      <c r="B110" s="13" t="s">
        <v>69</v>
      </c>
      <c r="C110" s="14" t="s">
        <v>32</v>
      </c>
      <c r="D110" s="15" t="n">
        <f aca="false">COUNTIFS('تفاصيل الفرص'!$B$2:$B$372,$B110,'تفاصيل الفرص'!$D$2:$D$372,$C110)</f>
        <v>1</v>
      </c>
      <c r="E110" s="13" t="n">
        <f aca="false">COUNTIFS('تفاصيل الفرص'!$B$2:$B$372,$B110,'تفاصيل الفرص'!$D$2:$D$372,$C110,'تفاصيل الفرص'!$X$2:$X$372,0)</f>
        <v>0</v>
      </c>
      <c r="F110" s="13" t="n">
        <f aca="false">COUNTIFS('سجل الأكشنات'!$B$2:$B$933,$B110,'سجل الأكشنات'!$D$2:$D$933,$C110)</f>
        <v>6</v>
      </c>
      <c r="G110" s="13" t="n">
        <f aca="false">COUNTIFS('سجل الأكشنات'!$B$2:$B$933,$B110,'سجل الأكشنات'!$D$2:$D$933,$C110,'سجل الأكشنات'!$H$2:$H$933,"تفصيلي")</f>
        <v>4</v>
      </c>
      <c r="H110" s="13" t="n">
        <f aca="false">F110-G110</f>
        <v>2</v>
      </c>
      <c r="I110" s="13" t="str">
        <f aca="false">IF($B110&gt;"2026-09-30","لا توجد بيانات بعد",IF(AND(D110=0,F110=0),"بدون نشاط","نشِط"))</f>
        <v>نشِط</v>
      </c>
    </row>
    <row r="111" customFormat="false" ht="15" hidden="false" customHeight="false" outlineLevel="0" collapsed="false">
      <c r="A111" s="13" t="s">
        <v>59</v>
      </c>
      <c r="B111" s="13" t="s">
        <v>69</v>
      </c>
      <c r="C111" s="14" t="s">
        <v>34</v>
      </c>
      <c r="D111" s="15" t="n">
        <f aca="false">COUNTIFS('تفاصيل الفرص'!$B$2:$B$372,$B111,'تفاصيل الفرص'!$D$2:$D$372,$C111)</f>
        <v>2</v>
      </c>
      <c r="E111" s="13" t="n">
        <f aca="false">COUNTIFS('تفاصيل الفرص'!$B$2:$B$372,$B111,'تفاصيل الفرص'!$D$2:$D$372,$C111,'تفاصيل الفرص'!$X$2:$X$372,0)</f>
        <v>0</v>
      </c>
      <c r="F111" s="13" t="n">
        <f aca="false">COUNTIFS('سجل الأكشنات'!$B$2:$B$933,$B111,'سجل الأكشنات'!$D$2:$D$933,$C111)</f>
        <v>6</v>
      </c>
      <c r="G111" s="13" t="n">
        <f aca="false">COUNTIFS('سجل الأكشنات'!$B$2:$B$933,$B111,'سجل الأكشنات'!$D$2:$D$933,$C111,'سجل الأكشنات'!$H$2:$H$933,"تفصيلي")</f>
        <v>5</v>
      </c>
      <c r="H111" s="13" t="n">
        <f aca="false">F111-G111</f>
        <v>1</v>
      </c>
      <c r="I111" s="13" t="str">
        <f aca="false">IF($B111&gt;"2026-09-30","لا توجد بيانات بعد",IF(AND(D111=0,F111=0),"بدون نشاط","نشِط"))</f>
        <v>نشِط</v>
      </c>
    </row>
    <row r="112" customFormat="false" ht="15" hidden="false" customHeight="false" outlineLevel="0" collapsed="false">
      <c r="A112" s="5" t="s">
        <v>61</v>
      </c>
      <c r="B112" s="5" t="s">
        <v>70</v>
      </c>
      <c r="C112" s="4" t="s">
        <v>18</v>
      </c>
      <c r="D112" s="5" t="n">
        <f aca="false">COUNTIFS('تفاصيل الفرص'!$B$2:$B$372,$B112,'تفاصيل الفرص'!$D$2:$D$372,$C112)</f>
        <v>0</v>
      </c>
      <c r="E112" s="5" t="n">
        <f aca="false">COUNTIFS('تفاصيل الفرص'!$B$2:$B$372,$B112,'تفاصيل الفرص'!$D$2:$D$372,$C112,'تفاصيل الفرص'!$X$2:$X$372,0)</f>
        <v>0</v>
      </c>
      <c r="F112" s="5" t="n">
        <f aca="false">COUNTIFS('سجل الأكشنات'!$B$2:$B$933,$B112,'سجل الأكشنات'!$D$2:$D$933,$C112)</f>
        <v>2</v>
      </c>
      <c r="G112" s="5" t="n">
        <f aca="false">COUNTIFS('سجل الأكشنات'!$B$2:$B$933,$B112,'سجل الأكشنات'!$D$2:$D$933,$C112,'سجل الأكشنات'!$H$2:$H$933,"تفصيلي")</f>
        <v>2</v>
      </c>
      <c r="H112" s="5" t="n">
        <f aca="false">F112-G112</f>
        <v>0</v>
      </c>
      <c r="I112" s="12" t="str">
        <f aca="false">IF($B112&gt;"2026-09-30","لا توجد بيانات بعد",IF(AND(D112=0,F112=0),"بدون نشاط","نشِط"))</f>
        <v>نشِط</v>
      </c>
    </row>
    <row r="113" customFormat="false" ht="15" hidden="false" customHeight="false" outlineLevel="0" collapsed="false">
      <c r="A113" s="5" t="s">
        <v>61</v>
      </c>
      <c r="B113" s="5" t="s">
        <v>70</v>
      </c>
      <c r="C113" s="4" t="s">
        <v>20</v>
      </c>
      <c r="D113" s="5" t="n">
        <f aca="false">COUNTIFS('تفاصيل الفرص'!$B$2:$B$372,$B113,'تفاصيل الفرص'!$D$2:$D$372,$C113)</f>
        <v>1</v>
      </c>
      <c r="E113" s="5" t="n">
        <f aca="false">COUNTIFS('تفاصيل الفرص'!$B$2:$B$372,$B113,'تفاصيل الفرص'!$D$2:$D$372,$C113,'تفاصيل الفرص'!$X$2:$X$372,0)</f>
        <v>0</v>
      </c>
      <c r="F113" s="5" t="n">
        <f aca="false">COUNTIFS('سجل الأكشنات'!$B$2:$B$933,$B113,'سجل الأكشنات'!$D$2:$D$933,$C113)</f>
        <v>5</v>
      </c>
      <c r="G113" s="5" t="n">
        <f aca="false">COUNTIFS('سجل الأكشنات'!$B$2:$B$933,$B113,'سجل الأكشنات'!$D$2:$D$933,$C113,'سجل الأكشنات'!$H$2:$H$933,"تفصيلي")</f>
        <v>4</v>
      </c>
      <c r="H113" s="5" t="n">
        <f aca="false">F113-G113</f>
        <v>1</v>
      </c>
      <c r="I113" s="12" t="str">
        <f aca="false">IF($B113&gt;"2026-09-30","لا توجد بيانات بعد",IF(AND(D113=0,F113=0),"بدون نشاط","نشِط"))</f>
        <v>نشِط</v>
      </c>
    </row>
    <row r="114" customFormat="false" ht="15" hidden="false" customHeight="false" outlineLevel="0" collapsed="false">
      <c r="A114" s="5" t="s">
        <v>61</v>
      </c>
      <c r="B114" s="5" t="s">
        <v>70</v>
      </c>
      <c r="C114" s="4" t="s">
        <v>22</v>
      </c>
      <c r="D114" s="5" t="n">
        <f aca="false">COUNTIFS('تفاصيل الفرص'!$B$2:$B$372,$B114,'تفاصيل الفرص'!$D$2:$D$372,$C114)</f>
        <v>1</v>
      </c>
      <c r="E114" s="5" t="n">
        <f aca="false">COUNTIFS('تفاصيل الفرص'!$B$2:$B$372,$B114,'تفاصيل الفرص'!$D$2:$D$372,$C114,'تفاصيل الفرص'!$X$2:$X$372,0)</f>
        <v>0</v>
      </c>
      <c r="F114" s="5" t="n">
        <f aca="false">COUNTIFS('سجل الأكشنات'!$B$2:$B$933,$B114,'سجل الأكشنات'!$D$2:$D$933,$C114)</f>
        <v>5</v>
      </c>
      <c r="G114" s="5" t="n">
        <f aca="false">COUNTIFS('سجل الأكشنات'!$B$2:$B$933,$B114,'سجل الأكشنات'!$D$2:$D$933,$C114,'سجل الأكشنات'!$H$2:$H$933,"تفصيلي")</f>
        <v>1</v>
      </c>
      <c r="H114" s="5" t="n">
        <f aca="false">F114-G114</f>
        <v>4</v>
      </c>
      <c r="I114" s="12" t="str">
        <f aca="false">IF($B114&gt;"2026-09-30","لا توجد بيانات بعد",IF(AND(D114=0,F114=0),"بدون نشاط","نشِط"))</f>
        <v>نشِط</v>
      </c>
    </row>
    <row r="115" customFormat="false" ht="15" hidden="false" customHeight="false" outlineLevel="0" collapsed="false">
      <c r="A115" s="5" t="s">
        <v>61</v>
      </c>
      <c r="B115" s="5" t="s">
        <v>70</v>
      </c>
      <c r="C115" s="4" t="s">
        <v>24</v>
      </c>
      <c r="D115" s="5" t="n">
        <f aca="false">COUNTIFS('تفاصيل الفرص'!$B$2:$B$372,$B115,'تفاصيل الفرص'!$D$2:$D$372,$C115)</f>
        <v>0</v>
      </c>
      <c r="E115" s="5" t="n">
        <f aca="false">COUNTIFS('تفاصيل الفرص'!$B$2:$B$372,$B115,'تفاصيل الفرص'!$D$2:$D$372,$C115,'تفاصيل الفرص'!$X$2:$X$372,0)</f>
        <v>0</v>
      </c>
      <c r="F115" s="5" t="n">
        <f aca="false">COUNTIFS('سجل الأكشنات'!$B$2:$B$933,$B115,'سجل الأكشنات'!$D$2:$D$933,$C115)</f>
        <v>3</v>
      </c>
      <c r="G115" s="5" t="n">
        <f aca="false">COUNTIFS('سجل الأكشنات'!$B$2:$B$933,$B115,'سجل الأكشنات'!$D$2:$D$933,$C115,'سجل الأكشنات'!$H$2:$H$933,"تفصيلي")</f>
        <v>3</v>
      </c>
      <c r="H115" s="5" t="n">
        <f aca="false">F115-G115</f>
        <v>0</v>
      </c>
      <c r="I115" s="12" t="str">
        <f aca="false">IF($B115&gt;"2026-09-30","لا توجد بيانات بعد",IF(AND(D115=0,F115=0),"بدون نشاط","نشِط"))</f>
        <v>نشِط</v>
      </c>
    </row>
    <row r="116" customFormat="false" ht="15" hidden="false" customHeight="false" outlineLevel="0" collapsed="false">
      <c r="A116" s="5" t="s">
        <v>61</v>
      </c>
      <c r="B116" s="5" t="s">
        <v>70</v>
      </c>
      <c r="C116" s="4" t="s">
        <v>26</v>
      </c>
      <c r="D116" s="5" t="n">
        <f aca="false">COUNTIFS('تفاصيل الفرص'!$B$2:$B$372,$B116,'تفاصيل الفرص'!$D$2:$D$372,$C116)</f>
        <v>0</v>
      </c>
      <c r="E116" s="5" t="n">
        <f aca="false">COUNTIFS('تفاصيل الفرص'!$B$2:$B$372,$B116,'تفاصيل الفرص'!$D$2:$D$372,$C116,'تفاصيل الفرص'!$X$2:$X$372,0)</f>
        <v>0</v>
      </c>
      <c r="F116" s="5" t="n">
        <f aca="false">COUNTIFS('سجل الأكشنات'!$B$2:$B$933,$B116,'سجل الأكشنات'!$D$2:$D$933,$C116)</f>
        <v>0</v>
      </c>
      <c r="G116" s="5" t="n">
        <f aca="false">COUNTIFS('سجل الأكشنات'!$B$2:$B$933,$B116,'سجل الأكشنات'!$D$2:$D$933,$C116,'سجل الأكشنات'!$H$2:$H$933,"تفصيلي")</f>
        <v>0</v>
      </c>
      <c r="H116" s="5" t="n">
        <f aca="false">F116-G116</f>
        <v>0</v>
      </c>
      <c r="I116" s="12" t="str">
        <f aca="false">IF($B116&gt;"2026-09-30","لا توجد بيانات بعد",IF(AND(D116=0,F116=0),"بدون نشاط","نشِط"))</f>
        <v>بدون نشاط</v>
      </c>
    </row>
    <row r="117" customFormat="false" ht="15" hidden="false" customHeight="false" outlineLevel="0" collapsed="false">
      <c r="A117" s="5" t="s">
        <v>61</v>
      </c>
      <c r="B117" s="5" t="s">
        <v>70</v>
      </c>
      <c r="C117" s="4" t="s">
        <v>28</v>
      </c>
      <c r="D117" s="5" t="n">
        <f aca="false">COUNTIFS('تفاصيل الفرص'!$B$2:$B$372,$B117,'تفاصيل الفرص'!$D$2:$D$372,$C117)</f>
        <v>1</v>
      </c>
      <c r="E117" s="5" t="n">
        <f aca="false">COUNTIFS('تفاصيل الفرص'!$B$2:$B$372,$B117,'تفاصيل الفرص'!$D$2:$D$372,$C117,'تفاصيل الفرص'!$X$2:$X$372,0)</f>
        <v>0</v>
      </c>
      <c r="F117" s="5" t="n">
        <f aca="false">COUNTIFS('سجل الأكشنات'!$B$2:$B$933,$B117,'سجل الأكشنات'!$D$2:$D$933,$C117)</f>
        <v>3</v>
      </c>
      <c r="G117" s="5" t="n">
        <f aca="false">COUNTIFS('سجل الأكشنات'!$B$2:$B$933,$B117,'سجل الأكشنات'!$D$2:$D$933,$C117,'سجل الأكشنات'!$H$2:$H$933,"تفصيلي")</f>
        <v>3</v>
      </c>
      <c r="H117" s="5" t="n">
        <f aca="false">F117-G117</f>
        <v>0</v>
      </c>
      <c r="I117" s="12" t="str">
        <f aca="false">IF($B117&gt;"2026-09-30","لا توجد بيانات بعد",IF(AND(D117=0,F117=0),"بدون نشاط","نشِط"))</f>
        <v>نشِط</v>
      </c>
    </row>
    <row r="118" customFormat="false" ht="15" hidden="false" customHeight="false" outlineLevel="0" collapsed="false">
      <c r="A118" s="5" t="s">
        <v>61</v>
      </c>
      <c r="B118" s="5" t="s">
        <v>70</v>
      </c>
      <c r="C118" s="4" t="s">
        <v>30</v>
      </c>
      <c r="D118" s="5" t="n">
        <f aca="false">COUNTIFS('تفاصيل الفرص'!$B$2:$B$372,$B118,'تفاصيل الفرص'!$D$2:$D$372,$C118)</f>
        <v>5</v>
      </c>
      <c r="E118" s="5" t="n">
        <f aca="false">COUNTIFS('تفاصيل الفرص'!$B$2:$B$372,$B118,'تفاصيل الفرص'!$D$2:$D$372,$C118,'تفاصيل الفرص'!$X$2:$X$372,0)</f>
        <v>0</v>
      </c>
      <c r="F118" s="5" t="n">
        <f aca="false">COUNTIFS('سجل الأكشنات'!$B$2:$B$933,$B118,'سجل الأكشنات'!$D$2:$D$933,$C118)</f>
        <v>5</v>
      </c>
      <c r="G118" s="5" t="n">
        <f aca="false">COUNTIFS('سجل الأكشنات'!$B$2:$B$933,$B118,'سجل الأكشنات'!$D$2:$D$933,$C118,'سجل الأكشنات'!$H$2:$H$933,"تفصيلي")</f>
        <v>5</v>
      </c>
      <c r="H118" s="5" t="n">
        <f aca="false">F118-G118</f>
        <v>0</v>
      </c>
      <c r="I118" s="12" t="str">
        <f aca="false">IF($B118&gt;"2026-09-30","لا توجد بيانات بعد",IF(AND(D118=0,F118=0),"بدون نشاط","نشِط"))</f>
        <v>نشِط</v>
      </c>
    </row>
    <row r="119" customFormat="false" ht="15" hidden="false" customHeight="false" outlineLevel="0" collapsed="false">
      <c r="A119" s="5" t="s">
        <v>61</v>
      </c>
      <c r="B119" s="5" t="s">
        <v>70</v>
      </c>
      <c r="C119" s="4" t="s">
        <v>32</v>
      </c>
      <c r="D119" s="5" t="n">
        <f aca="false">COUNTIFS('تفاصيل الفرص'!$B$2:$B$372,$B119,'تفاصيل الفرص'!$D$2:$D$372,$C119)</f>
        <v>0</v>
      </c>
      <c r="E119" s="5" t="n">
        <f aca="false">COUNTIFS('تفاصيل الفرص'!$B$2:$B$372,$B119,'تفاصيل الفرص'!$D$2:$D$372,$C119,'تفاصيل الفرص'!$X$2:$X$372,0)</f>
        <v>0</v>
      </c>
      <c r="F119" s="5" t="n">
        <f aca="false">COUNTIFS('سجل الأكشنات'!$B$2:$B$933,$B119,'سجل الأكشنات'!$D$2:$D$933,$C119)</f>
        <v>2</v>
      </c>
      <c r="G119" s="5" t="n">
        <f aca="false">COUNTIFS('سجل الأكشنات'!$B$2:$B$933,$B119,'سجل الأكشنات'!$D$2:$D$933,$C119,'سجل الأكشنات'!$H$2:$H$933,"تفصيلي")</f>
        <v>2</v>
      </c>
      <c r="H119" s="5" t="n">
        <f aca="false">F119-G119</f>
        <v>0</v>
      </c>
      <c r="I119" s="12" t="str">
        <f aca="false">IF($B119&gt;"2026-09-30","لا توجد بيانات بعد",IF(AND(D119=0,F119=0),"بدون نشاط","نشِط"))</f>
        <v>نشِط</v>
      </c>
    </row>
    <row r="120" customFormat="false" ht="15" hidden="false" customHeight="false" outlineLevel="0" collapsed="false">
      <c r="A120" s="5" t="s">
        <v>61</v>
      </c>
      <c r="B120" s="5" t="s">
        <v>70</v>
      </c>
      <c r="C120" s="4" t="s">
        <v>34</v>
      </c>
      <c r="D120" s="5" t="n">
        <f aca="false">COUNTIFS('تفاصيل الفرص'!$B$2:$B$372,$B120,'تفاصيل الفرص'!$D$2:$D$372,$C120)</f>
        <v>6</v>
      </c>
      <c r="E120" s="5" t="n">
        <f aca="false">COUNTIFS('تفاصيل الفرص'!$B$2:$B$372,$B120,'تفاصيل الفرص'!$D$2:$D$372,$C120,'تفاصيل الفرص'!$X$2:$X$372,0)</f>
        <v>0</v>
      </c>
      <c r="F120" s="5" t="n">
        <f aca="false">COUNTIFS('سجل الأكشنات'!$B$2:$B$933,$B120,'سجل الأكشنات'!$D$2:$D$933,$C120)</f>
        <v>7</v>
      </c>
      <c r="G120" s="5" t="n">
        <f aca="false">COUNTIFS('سجل الأكشنات'!$B$2:$B$933,$B120,'سجل الأكشنات'!$D$2:$D$933,$C120,'سجل الأكشنات'!$H$2:$H$933,"تفصيلي")</f>
        <v>7</v>
      </c>
      <c r="H120" s="5" t="n">
        <f aca="false">F120-G120</f>
        <v>0</v>
      </c>
      <c r="I120" s="12" t="str">
        <f aca="false">IF($B120&gt;"2026-09-30","لا توجد بيانات بعد",IF(AND(D120=0,F120=0),"بدون نشاط","نشِط"))</f>
        <v>نشِط</v>
      </c>
    </row>
    <row r="121" customFormat="false" ht="15" hidden="false" customHeight="false" outlineLevel="0" collapsed="false">
      <c r="A121" s="13" t="s">
        <v>63</v>
      </c>
      <c r="B121" s="13" t="s">
        <v>71</v>
      </c>
      <c r="C121" s="14" t="s">
        <v>18</v>
      </c>
      <c r="D121" s="15" t="n">
        <f aca="false">COUNTIFS('تفاصيل الفرص'!$B$2:$B$372,$B121,'تفاصيل الفرص'!$D$2:$D$372,$C121)</f>
        <v>3</v>
      </c>
      <c r="E121" s="13" t="n">
        <f aca="false">COUNTIFS('تفاصيل الفرص'!$B$2:$B$372,$B121,'تفاصيل الفرص'!$D$2:$D$372,$C121,'تفاصيل الفرص'!$X$2:$X$372,0)</f>
        <v>0</v>
      </c>
      <c r="F121" s="13" t="n">
        <f aca="false">COUNTIFS('سجل الأكشنات'!$B$2:$B$933,$B121,'سجل الأكشنات'!$D$2:$D$933,$C121)</f>
        <v>3</v>
      </c>
      <c r="G121" s="13" t="n">
        <f aca="false">COUNTIFS('سجل الأكشنات'!$B$2:$B$933,$B121,'سجل الأكشنات'!$D$2:$D$933,$C121,'سجل الأكشنات'!$H$2:$H$933,"تفصيلي")</f>
        <v>3</v>
      </c>
      <c r="H121" s="13" t="n">
        <f aca="false">F121-G121</f>
        <v>0</v>
      </c>
      <c r="I121" s="13" t="str">
        <f aca="false">IF($B121&gt;"2026-09-30","لا توجد بيانات بعد",IF(AND(D121=0,F121=0),"بدون نشاط","نشِط"))</f>
        <v>نشِط</v>
      </c>
    </row>
    <row r="122" customFormat="false" ht="15" hidden="false" customHeight="false" outlineLevel="0" collapsed="false">
      <c r="A122" s="13" t="s">
        <v>63</v>
      </c>
      <c r="B122" s="13" t="s">
        <v>71</v>
      </c>
      <c r="C122" s="14" t="s">
        <v>20</v>
      </c>
      <c r="D122" s="15" t="n">
        <f aca="false">COUNTIFS('تفاصيل الفرص'!$B$2:$B$372,$B122,'تفاصيل الفرص'!$D$2:$D$372,$C122)</f>
        <v>2</v>
      </c>
      <c r="E122" s="13" t="n">
        <f aca="false">COUNTIFS('تفاصيل الفرص'!$B$2:$B$372,$B122,'تفاصيل الفرص'!$D$2:$D$372,$C122,'تفاصيل الفرص'!$X$2:$X$372,0)</f>
        <v>0</v>
      </c>
      <c r="F122" s="13" t="n">
        <f aca="false">COUNTIFS('سجل الأكشنات'!$B$2:$B$933,$B122,'سجل الأكشنات'!$D$2:$D$933,$C122)</f>
        <v>6</v>
      </c>
      <c r="G122" s="13" t="n">
        <f aca="false">COUNTIFS('سجل الأكشنات'!$B$2:$B$933,$B122,'سجل الأكشنات'!$D$2:$D$933,$C122,'سجل الأكشنات'!$H$2:$H$933,"تفصيلي")</f>
        <v>5</v>
      </c>
      <c r="H122" s="13" t="n">
        <f aca="false">F122-G122</f>
        <v>1</v>
      </c>
      <c r="I122" s="13" t="str">
        <f aca="false">IF($B122&gt;"2026-09-30","لا توجد بيانات بعد",IF(AND(D122=0,F122=0),"بدون نشاط","نشِط"))</f>
        <v>نشِط</v>
      </c>
    </row>
    <row r="123" customFormat="false" ht="15" hidden="false" customHeight="false" outlineLevel="0" collapsed="false">
      <c r="A123" s="13" t="s">
        <v>63</v>
      </c>
      <c r="B123" s="13" t="s">
        <v>71</v>
      </c>
      <c r="C123" s="14" t="s">
        <v>22</v>
      </c>
      <c r="D123" s="15" t="n">
        <f aca="false">COUNTIFS('تفاصيل الفرص'!$B$2:$B$372,$B123,'تفاصيل الفرص'!$D$2:$D$372,$C123)</f>
        <v>0</v>
      </c>
      <c r="E123" s="13" t="n">
        <f aca="false">COUNTIFS('تفاصيل الفرص'!$B$2:$B$372,$B123,'تفاصيل الفرص'!$D$2:$D$372,$C123,'تفاصيل الفرص'!$X$2:$X$372,0)</f>
        <v>0</v>
      </c>
      <c r="F123" s="13" t="n">
        <f aca="false">COUNTIFS('سجل الأكشنات'!$B$2:$B$933,$B123,'سجل الأكشنات'!$D$2:$D$933,$C123)</f>
        <v>3</v>
      </c>
      <c r="G123" s="13" t="n">
        <f aca="false">COUNTIFS('سجل الأكشنات'!$B$2:$B$933,$B123,'سجل الأكشنات'!$D$2:$D$933,$C123,'سجل الأكشنات'!$H$2:$H$933,"تفصيلي")</f>
        <v>3</v>
      </c>
      <c r="H123" s="13" t="n">
        <f aca="false">F123-G123</f>
        <v>0</v>
      </c>
      <c r="I123" s="13" t="str">
        <f aca="false">IF($B123&gt;"2026-09-30","لا توجد بيانات بعد",IF(AND(D123=0,F123=0),"بدون نشاط","نشِط"))</f>
        <v>نشِط</v>
      </c>
    </row>
    <row r="124" customFormat="false" ht="15" hidden="false" customHeight="false" outlineLevel="0" collapsed="false">
      <c r="A124" s="13" t="s">
        <v>63</v>
      </c>
      <c r="B124" s="13" t="s">
        <v>71</v>
      </c>
      <c r="C124" s="14" t="s">
        <v>24</v>
      </c>
      <c r="D124" s="15" t="n">
        <f aca="false">COUNTIFS('تفاصيل الفرص'!$B$2:$B$372,$B124,'تفاصيل الفرص'!$D$2:$D$372,$C124)</f>
        <v>0</v>
      </c>
      <c r="E124" s="13" t="n">
        <f aca="false">COUNTIFS('تفاصيل الفرص'!$B$2:$B$372,$B124,'تفاصيل الفرص'!$D$2:$D$372,$C124,'تفاصيل الفرص'!$X$2:$X$372,0)</f>
        <v>0</v>
      </c>
      <c r="F124" s="13" t="n">
        <f aca="false">COUNTIFS('سجل الأكشنات'!$B$2:$B$933,$B124,'سجل الأكشنات'!$D$2:$D$933,$C124)</f>
        <v>3</v>
      </c>
      <c r="G124" s="13" t="n">
        <f aca="false">COUNTIFS('سجل الأكشنات'!$B$2:$B$933,$B124,'سجل الأكشنات'!$D$2:$D$933,$C124,'سجل الأكشنات'!$H$2:$H$933,"تفصيلي")</f>
        <v>3</v>
      </c>
      <c r="H124" s="13" t="n">
        <f aca="false">F124-G124</f>
        <v>0</v>
      </c>
      <c r="I124" s="13" t="str">
        <f aca="false">IF($B124&gt;"2026-09-30","لا توجد بيانات بعد",IF(AND(D124=0,F124=0),"بدون نشاط","نشِط"))</f>
        <v>نشِط</v>
      </c>
    </row>
    <row r="125" customFormat="false" ht="15" hidden="false" customHeight="false" outlineLevel="0" collapsed="false">
      <c r="A125" s="13" t="s">
        <v>63</v>
      </c>
      <c r="B125" s="13" t="s">
        <v>71</v>
      </c>
      <c r="C125" s="14" t="s">
        <v>26</v>
      </c>
      <c r="D125" s="15" t="n">
        <f aca="false">COUNTIFS('تفاصيل الفرص'!$B$2:$B$372,$B125,'تفاصيل الفرص'!$D$2:$D$372,$C125)</f>
        <v>0</v>
      </c>
      <c r="E125" s="13" t="n">
        <f aca="false">COUNTIFS('تفاصيل الفرص'!$B$2:$B$372,$B125,'تفاصيل الفرص'!$D$2:$D$372,$C125,'تفاصيل الفرص'!$X$2:$X$372,0)</f>
        <v>0</v>
      </c>
      <c r="F125" s="13" t="n">
        <f aca="false">COUNTIFS('سجل الأكشنات'!$B$2:$B$933,$B125,'سجل الأكشنات'!$D$2:$D$933,$C125)</f>
        <v>0</v>
      </c>
      <c r="G125" s="13" t="n">
        <f aca="false">COUNTIFS('سجل الأكشنات'!$B$2:$B$933,$B125,'سجل الأكشنات'!$D$2:$D$933,$C125,'سجل الأكشنات'!$H$2:$H$933,"تفصيلي")</f>
        <v>0</v>
      </c>
      <c r="H125" s="13" t="n">
        <f aca="false">F125-G125</f>
        <v>0</v>
      </c>
      <c r="I125" s="13" t="str">
        <f aca="false">IF($B125&gt;"2026-09-30","لا توجد بيانات بعد",IF(AND(D125=0,F125=0),"بدون نشاط","نشِط"))</f>
        <v>بدون نشاط</v>
      </c>
    </row>
    <row r="126" customFormat="false" ht="15" hidden="false" customHeight="false" outlineLevel="0" collapsed="false">
      <c r="A126" s="13" t="s">
        <v>63</v>
      </c>
      <c r="B126" s="13" t="s">
        <v>71</v>
      </c>
      <c r="C126" s="14" t="s">
        <v>28</v>
      </c>
      <c r="D126" s="15" t="n">
        <f aca="false">COUNTIFS('تفاصيل الفرص'!$B$2:$B$372,$B126,'تفاصيل الفرص'!$D$2:$D$372,$C126)</f>
        <v>0</v>
      </c>
      <c r="E126" s="13" t="n">
        <f aca="false">COUNTIFS('تفاصيل الفرص'!$B$2:$B$372,$B126,'تفاصيل الفرص'!$D$2:$D$372,$C126,'تفاصيل الفرص'!$X$2:$X$372,0)</f>
        <v>0</v>
      </c>
      <c r="F126" s="13" t="n">
        <f aca="false">COUNTIFS('سجل الأكشنات'!$B$2:$B$933,$B126,'سجل الأكشنات'!$D$2:$D$933,$C126)</f>
        <v>1</v>
      </c>
      <c r="G126" s="13" t="n">
        <f aca="false">COUNTIFS('سجل الأكشنات'!$B$2:$B$933,$B126,'سجل الأكشنات'!$D$2:$D$933,$C126,'سجل الأكشنات'!$H$2:$H$933,"تفصيلي")</f>
        <v>1</v>
      </c>
      <c r="H126" s="13" t="n">
        <f aca="false">F126-G126</f>
        <v>0</v>
      </c>
      <c r="I126" s="13" t="str">
        <f aca="false">IF($B126&gt;"2026-09-30","لا توجد بيانات بعد",IF(AND(D126=0,F126=0),"بدون نشاط","نشِط"))</f>
        <v>نشِط</v>
      </c>
    </row>
    <row r="127" customFormat="false" ht="15" hidden="false" customHeight="false" outlineLevel="0" collapsed="false">
      <c r="A127" s="13" t="s">
        <v>63</v>
      </c>
      <c r="B127" s="13" t="s">
        <v>71</v>
      </c>
      <c r="C127" s="14" t="s">
        <v>30</v>
      </c>
      <c r="D127" s="15" t="n">
        <f aca="false">COUNTIFS('تفاصيل الفرص'!$B$2:$B$372,$B127,'تفاصيل الفرص'!$D$2:$D$372,$C127)</f>
        <v>6</v>
      </c>
      <c r="E127" s="13" t="n">
        <f aca="false">COUNTIFS('تفاصيل الفرص'!$B$2:$B$372,$B127,'تفاصيل الفرص'!$D$2:$D$372,$C127,'تفاصيل الفرص'!$X$2:$X$372,0)</f>
        <v>0</v>
      </c>
      <c r="F127" s="13" t="n">
        <f aca="false">COUNTIFS('سجل الأكشنات'!$B$2:$B$933,$B127,'سجل الأكشنات'!$D$2:$D$933,$C127)</f>
        <v>6</v>
      </c>
      <c r="G127" s="13" t="n">
        <f aca="false">COUNTIFS('سجل الأكشنات'!$B$2:$B$933,$B127,'سجل الأكشنات'!$D$2:$D$933,$C127,'سجل الأكشنات'!$H$2:$H$933,"تفصيلي")</f>
        <v>4</v>
      </c>
      <c r="H127" s="13" t="n">
        <f aca="false">F127-G127</f>
        <v>2</v>
      </c>
      <c r="I127" s="13" t="str">
        <f aca="false">IF($B127&gt;"2026-09-30","لا توجد بيانات بعد",IF(AND(D127=0,F127=0),"بدون نشاط","نشِط"))</f>
        <v>نشِط</v>
      </c>
    </row>
    <row r="128" customFormat="false" ht="15" hidden="false" customHeight="false" outlineLevel="0" collapsed="false">
      <c r="A128" s="13" t="s">
        <v>63</v>
      </c>
      <c r="B128" s="13" t="s">
        <v>71</v>
      </c>
      <c r="C128" s="14" t="s">
        <v>32</v>
      </c>
      <c r="D128" s="15" t="n">
        <f aca="false">COUNTIFS('تفاصيل الفرص'!$B$2:$B$372,$B128,'تفاصيل الفرص'!$D$2:$D$372,$C128)</f>
        <v>3</v>
      </c>
      <c r="E128" s="13" t="n">
        <f aca="false">COUNTIFS('تفاصيل الفرص'!$B$2:$B$372,$B128,'تفاصيل الفرص'!$D$2:$D$372,$C128,'تفاصيل الفرص'!$X$2:$X$372,0)</f>
        <v>0</v>
      </c>
      <c r="F128" s="13" t="n">
        <f aca="false">COUNTIFS('سجل الأكشنات'!$B$2:$B$933,$B128,'سجل الأكشنات'!$D$2:$D$933,$C128)</f>
        <v>9</v>
      </c>
      <c r="G128" s="13" t="n">
        <f aca="false">COUNTIFS('سجل الأكشنات'!$B$2:$B$933,$B128,'سجل الأكشنات'!$D$2:$D$933,$C128,'سجل الأكشنات'!$H$2:$H$933,"تفصيلي")</f>
        <v>9</v>
      </c>
      <c r="H128" s="13" t="n">
        <f aca="false">F128-G128</f>
        <v>0</v>
      </c>
      <c r="I128" s="13" t="str">
        <f aca="false">IF($B128&gt;"2026-09-30","لا توجد بيانات بعد",IF(AND(D128=0,F128=0),"بدون نشاط","نشِط"))</f>
        <v>نشِط</v>
      </c>
    </row>
    <row r="129" customFormat="false" ht="15" hidden="false" customHeight="false" outlineLevel="0" collapsed="false">
      <c r="A129" s="13" t="s">
        <v>63</v>
      </c>
      <c r="B129" s="13" t="s">
        <v>71</v>
      </c>
      <c r="C129" s="14" t="s">
        <v>34</v>
      </c>
      <c r="D129" s="15" t="n">
        <f aca="false">COUNTIFS('تفاصيل الفرص'!$B$2:$B$372,$B129,'تفاصيل الفرص'!$D$2:$D$372,$C129)</f>
        <v>2</v>
      </c>
      <c r="E129" s="13" t="n">
        <f aca="false">COUNTIFS('تفاصيل الفرص'!$B$2:$B$372,$B129,'تفاصيل الفرص'!$D$2:$D$372,$C129,'تفاصيل الفرص'!$X$2:$X$372,0)</f>
        <v>0</v>
      </c>
      <c r="F129" s="13" t="n">
        <f aca="false">COUNTIFS('سجل الأكشنات'!$B$2:$B$933,$B129,'سجل الأكشنات'!$D$2:$D$933,$C129)</f>
        <v>25</v>
      </c>
      <c r="G129" s="13" t="n">
        <f aca="false">COUNTIFS('سجل الأكشنات'!$B$2:$B$933,$B129,'سجل الأكشنات'!$D$2:$D$933,$C129,'سجل الأكشنات'!$H$2:$H$933,"تفصيلي")</f>
        <v>18</v>
      </c>
      <c r="H129" s="13" t="n">
        <f aca="false">F129-G129</f>
        <v>7</v>
      </c>
      <c r="I129" s="13" t="str">
        <f aca="false">IF($B129&gt;"2026-09-30","لا توجد بيانات بعد",IF(AND(D129=0,F129=0),"بدون نشاط","نشِط"))</f>
        <v>نشِط</v>
      </c>
    </row>
    <row r="130" customFormat="false" ht="15" hidden="false" customHeight="false" outlineLevel="0" collapsed="false">
      <c r="A130" s="5" t="s">
        <v>51</v>
      </c>
      <c r="B130" s="5" t="s">
        <v>72</v>
      </c>
      <c r="C130" s="4" t="s">
        <v>18</v>
      </c>
      <c r="D130" s="5" t="n">
        <f aca="false">COUNTIFS('تفاصيل الفرص'!$B$2:$B$372,$B130,'تفاصيل الفرص'!$D$2:$D$372,$C130)</f>
        <v>3</v>
      </c>
      <c r="E130" s="5" t="n">
        <f aca="false">COUNTIFS('تفاصيل الفرص'!$B$2:$B$372,$B130,'تفاصيل الفرص'!$D$2:$D$372,$C130,'تفاصيل الفرص'!$X$2:$X$372,0)</f>
        <v>0</v>
      </c>
      <c r="F130" s="5" t="n">
        <f aca="false">COUNTIFS('سجل الأكشنات'!$B$2:$B$933,$B130,'سجل الأكشنات'!$D$2:$D$933,$C130)</f>
        <v>5</v>
      </c>
      <c r="G130" s="5" t="n">
        <f aca="false">COUNTIFS('سجل الأكشنات'!$B$2:$B$933,$B130,'سجل الأكشنات'!$D$2:$D$933,$C130,'سجل الأكشنات'!$H$2:$H$933,"تفصيلي")</f>
        <v>4</v>
      </c>
      <c r="H130" s="5" t="n">
        <f aca="false">F130-G130</f>
        <v>1</v>
      </c>
      <c r="I130" s="12" t="str">
        <f aca="false">IF($B130&gt;"2026-09-30","لا توجد بيانات بعد",IF(AND(D130=0,F130=0),"بدون نشاط","نشِط"))</f>
        <v>نشِط</v>
      </c>
    </row>
    <row r="131" customFormat="false" ht="15" hidden="false" customHeight="false" outlineLevel="0" collapsed="false">
      <c r="A131" s="5" t="s">
        <v>51</v>
      </c>
      <c r="B131" s="5" t="s">
        <v>72</v>
      </c>
      <c r="C131" s="4" t="s">
        <v>20</v>
      </c>
      <c r="D131" s="5" t="n">
        <f aca="false">COUNTIFS('تفاصيل الفرص'!$B$2:$B$372,$B131,'تفاصيل الفرص'!$D$2:$D$372,$C131)</f>
        <v>0</v>
      </c>
      <c r="E131" s="5" t="n">
        <f aca="false">COUNTIFS('تفاصيل الفرص'!$B$2:$B$372,$B131,'تفاصيل الفرص'!$D$2:$D$372,$C131,'تفاصيل الفرص'!$X$2:$X$372,0)</f>
        <v>0</v>
      </c>
      <c r="F131" s="5" t="n">
        <f aca="false">COUNTIFS('سجل الأكشنات'!$B$2:$B$933,$B131,'سجل الأكشنات'!$D$2:$D$933,$C131)</f>
        <v>4</v>
      </c>
      <c r="G131" s="5" t="n">
        <f aca="false">COUNTIFS('سجل الأكشنات'!$B$2:$B$933,$B131,'سجل الأكشنات'!$D$2:$D$933,$C131,'سجل الأكشنات'!$H$2:$H$933,"تفصيلي")</f>
        <v>4</v>
      </c>
      <c r="H131" s="5" t="n">
        <f aca="false">F131-G131</f>
        <v>0</v>
      </c>
      <c r="I131" s="12" t="str">
        <f aca="false">IF($B131&gt;"2026-09-30","لا توجد بيانات بعد",IF(AND(D131=0,F131=0),"بدون نشاط","نشِط"))</f>
        <v>نشِط</v>
      </c>
    </row>
    <row r="132" customFormat="false" ht="15" hidden="false" customHeight="false" outlineLevel="0" collapsed="false">
      <c r="A132" s="5" t="s">
        <v>51</v>
      </c>
      <c r="B132" s="5" t="s">
        <v>72</v>
      </c>
      <c r="C132" s="4" t="s">
        <v>22</v>
      </c>
      <c r="D132" s="5" t="n">
        <f aca="false">COUNTIFS('تفاصيل الفرص'!$B$2:$B$372,$B132,'تفاصيل الفرص'!$D$2:$D$372,$C132)</f>
        <v>2</v>
      </c>
      <c r="E132" s="5" t="n">
        <f aca="false">COUNTIFS('تفاصيل الفرص'!$B$2:$B$372,$B132,'تفاصيل الفرص'!$D$2:$D$372,$C132,'تفاصيل الفرص'!$X$2:$X$372,0)</f>
        <v>0</v>
      </c>
      <c r="F132" s="5" t="n">
        <f aca="false">COUNTIFS('سجل الأكشنات'!$B$2:$B$933,$B132,'سجل الأكشنات'!$D$2:$D$933,$C132)</f>
        <v>4</v>
      </c>
      <c r="G132" s="5" t="n">
        <f aca="false">COUNTIFS('سجل الأكشنات'!$B$2:$B$933,$B132,'سجل الأكشنات'!$D$2:$D$933,$C132,'سجل الأكشنات'!$H$2:$H$933,"تفصيلي")</f>
        <v>3</v>
      </c>
      <c r="H132" s="5" t="n">
        <f aca="false">F132-G132</f>
        <v>1</v>
      </c>
      <c r="I132" s="12" t="str">
        <f aca="false">IF($B132&gt;"2026-09-30","لا توجد بيانات بعد",IF(AND(D132=0,F132=0),"بدون نشاط","نشِط"))</f>
        <v>نشِط</v>
      </c>
    </row>
    <row r="133" customFormat="false" ht="15" hidden="false" customHeight="false" outlineLevel="0" collapsed="false">
      <c r="A133" s="5" t="s">
        <v>51</v>
      </c>
      <c r="B133" s="5" t="s">
        <v>72</v>
      </c>
      <c r="C133" s="4" t="s">
        <v>24</v>
      </c>
      <c r="D133" s="5" t="n">
        <f aca="false">COUNTIFS('تفاصيل الفرص'!$B$2:$B$372,$B133,'تفاصيل الفرص'!$D$2:$D$372,$C133)</f>
        <v>0</v>
      </c>
      <c r="E133" s="5" t="n">
        <f aca="false">COUNTIFS('تفاصيل الفرص'!$B$2:$B$372,$B133,'تفاصيل الفرص'!$D$2:$D$372,$C133,'تفاصيل الفرص'!$X$2:$X$372,0)</f>
        <v>0</v>
      </c>
      <c r="F133" s="5" t="n">
        <f aca="false">COUNTIFS('سجل الأكشنات'!$B$2:$B$933,$B133,'سجل الأكشنات'!$D$2:$D$933,$C133)</f>
        <v>2</v>
      </c>
      <c r="G133" s="5" t="n">
        <f aca="false">COUNTIFS('سجل الأكشنات'!$B$2:$B$933,$B133,'سجل الأكشنات'!$D$2:$D$933,$C133,'سجل الأكشنات'!$H$2:$H$933,"تفصيلي")</f>
        <v>2</v>
      </c>
      <c r="H133" s="5" t="n">
        <f aca="false">F133-G133</f>
        <v>0</v>
      </c>
      <c r="I133" s="12" t="str">
        <f aca="false">IF($B133&gt;"2026-09-30","لا توجد بيانات بعد",IF(AND(D133=0,F133=0),"بدون نشاط","نشِط"))</f>
        <v>نشِط</v>
      </c>
    </row>
    <row r="134" customFormat="false" ht="15" hidden="false" customHeight="false" outlineLevel="0" collapsed="false">
      <c r="A134" s="5" t="s">
        <v>51</v>
      </c>
      <c r="B134" s="5" t="s">
        <v>72</v>
      </c>
      <c r="C134" s="4" t="s">
        <v>26</v>
      </c>
      <c r="D134" s="5" t="n">
        <f aca="false">COUNTIFS('تفاصيل الفرص'!$B$2:$B$372,$B134,'تفاصيل الفرص'!$D$2:$D$372,$C134)</f>
        <v>0</v>
      </c>
      <c r="E134" s="5" t="n">
        <f aca="false">COUNTIFS('تفاصيل الفرص'!$B$2:$B$372,$B134,'تفاصيل الفرص'!$D$2:$D$372,$C134,'تفاصيل الفرص'!$X$2:$X$372,0)</f>
        <v>0</v>
      </c>
      <c r="F134" s="5" t="n">
        <f aca="false">COUNTIFS('سجل الأكشنات'!$B$2:$B$933,$B134,'سجل الأكشنات'!$D$2:$D$933,$C134)</f>
        <v>0</v>
      </c>
      <c r="G134" s="5" t="n">
        <f aca="false">COUNTIFS('سجل الأكشنات'!$B$2:$B$933,$B134,'سجل الأكشنات'!$D$2:$D$933,$C134,'سجل الأكشنات'!$H$2:$H$933,"تفصيلي")</f>
        <v>0</v>
      </c>
      <c r="H134" s="5" t="n">
        <f aca="false">F134-G134</f>
        <v>0</v>
      </c>
      <c r="I134" s="12" t="str">
        <f aca="false">IF($B134&gt;"2026-09-30","لا توجد بيانات بعد",IF(AND(D134=0,F134=0),"بدون نشاط","نشِط"))</f>
        <v>بدون نشاط</v>
      </c>
    </row>
    <row r="135" customFormat="false" ht="15" hidden="false" customHeight="false" outlineLevel="0" collapsed="false">
      <c r="A135" s="5" t="s">
        <v>51</v>
      </c>
      <c r="B135" s="5" t="s">
        <v>72</v>
      </c>
      <c r="C135" s="4" t="s">
        <v>28</v>
      </c>
      <c r="D135" s="5" t="n">
        <f aca="false">COUNTIFS('تفاصيل الفرص'!$B$2:$B$372,$B135,'تفاصيل الفرص'!$D$2:$D$372,$C135)</f>
        <v>0</v>
      </c>
      <c r="E135" s="5" t="n">
        <f aca="false">COUNTIFS('تفاصيل الفرص'!$B$2:$B$372,$B135,'تفاصيل الفرص'!$D$2:$D$372,$C135,'تفاصيل الفرص'!$X$2:$X$372,0)</f>
        <v>0</v>
      </c>
      <c r="F135" s="5" t="n">
        <f aca="false">COUNTIFS('سجل الأكشنات'!$B$2:$B$933,$B135,'سجل الأكشنات'!$D$2:$D$933,$C135)</f>
        <v>4</v>
      </c>
      <c r="G135" s="5" t="n">
        <f aca="false">COUNTIFS('سجل الأكشنات'!$B$2:$B$933,$B135,'سجل الأكشنات'!$D$2:$D$933,$C135,'سجل الأكشنات'!$H$2:$H$933,"تفصيلي")</f>
        <v>4</v>
      </c>
      <c r="H135" s="5" t="n">
        <f aca="false">F135-G135</f>
        <v>0</v>
      </c>
      <c r="I135" s="12" t="str">
        <f aca="false">IF($B135&gt;"2026-09-30","لا توجد بيانات بعد",IF(AND(D135=0,F135=0),"بدون نشاط","نشِط"))</f>
        <v>نشِط</v>
      </c>
    </row>
    <row r="136" customFormat="false" ht="15" hidden="false" customHeight="false" outlineLevel="0" collapsed="false">
      <c r="A136" s="5" t="s">
        <v>51</v>
      </c>
      <c r="B136" s="5" t="s">
        <v>72</v>
      </c>
      <c r="C136" s="4" t="s">
        <v>30</v>
      </c>
      <c r="D136" s="5" t="n">
        <f aca="false">COUNTIFS('تفاصيل الفرص'!$B$2:$B$372,$B136,'تفاصيل الفرص'!$D$2:$D$372,$C136)</f>
        <v>6</v>
      </c>
      <c r="E136" s="5" t="n">
        <f aca="false">COUNTIFS('تفاصيل الفرص'!$B$2:$B$372,$B136,'تفاصيل الفرص'!$D$2:$D$372,$C136,'تفاصيل الفرص'!$X$2:$X$372,0)</f>
        <v>0</v>
      </c>
      <c r="F136" s="5" t="n">
        <f aca="false">COUNTIFS('سجل الأكشنات'!$B$2:$B$933,$B136,'سجل الأكشنات'!$D$2:$D$933,$C136)</f>
        <v>6</v>
      </c>
      <c r="G136" s="5" t="n">
        <f aca="false">COUNTIFS('سجل الأكشنات'!$B$2:$B$933,$B136,'سجل الأكشنات'!$D$2:$D$933,$C136,'سجل الأكشنات'!$H$2:$H$933,"تفصيلي")</f>
        <v>6</v>
      </c>
      <c r="H136" s="5" t="n">
        <f aca="false">F136-G136</f>
        <v>0</v>
      </c>
      <c r="I136" s="12" t="str">
        <f aca="false">IF($B136&gt;"2026-09-30","لا توجد بيانات بعد",IF(AND(D136=0,F136=0),"بدون نشاط","نشِط"))</f>
        <v>نشِط</v>
      </c>
    </row>
    <row r="137" customFormat="false" ht="15" hidden="false" customHeight="false" outlineLevel="0" collapsed="false">
      <c r="A137" s="5" t="s">
        <v>51</v>
      </c>
      <c r="B137" s="5" t="s">
        <v>72</v>
      </c>
      <c r="C137" s="4" t="s">
        <v>32</v>
      </c>
      <c r="D137" s="5" t="n">
        <f aca="false">COUNTIFS('تفاصيل الفرص'!$B$2:$B$372,$B137,'تفاصيل الفرص'!$D$2:$D$372,$C137)</f>
        <v>1</v>
      </c>
      <c r="E137" s="5" t="n">
        <f aca="false">COUNTIFS('تفاصيل الفرص'!$B$2:$B$372,$B137,'تفاصيل الفرص'!$D$2:$D$372,$C137,'تفاصيل الفرص'!$X$2:$X$372,0)</f>
        <v>0</v>
      </c>
      <c r="F137" s="5" t="n">
        <f aca="false">COUNTIFS('سجل الأكشنات'!$B$2:$B$933,$B137,'سجل الأكشنات'!$D$2:$D$933,$C137)</f>
        <v>3</v>
      </c>
      <c r="G137" s="5" t="n">
        <f aca="false">COUNTIFS('سجل الأكشنات'!$B$2:$B$933,$B137,'سجل الأكشنات'!$D$2:$D$933,$C137,'سجل الأكشنات'!$H$2:$H$933,"تفصيلي")</f>
        <v>1</v>
      </c>
      <c r="H137" s="5" t="n">
        <f aca="false">F137-G137</f>
        <v>2</v>
      </c>
      <c r="I137" s="12" t="str">
        <f aca="false">IF($B137&gt;"2026-09-30","لا توجد بيانات بعد",IF(AND(D137=0,F137=0),"بدون نشاط","نشِط"))</f>
        <v>نشِط</v>
      </c>
    </row>
    <row r="138" customFormat="false" ht="15" hidden="false" customHeight="false" outlineLevel="0" collapsed="false">
      <c r="A138" s="5" t="s">
        <v>51</v>
      </c>
      <c r="B138" s="5" t="s">
        <v>72</v>
      </c>
      <c r="C138" s="4" t="s">
        <v>34</v>
      </c>
      <c r="D138" s="5" t="n">
        <f aca="false">COUNTIFS('تفاصيل الفرص'!$B$2:$B$372,$B138,'تفاصيل الفرص'!$D$2:$D$372,$C138)</f>
        <v>0</v>
      </c>
      <c r="E138" s="5" t="n">
        <f aca="false">COUNTIFS('تفاصيل الفرص'!$B$2:$B$372,$B138,'تفاصيل الفرص'!$D$2:$D$372,$C138,'تفاصيل الفرص'!$X$2:$X$372,0)</f>
        <v>0</v>
      </c>
      <c r="F138" s="5" t="n">
        <f aca="false">COUNTIFS('سجل الأكشنات'!$B$2:$B$933,$B138,'سجل الأكشنات'!$D$2:$D$933,$C138)</f>
        <v>9</v>
      </c>
      <c r="G138" s="5" t="n">
        <f aca="false">COUNTIFS('سجل الأكشنات'!$B$2:$B$933,$B138,'سجل الأكشنات'!$D$2:$D$933,$C138,'سجل الأكشنات'!$H$2:$H$933,"تفصيلي")</f>
        <v>9</v>
      </c>
      <c r="H138" s="5" t="n">
        <f aca="false">F138-G138</f>
        <v>0</v>
      </c>
      <c r="I138" s="12" t="str">
        <f aca="false">IF($B138&gt;"2026-09-30","لا توجد بيانات بعد",IF(AND(D138=0,F138=0),"بدون نشاط","نشِط"))</f>
        <v>نشِط</v>
      </c>
    </row>
    <row r="139" customFormat="false" ht="15" hidden="false" customHeight="false" outlineLevel="0" collapsed="false">
      <c r="A139" s="13" t="s">
        <v>53</v>
      </c>
      <c r="B139" s="13" t="s">
        <v>73</v>
      </c>
      <c r="C139" s="14" t="s">
        <v>18</v>
      </c>
      <c r="D139" s="15" t="n">
        <f aca="false">COUNTIFS('تفاصيل الفرص'!$B$2:$B$372,$B139,'تفاصيل الفرص'!$D$2:$D$372,$C139)</f>
        <v>2</v>
      </c>
      <c r="E139" s="13" t="n">
        <f aca="false">COUNTIFS('تفاصيل الفرص'!$B$2:$B$372,$B139,'تفاصيل الفرص'!$D$2:$D$372,$C139,'تفاصيل الفرص'!$X$2:$X$372,0)</f>
        <v>0</v>
      </c>
      <c r="F139" s="13" t="n">
        <f aca="false">COUNTIFS('سجل الأكشنات'!$B$2:$B$933,$B139,'سجل الأكشنات'!$D$2:$D$933,$C139)</f>
        <v>6</v>
      </c>
      <c r="G139" s="13" t="n">
        <f aca="false">COUNTIFS('سجل الأكشنات'!$B$2:$B$933,$B139,'سجل الأكشنات'!$D$2:$D$933,$C139,'سجل الأكشنات'!$H$2:$H$933,"تفصيلي")</f>
        <v>5</v>
      </c>
      <c r="H139" s="13" t="n">
        <f aca="false">F139-G139</f>
        <v>1</v>
      </c>
      <c r="I139" s="13" t="str">
        <f aca="false">IF($B139&gt;"2026-09-30","لا توجد بيانات بعد",IF(AND(D139=0,F139=0),"بدون نشاط","نشِط"))</f>
        <v>نشِط</v>
      </c>
    </row>
    <row r="140" customFormat="false" ht="15" hidden="false" customHeight="false" outlineLevel="0" collapsed="false">
      <c r="A140" s="13" t="s">
        <v>53</v>
      </c>
      <c r="B140" s="13" t="s">
        <v>73</v>
      </c>
      <c r="C140" s="14" t="s">
        <v>20</v>
      </c>
      <c r="D140" s="15" t="n">
        <f aca="false">COUNTIFS('تفاصيل الفرص'!$B$2:$B$372,$B140,'تفاصيل الفرص'!$D$2:$D$372,$C140)</f>
        <v>5</v>
      </c>
      <c r="E140" s="13" t="n">
        <f aca="false">COUNTIFS('تفاصيل الفرص'!$B$2:$B$372,$B140,'تفاصيل الفرص'!$D$2:$D$372,$C140,'تفاصيل الفرص'!$X$2:$X$372,0)</f>
        <v>0</v>
      </c>
      <c r="F140" s="13" t="n">
        <f aca="false">COUNTIFS('سجل الأكشنات'!$B$2:$B$933,$B140,'سجل الأكشنات'!$D$2:$D$933,$C140)</f>
        <v>5</v>
      </c>
      <c r="G140" s="13" t="n">
        <f aca="false">COUNTIFS('سجل الأكشنات'!$B$2:$B$933,$B140,'سجل الأكشنات'!$D$2:$D$933,$C140,'سجل الأكشنات'!$H$2:$H$933,"تفصيلي")</f>
        <v>5</v>
      </c>
      <c r="H140" s="13" t="n">
        <f aca="false">F140-G140</f>
        <v>0</v>
      </c>
      <c r="I140" s="13" t="str">
        <f aca="false">IF($B140&gt;"2026-09-30","لا توجد بيانات بعد",IF(AND(D140=0,F140=0),"بدون نشاط","نشِط"))</f>
        <v>نشِط</v>
      </c>
    </row>
    <row r="141" customFormat="false" ht="15" hidden="false" customHeight="false" outlineLevel="0" collapsed="false">
      <c r="A141" s="13" t="s">
        <v>53</v>
      </c>
      <c r="B141" s="13" t="s">
        <v>73</v>
      </c>
      <c r="C141" s="14" t="s">
        <v>22</v>
      </c>
      <c r="D141" s="15" t="n">
        <f aca="false">COUNTIFS('تفاصيل الفرص'!$B$2:$B$372,$B141,'تفاصيل الفرص'!$D$2:$D$372,$C141)</f>
        <v>2</v>
      </c>
      <c r="E141" s="13" t="n">
        <f aca="false">COUNTIFS('تفاصيل الفرص'!$B$2:$B$372,$B141,'تفاصيل الفرص'!$D$2:$D$372,$C141,'تفاصيل الفرص'!$X$2:$X$372,0)</f>
        <v>0</v>
      </c>
      <c r="F141" s="13" t="n">
        <f aca="false">COUNTIFS('سجل الأكشنات'!$B$2:$B$933,$B141,'سجل الأكشنات'!$D$2:$D$933,$C141)</f>
        <v>4</v>
      </c>
      <c r="G141" s="13" t="n">
        <f aca="false">COUNTIFS('سجل الأكشنات'!$B$2:$B$933,$B141,'سجل الأكشنات'!$D$2:$D$933,$C141,'سجل الأكشنات'!$H$2:$H$933,"تفصيلي")</f>
        <v>2</v>
      </c>
      <c r="H141" s="13" t="n">
        <f aca="false">F141-G141</f>
        <v>2</v>
      </c>
      <c r="I141" s="13" t="str">
        <f aca="false">IF($B141&gt;"2026-09-30","لا توجد بيانات بعد",IF(AND(D141=0,F141=0),"بدون نشاط","نشِط"))</f>
        <v>نشِط</v>
      </c>
    </row>
    <row r="142" customFormat="false" ht="15" hidden="false" customHeight="false" outlineLevel="0" collapsed="false">
      <c r="A142" s="13" t="s">
        <v>53</v>
      </c>
      <c r="B142" s="13" t="s">
        <v>73</v>
      </c>
      <c r="C142" s="14" t="s">
        <v>24</v>
      </c>
      <c r="D142" s="15" t="n">
        <f aca="false">COUNTIFS('تفاصيل الفرص'!$B$2:$B$372,$B142,'تفاصيل الفرص'!$D$2:$D$372,$C142)</f>
        <v>0</v>
      </c>
      <c r="E142" s="13" t="n">
        <f aca="false">COUNTIFS('تفاصيل الفرص'!$B$2:$B$372,$B142,'تفاصيل الفرص'!$D$2:$D$372,$C142,'تفاصيل الفرص'!$X$2:$X$372,0)</f>
        <v>0</v>
      </c>
      <c r="F142" s="13" t="n">
        <f aca="false">COUNTIFS('سجل الأكشنات'!$B$2:$B$933,$B142,'سجل الأكشنات'!$D$2:$D$933,$C142)</f>
        <v>0</v>
      </c>
      <c r="G142" s="13" t="n">
        <f aca="false">COUNTIFS('سجل الأكشنات'!$B$2:$B$933,$B142,'سجل الأكشنات'!$D$2:$D$933,$C142,'سجل الأكشنات'!$H$2:$H$933,"تفصيلي")</f>
        <v>0</v>
      </c>
      <c r="H142" s="13" t="n">
        <f aca="false">F142-G142</f>
        <v>0</v>
      </c>
      <c r="I142" s="13" t="str">
        <f aca="false">IF($B142&gt;"2026-09-30","لا توجد بيانات بعد",IF(AND(D142=0,F142=0),"بدون نشاط","نشِط"))</f>
        <v>بدون نشاط</v>
      </c>
    </row>
    <row r="143" customFormat="false" ht="15" hidden="false" customHeight="false" outlineLevel="0" collapsed="false">
      <c r="A143" s="13" t="s">
        <v>53</v>
      </c>
      <c r="B143" s="13" t="s">
        <v>73</v>
      </c>
      <c r="C143" s="14" t="s">
        <v>26</v>
      </c>
      <c r="D143" s="15" t="n">
        <f aca="false">COUNTIFS('تفاصيل الفرص'!$B$2:$B$372,$B143,'تفاصيل الفرص'!$D$2:$D$372,$C143)</f>
        <v>0</v>
      </c>
      <c r="E143" s="13" t="n">
        <f aca="false">COUNTIFS('تفاصيل الفرص'!$B$2:$B$372,$B143,'تفاصيل الفرص'!$D$2:$D$372,$C143,'تفاصيل الفرص'!$X$2:$X$372,0)</f>
        <v>0</v>
      </c>
      <c r="F143" s="13" t="n">
        <f aca="false">COUNTIFS('سجل الأكشنات'!$B$2:$B$933,$B143,'سجل الأكشنات'!$D$2:$D$933,$C143)</f>
        <v>0</v>
      </c>
      <c r="G143" s="13" t="n">
        <f aca="false">COUNTIFS('سجل الأكشنات'!$B$2:$B$933,$B143,'سجل الأكشنات'!$D$2:$D$933,$C143,'سجل الأكشنات'!$H$2:$H$933,"تفصيلي")</f>
        <v>0</v>
      </c>
      <c r="H143" s="13" t="n">
        <f aca="false">F143-G143</f>
        <v>0</v>
      </c>
      <c r="I143" s="13" t="str">
        <f aca="false">IF($B143&gt;"2026-09-30","لا توجد بيانات بعد",IF(AND(D143=0,F143=0),"بدون نشاط","نشِط"))</f>
        <v>بدون نشاط</v>
      </c>
    </row>
    <row r="144" customFormat="false" ht="15" hidden="false" customHeight="false" outlineLevel="0" collapsed="false">
      <c r="A144" s="13" t="s">
        <v>53</v>
      </c>
      <c r="B144" s="13" t="s">
        <v>73</v>
      </c>
      <c r="C144" s="14" t="s">
        <v>28</v>
      </c>
      <c r="D144" s="15" t="n">
        <f aca="false">COUNTIFS('تفاصيل الفرص'!$B$2:$B$372,$B144,'تفاصيل الفرص'!$D$2:$D$372,$C144)</f>
        <v>3</v>
      </c>
      <c r="E144" s="13" t="n">
        <f aca="false">COUNTIFS('تفاصيل الفرص'!$B$2:$B$372,$B144,'تفاصيل الفرص'!$D$2:$D$372,$C144,'تفاصيل الفرص'!$X$2:$X$372,0)</f>
        <v>0</v>
      </c>
      <c r="F144" s="13" t="n">
        <f aca="false">COUNTIFS('سجل الأكشنات'!$B$2:$B$933,$B144,'سجل الأكشنات'!$D$2:$D$933,$C144)</f>
        <v>5</v>
      </c>
      <c r="G144" s="13" t="n">
        <f aca="false">COUNTIFS('سجل الأكشنات'!$B$2:$B$933,$B144,'سجل الأكشنات'!$D$2:$D$933,$C144,'سجل الأكشنات'!$H$2:$H$933,"تفصيلي")</f>
        <v>5</v>
      </c>
      <c r="H144" s="13" t="n">
        <f aca="false">F144-G144</f>
        <v>0</v>
      </c>
      <c r="I144" s="13" t="str">
        <f aca="false">IF($B144&gt;"2026-09-30","لا توجد بيانات بعد",IF(AND(D144=0,F144=0),"بدون نشاط","نشِط"))</f>
        <v>نشِط</v>
      </c>
    </row>
    <row r="145" customFormat="false" ht="15" hidden="false" customHeight="false" outlineLevel="0" collapsed="false">
      <c r="A145" s="13" t="s">
        <v>53</v>
      </c>
      <c r="B145" s="13" t="s">
        <v>73</v>
      </c>
      <c r="C145" s="14" t="s">
        <v>30</v>
      </c>
      <c r="D145" s="15" t="n">
        <f aca="false">COUNTIFS('تفاصيل الفرص'!$B$2:$B$372,$B145,'تفاصيل الفرص'!$D$2:$D$372,$C145)</f>
        <v>6</v>
      </c>
      <c r="E145" s="13" t="n">
        <f aca="false">COUNTIFS('تفاصيل الفرص'!$B$2:$B$372,$B145,'تفاصيل الفرص'!$D$2:$D$372,$C145,'تفاصيل الفرص'!$X$2:$X$372,0)</f>
        <v>0</v>
      </c>
      <c r="F145" s="13" t="n">
        <f aca="false">COUNTIFS('سجل الأكشنات'!$B$2:$B$933,$B145,'سجل الأكشنات'!$D$2:$D$933,$C145)</f>
        <v>6</v>
      </c>
      <c r="G145" s="13" t="n">
        <f aca="false">COUNTIFS('سجل الأكشنات'!$B$2:$B$933,$B145,'سجل الأكشنات'!$D$2:$D$933,$C145,'سجل الأكشنات'!$H$2:$H$933,"تفصيلي")</f>
        <v>6</v>
      </c>
      <c r="H145" s="13" t="n">
        <f aca="false">F145-G145</f>
        <v>0</v>
      </c>
      <c r="I145" s="13" t="str">
        <f aca="false">IF($B145&gt;"2026-09-30","لا توجد بيانات بعد",IF(AND(D145=0,F145=0),"بدون نشاط","نشِط"))</f>
        <v>نشِط</v>
      </c>
    </row>
    <row r="146" customFormat="false" ht="15" hidden="false" customHeight="false" outlineLevel="0" collapsed="false">
      <c r="A146" s="13" t="s">
        <v>53</v>
      </c>
      <c r="B146" s="13" t="s">
        <v>73</v>
      </c>
      <c r="C146" s="14" t="s">
        <v>32</v>
      </c>
      <c r="D146" s="15" t="n">
        <f aca="false">COUNTIFS('تفاصيل الفرص'!$B$2:$B$372,$B146,'تفاصيل الفرص'!$D$2:$D$372,$C146)</f>
        <v>0</v>
      </c>
      <c r="E146" s="13" t="n">
        <f aca="false">COUNTIFS('تفاصيل الفرص'!$B$2:$B$372,$B146,'تفاصيل الفرص'!$D$2:$D$372,$C146,'تفاصيل الفرص'!$X$2:$X$372,0)</f>
        <v>0</v>
      </c>
      <c r="F146" s="13" t="n">
        <f aca="false">COUNTIFS('سجل الأكشنات'!$B$2:$B$933,$B146,'سجل الأكشنات'!$D$2:$D$933,$C146)</f>
        <v>0</v>
      </c>
      <c r="G146" s="13" t="n">
        <f aca="false">COUNTIFS('سجل الأكشنات'!$B$2:$B$933,$B146,'سجل الأكشنات'!$D$2:$D$933,$C146,'سجل الأكشنات'!$H$2:$H$933,"تفصيلي")</f>
        <v>0</v>
      </c>
      <c r="H146" s="13" t="n">
        <f aca="false">F146-G146</f>
        <v>0</v>
      </c>
      <c r="I146" s="13" t="str">
        <f aca="false">IF($B146&gt;"2026-09-30","لا توجد بيانات بعد",IF(AND(D146=0,F146=0),"بدون نشاط","نشِط"))</f>
        <v>بدون نشاط</v>
      </c>
    </row>
    <row r="147" customFormat="false" ht="15" hidden="false" customHeight="false" outlineLevel="0" collapsed="false">
      <c r="A147" s="13" t="s">
        <v>53</v>
      </c>
      <c r="B147" s="13" t="s">
        <v>73</v>
      </c>
      <c r="C147" s="14" t="s">
        <v>34</v>
      </c>
      <c r="D147" s="15" t="n">
        <f aca="false">COUNTIFS('تفاصيل الفرص'!$B$2:$B$372,$B147,'تفاصيل الفرص'!$D$2:$D$372,$C147)</f>
        <v>4</v>
      </c>
      <c r="E147" s="13" t="n">
        <f aca="false">COUNTIFS('تفاصيل الفرص'!$B$2:$B$372,$B147,'تفاصيل الفرص'!$D$2:$D$372,$C147,'تفاصيل الفرص'!$X$2:$X$372,0)</f>
        <v>0</v>
      </c>
      <c r="F147" s="13" t="n">
        <f aca="false">COUNTIFS('سجل الأكشنات'!$B$2:$B$933,$B147,'سجل الأكشنات'!$D$2:$D$933,$C147)</f>
        <v>27</v>
      </c>
      <c r="G147" s="13" t="n">
        <f aca="false">COUNTIFS('سجل الأكشنات'!$B$2:$B$933,$B147,'سجل الأكشنات'!$D$2:$D$933,$C147,'سجل الأكشنات'!$H$2:$H$933,"تفصيلي")</f>
        <v>24</v>
      </c>
      <c r="H147" s="13" t="n">
        <f aca="false">F147-G147</f>
        <v>3</v>
      </c>
      <c r="I147" s="13" t="str">
        <f aca="false">IF($B147&gt;"2026-09-30","لا توجد بيانات بعد",IF(AND(D147=0,F147=0),"بدون نشاط","نشِط"))</f>
        <v>نشِط</v>
      </c>
    </row>
    <row r="148" customFormat="false" ht="15" hidden="false" customHeight="false" outlineLevel="0" collapsed="false">
      <c r="A148" s="5" t="s">
        <v>55</v>
      </c>
      <c r="B148" s="5" t="s">
        <v>74</v>
      </c>
      <c r="C148" s="4" t="s">
        <v>18</v>
      </c>
      <c r="D148" s="5" t="n">
        <f aca="false">COUNTIFS('تفاصيل الفرص'!$B$2:$B$372,$B148,'تفاصيل الفرص'!$D$2:$D$372,$C148)</f>
        <v>0</v>
      </c>
      <c r="E148" s="5" t="n">
        <f aca="false">COUNTIFS('تفاصيل الفرص'!$B$2:$B$372,$B148,'تفاصيل الفرص'!$D$2:$D$372,$C148,'تفاصيل الفرص'!$X$2:$X$372,0)</f>
        <v>0</v>
      </c>
      <c r="F148" s="5" t="n">
        <f aca="false">COUNTIFS('سجل الأكشنات'!$B$2:$B$933,$B148,'سجل الأكشنات'!$D$2:$D$933,$C148)</f>
        <v>0</v>
      </c>
      <c r="G148" s="5" t="n">
        <f aca="false">COUNTIFS('سجل الأكشنات'!$B$2:$B$933,$B148,'سجل الأكشنات'!$D$2:$D$933,$C148,'سجل الأكشنات'!$H$2:$H$933,"تفصيلي")</f>
        <v>0</v>
      </c>
      <c r="H148" s="5" t="n">
        <f aca="false">F148-G148</f>
        <v>0</v>
      </c>
      <c r="I148" s="12" t="str">
        <f aca="false">IF($B148&gt;"2026-09-30","لا توجد بيانات بعد",IF(AND(D148=0,F148=0),"بدون نشاط","نشِط"))</f>
        <v>بدون نشاط</v>
      </c>
    </row>
    <row r="149" customFormat="false" ht="15" hidden="false" customHeight="false" outlineLevel="0" collapsed="false">
      <c r="A149" s="5" t="s">
        <v>55</v>
      </c>
      <c r="B149" s="5" t="s">
        <v>74</v>
      </c>
      <c r="C149" s="4" t="s">
        <v>20</v>
      </c>
      <c r="D149" s="5" t="n">
        <f aca="false">COUNTIFS('تفاصيل الفرص'!$B$2:$B$372,$B149,'تفاصيل الفرص'!$D$2:$D$372,$C149)</f>
        <v>2</v>
      </c>
      <c r="E149" s="5" t="n">
        <f aca="false">COUNTIFS('تفاصيل الفرص'!$B$2:$B$372,$B149,'تفاصيل الفرص'!$D$2:$D$372,$C149,'تفاصيل الفرص'!$X$2:$X$372,0)</f>
        <v>0</v>
      </c>
      <c r="F149" s="5" t="n">
        <f aca="false">COUNTIFS('سجل الأكشنات'!$B$2:$B$933,$B149,'سجل الأكشنات'!$D$2:$D$933,$C149)</f>
        <v>5</v>
      </c>
      <c r="G149" s="5" t="n">
        <f aca="false">COUNTIFS('سجل الأكشنات'!$B$2:$B$933,$B149,'سجل الأكشنات'!$D$2:$D$933,$C149,'سجل الأكشنات'!$H$2:$H$933,"تفصيلي")</f>
        <v>5</v>
      </c>
      <c r="H149" s="5" t="n">
        <f aca="false">F149-G149</f>
        <v>0</v>
      </c>
      <c r="I149" s="12" t="str">
        <f aca="false">IF($B149&gt;"2026-09-30","لا توجد بيانات بعد",IF(AND(D149=0,F149=0),"بدون نشاط","نشِط"))</f>
        <v>نشِط</v>
      </c>
    </row>
    <row r="150" customFormat="false" ht="15" hidden="false" customHeight="false" outlineLevel="0" collapsed="false">
      <c r="A150" s="5" t="s">
        <v>55</v>
      </c>
      <c r="B150" s="5" t="s">
        <v>74</v>
      </c>
      <c r="C150" s="4" t="s">
        <v>22</v>
      </c>
      <c r="D150" s="5" t="n">
        <f aca="false">COUNTIFS('تفاصيل الفرص'!$B$2:$B$372,$B150,'تفاصيل الفرص'!$D$2:$D$372,$C150)</f>
        <v>3</v>
      </c>
      <c r="E150" s="5" t="n">
        <f aca="false">COUNTIFS('تفاصيل الفرص'!$B$2:$B$372,$B150,'تفاصيل الفرص'!$D$2:$D$372,$C150,'تفاصيل الفرص'!$X$2:$X$372,0)</f>
        <v>0</v>
      </c>
      <c r="F150" s="5" t="n">
        <f aca="false">COUNTIFS('سجل الأكشنات'!$B$2:$B$933,$B150,'سجل الأكشنات'!$D$2:$D$933,$C150)</f>
        <v>4</v>
      </c>
      <c r="G150" s="5" t="n">
        <f aca="false">COUNTIFS('سجل الأكشنات'!$B$2:$B$933,$B150,'سجل الأكشنات'!$D$2:$D$933,$C150,'سجل الأكشنات'!$H$2:$H$933,"تفصيلي")</f>
        <v>3</v>
      </c>
      <c r="H150" s="5" t="n">
        <f aca="false">F150-G150</f>
        <v>1</v>
      </c>
      <c r="I150" s="12" t="str">
        <f aca="false">IF($B150&gt;"2026-09-30","لا توجد بيانات بعد",IF(AND(D150=0,F150=0),"بدون نشاط","نشِط"))</f>
        <v>نشِط</v>
      </c>
    </row>
    <row r="151" customFormat="false" ht="15" hidden="false" customHeight="false" outlineLevel="0" collapsed="false">
      <c r="A151" s="5" t="s">
        <v>55</v>
      </c>
      <c r="B151" s="5" t="s">
        <v>74</v>
      </c>
      <c r="C151" s="4" t="s">
        <v>24</v>
      </c>
      <c r="D151" s="5" t="n">
        <f aca="false">COUNTIFS('تفاصيل الفرص'!$B$2:$B$372,$B151,'تفاصيل الفرص'!$D$2:$D$372,$C151)</f>
        <v>0</v>
      </c>
      <c r="E151" s="5" t="n">
        <f aca="false">COUNTIFS('تفاصيل الفرص'!$B$2:$B$372,$B151,'تفاصيل الفرص'!$D$2:$D$372,$C151,'تفاصيل الفرص'!$X$2:$X$372,0)</f>
        <v>0</v>
      </c>
      <c r="F151" s="5" t="n">
        <f aca="false">COUNTIFS('سجل الأكشنات'!$B$2:$B$933,$B151,'سجل الأكشنات'!$D$2:$D$933,$C151)</f>
        <v>3</v>
      </c>
      <c r="G151" s="5" t="n">
        <f aca="false">COUNTIFS('سجل الأكشنات'!$B$2:$B$933,$B151,'سجل الأكشنات'!$D$2:$D$933,$C151,'سجل الأكشنات'!$H$2:$H$933,"تفصيلي")</f>
        <v>3</v>
      </c>
      <c r="H151" s="5" t="n">
        <f aca="false">F151-G151</f>
        <v>0</v>
      </c>
      <c r="I151" s="12" t="str">
        <f aca="false">IF($B151&gt;"2026-09-30","لا توجد بيانات بعد",IF(AND(D151=0,F151=0),"بدون نشاط","نشِط"))</f>
        <v>نشِط</v>
      </c>
    </row>
    <row r="152" customFormat="false" ht="15" hidden="false" customHeight="false" outlineLevel="0" collapsed="false">
      <c r="A152" s="5" t="s">
        <v>55</v>
      </c>
      <c r="B152" s="5" t="s">
        <v>74</v>
      </c>
      <c r="C152" s="4" t="s">
        <v>26</v>
      </c>
      <c r="D152" s="5" t="n">
        <f aca="false">COUNTIFS('تفاصيل الفرص'!$B$2:$B$372,$B152,'تفاصيل الفرص'!$D$2:$D$372,$C152)</f>
        <v>0</v>
      </c>
      <c r="E152" s="5" t="n">
        <f aca="false">COUNTIFS('تفاصيل الفرص'!$B$2:$B$372,$B152,'تفاصيل الفرص'!$D$2:$D$372,$C152,'تفاصيل الفرص'!$X$2:$X$372,0)</f>
        <v>0</v>
      </c>
      <c r="F152" s="5" t="n">
        <f aca="false">COUNTIFS('سجل الأكشنات'!$B$2:$B$933,$B152,'سجل الأكشنات'!$D$2:$D$933,$C152)</f>
        <v>0</v>
      </c>
      <c r="G152" s="5" t="n">
        <f aca="false">COUNTIFS('سجل الأكشنات'!$B$2:$B$933,$B152,'سجل الأكشنات'!$D$2:$D$933,$C152,'سجل الأكشنات'!$H$2:$H$933,"تفصيلي")</f>
        <v>0</v>
      </c>
      <c r="H152" s="5" t="n">
        <f aca="false">F152-G152</f>
        <v>0</v>
      </c>
      <c r="I152" s="12" t="str">
        <f aca="false">IF($B152&gt;"2026-09-30","لا توجد بيانات بعد",IF(AND(D152=0,F152=0),"بدون نشاط","نشِط"))</f>
        <v>بدون نشاط</v>
      </c>
    </row>
    <row r="153" customFormat="false" ht="15" hidden="false" customHeight="false" outlineLevel="0" collapsed="false">
      <c r="A153" s="5" t="s">
        <v>55</v>
      </c>
      <c r="B153" s="5" t="s">
        <v>74</v>
      </c>
      <c r="C153" s="4" t="s">
        <v>28</v>
      </c>
      <c r="D153" s="5" t="n">
        <f aca="false">COUNTIFS('تفاصيل الفرص'!$B$2:$B$372,$B153,'تفاصيل الفرص'!$D$2:$D$372,$C153)</f>
        <v>0</v>
      </c>
      <c r="E153" s="5" t="n">
        <f aca="false">COUNTIFS('تفاصيل الفرص'!$B$2:$B$372,$B153,'تفاصيل الفرص'!$D$2:$D$372,$C153,'تفاصيل الفرص'!$X$2:$X$372,0)</f>
        <v>0</v>
      </c>
      <c r="F153" s="5" t="n">
        <f aca="false">COUNTIFS('سجل الأكشنات'!$B$2:$B$933,$B153,'سجل الأكشنات'!$D$2:$D$933,$C153)</f>
        <v>0</v>
      </c>
      <c r="G153" s="5" t="n">
        <f aca="false">COUNTIFS('سجل الأكشنات'!$B$2:$B$933,$B153,'سجل الأكشنات'!$D$2:$D$933,$C153,'سجل الأكشنات'!$H$2:$H$933,"تفصيلي")</f>
        <v>0</v>
      </c>
      <c r="H153" s="5" t="n">
        <f aca="false">F153-G153</f>
        <v>0</v>
      </c>
      <c r="I153" s="12" t="str">
        <f aca="false">IF($B153&gt;"2026-09-30","لا توجد بيانات بعد",IF(AND(D153=0,F153=0),"بدون نشاط","نشِط"))</f>
        <v>بدون نشاط</v>
      </c>
    </row>
    <row r="154" customFormat="false" ht="15" hidden="false" customHeight="false" outlineLevel="0" collapsed="false">
      <c r="A154" s="5" t="s">
        <v>55</v>
      </c>
      <c r="B154" s="5" t="s">
        <v>74</v>
      </c>
      <c r="C154" s="4" t="s">
        <v>30</v>
      </c>
      <c r="D154" s="5" t="n">
        <f aca="false">COUNTIFS('تفاصيل الفرص'!$B$2:$B$372,$B154,'تفاصيل الفرص'!$D$2:$D$372,$C154)</f>
        <v>6</v>
      </c>
      <c r="E154" s="5" t="n">
        <f aca="false">COUNTIFS('تفاصيل الفرص'!$B$2:$B$372,$B154,'تفاصيل الفرص'!$D$2:$D$372,$C154,'تفاصيل الفرص'!$X$2:$X$372,0)</f>
        <v>0</v>
      </c>
      <c r="F154" s="5" t="n">
        <f aca="false">COUNTIFS('سجل الأكشنات'!$B$2:$B$933,$B154,'سجل الأكشنات'!$D$2:$D$933,$C154)</f>
        <v>6</v>
      </c>
      <c r="G154" s="5" t="n">
        <f aca="false">COUNTIFS('سجل الأكشنات'!$B$2:$B$933,$B154,'سجل الأكشنات'!$D$2:$D$933,$C154,'سجل الأكشنات'!$H$2:$H$933,"تفصيلي")</f>
        <v>4</v>
      </c>
      <c r="H154" s="5" t="n">
        <f aca="false">F154-G154</f>
        <v>2</v>
      </c>
      <c r="I154" s="12" t="str">
        <f aca="false">IF($B154&gt;"2026-09-30","لا توجد بيانات بعد",IF(AND(D154=0,F154=0),"بدون نشاط","نشِط"))</f>
        <v>نشِط</v>
      </c>
    </row>
    <row r="155" customFormat="false" ht="15" hidden="false" customHeight="false" outlineLevel="0" collapsed="false">
      <c r="A155" s="5" t="s">
        <v>55</v>
      </c>
      <c r="B155" s="5" t="s">
        <v>74</v>
      </c>
      <c r="C155" s="4" t="s">
        <v>32</v>
      </c>
      <c r="D155" s="5" t="n">
        <f aca="false">COUNTIFS('تفاصيل الفرص'!$B$2:$B$372,$B155,'تفاصيل الفرص'!$D$2:$D$372,$C155)</f>
        <v>3</v>
      </c>
      <c r="E155" s="5" t="n">
        <f aca="false">COUNTIFS('تفاصيل الفرص'!$B$2:$B$372,$B155,'تفاصيل الفرص'!$D$2:$D$372,$C155,'تفاصيل الفرص'!$X$2:$X$372,0)</f>
        <v>0</v>
      </c>
      <c r="F155" s="5" t="n">
        <f aca="false">COUNTIFS('سجل الأكشنات'!$B$2:$B$933,$B155,'سجل الأكشنات'!$D$2:$D$933,$C155)</f>
        <v>5</v>
      </c>
      <c r="G155" s="5" t="n">
        <f aca="false">COUNTIFS('سجل الأكشنات'!$B$2:$B$933,$B155,'سجل الأكشنات'!$D$2:$D$933,$C155,'سجل الأكشنات'!$H$2:$H$933,"تفصيلي")</f>
        <v>5</v>
      </c>
      <c r="H155" s="5" t="n">
        <f aca="false">F155-G155</f>
        <v>0</v>
      </c>
      <c r="I155" s="12" t="str">
        <f aca="false">IF($B155&gt;"2026-09-30","لا توجد بيانات بعد",IF(AND(D155=0,F155=0),"بدون نشاط","نشِط"))</f>
        <v>نشِط</v>
      </c>
    </row>
    <row r="156" customFormat="false" ht="15" hidden="false" customHeight="false" outlineLevel="0" collapsed="false">
      <c r="A156" s="5" t="s">
        <v>55</v>
      </c>
      <c r="B156" s="5" t="s">
        <v>74</v>
      </c>
      <c r="C156" s="4" t="s">
        <v>34</v>
      </c>
      <c r="D156" s="5" t="n">
        <f aca="false">COUNTIFS('تفاصيل الفرص'!$B$2:$B$372,$B156,'تفاصيل الفرص'!$D$2:$D$372,$C156)</f>
        <v>1</v>
      </c>
      <c r="E156" s="5" t="n">
        <f aca="false">COUNTIFS('تفاصيل الفرص'!$B$2:$B$372,$B156,'تفاصيل الفرص'!$D$2:$D$372,$C156,'تفاصيل الفرص'!$X$2:$X$372,0)</f>
        <v>0</v>
      </c>
      <c r="F156" s="5" t="n">
        <f aca="false">COUNTIFS('سجل الأكشنات'!$B$2:$B$933,$B156,'سجل الأكشنات'!$D$2:$D$933,$C156)</f>
        <v>3</v>
      </c>
      <c r="G156" s="5" t="n">
        <f aca="false">COUNTIFS('سجل الأكشنات'!$B$2:$B$933,$B156,'سجل الأكشنات'!$D$2:$D$933,$C156,'سجل الأكشنات'!$H$2:$H$933,"تفصيلي")</f>
        <v>3</v>
      </c>
      <c r="H156" s="5" t="n">
        <f aca="false">F156-G156</f>
        <v>0</v>
      </c>
      <c r="I156" s="12" t="str">
        <f aca="false">IF($B156&gt;"2026-09-30","لا توجد بيانات بعد",IF(AND(D156=0,F156=0),"بدون نشاط","نشِط"))</f>
        <v>نشِط</v>
      </c>
    </row>
    <row r="157" customFormat="false" ht="15" hidden="false" customHeight="false" outlineLevel="0" collapsed="false">
      <c r="A157" s="13" t="s">
        <v>57</v>
      </c>
      <c r="B157" s="13" t="s">
        <v>75</v>
      </c>
      <c r="C157" s="14" t="s">
        <v>18</v>
      </c>
      <c r="D157" s="15" t="n">
        <f aca="false">COUNTIFS('تفاصيل الفرص'!$B$2:$B$372,$B157,'تفاصيل الفرص'!$D$2:$D$372,$C157)</f>
        <v>0</v>
      </c>
      <c r="E157" s="13" t="n">
        <f aca="false">COUNTIFS('تفاصيل الفرص'!$B$2:$B$372,$B157,'تفاصيل الفرص'!$D$2:$D$372,$C157,'تفاصيل الفرص'!$X$2:$X$372,0)</f>
        <v>0</v>
      </c>
      <c r="F157" s="13" t="n">
        <f aca="false">COUNTIFS('سجل الأكشنات'!$B$2:$B$933,$B157,'سجل الأكشنات'!$D$2:$D$933,$C157)</f>
        <v>0</v>
      </c>
      <c r="G157" s="13" t="n">
        <f aca="false">COUNTIFS('سجل الأكشنات'!$B$2:$B$933,$B157,'سجل الأكشنات'!$D$2:$D$933,$C157,'سجل الأكشنات'!$H$2:$H$933,"تفصيلي")</f>
        <v>0</v>
      </c>
      <c r="H157" s="13" t="n">
        <f aca="false">F157-G157</f>
        <v>0</v>
      </c>
      <c r="I157" s="13" t="str">
        <f aca="false">IF($B157&gt;"2026-09-30","لا توجد بيانات بعد",IF(AND(D157=0,F157=0),"بدون نشاط","نشِط"))</f>
        <v>بدون نشاط</v>
      </c>
    </row>
    <row r="158" customFormat="false" ht="15" hidden="false" customHeight="false" outlineLevel="0" collapsed="false">
      <c r="A158" s="13" t="s">
        <v>57</v>
      </c>
      <c r="B158" s="13" t="s">
        <v>75</v>
      </c>
      <c r="C158" s="14" t="s">
        <v>20</v>
      </c>
      <c r="D158" s="15" t="n">
        <f aca="false">COUNTIFS('تفاصيل الفرص'!$B$2:$B$372,$B158,'تفاصيل الفرص'!$D$2:$D$372,$C158)</f>
        <v>0</v>
      </c>
      <c r="E158" s="13" t="n">
        <f aca="false">COUNTIFS('تفاصيل الفرص'!$B$2:$B$372,$B158,'تفاصيل الفرص'!$D$2:$D$372,$C158,'تفاصيل الفرص'!$X$2:$X$372,0)</f>
        <v>0</v>
      </c>
      <c r="F158" s="13" t="n">
        <f aca="false">COUNTIFS('سجل الأكشنات'!$B$2:$B$933,$B158,'سجل الأكشنات'!$D$2:$D$933,$C158)</f>
        <v>0</v>
      </c>
      <c r="G158" s="13" t="n">
        <f aca="false">COUNTIFS('سجل الأكشنات'!$B$2:$B$933,$B158,'سجل الأكشنات'!$D$2:$D$933,$C158,'سجل الأكشنات'!$H$2:$H$933,"تفصيلي")</f>
        <v>0</v>
      </c>
      <c r="H158" s="13" t="n">
        <f aca="false">F158-G158</f>
        <v>0</v>
      </c>
      <c r="I158" s="13" t="str">
        <f aca="false">IF($B158&gt;"2026-09-30","لا توجد بيانات بعد",IF(AND(D158=0,F158=0),"بدون نشاط","نشِط"))</f>
        <v>بدون نشاط</v>
      </c>
    </row>
    <row r="159" customFormat="false" ht="15" hidden="false" customHeight="false" outlineLevel="0" collapsed="false">
      <c r="A159" s="13" t="s">
        <v>57</v>
      </c>
      <c r="B159" s="13" t="s">
        <v>75</v>
      </c>
      <c r="C159" s="14" t="s">
        <v>22</v>
      </c>
      <c r="D159" s="15" t="n">
        <f aca="false">COUNTIFS('تفاصيل الفرص'!$B$2:$B$372,$B159,'تفاصيل الفرص'!$D$2:$D$372,$C159)</f>
        <v>0</v>
      </c>
      <c r="E159" s="13" t="n">
        <f aca="false">COUNTIFS('تفاصيل الفرص'!$B$2:$B$372,$B159,'تفاصيل الفرص'!$D$2:$D$372,$C159,'تفاصيل الفرص'!$X$2:$X$372,0)</f>
        <v>0</v>
      </c>
      <c r="F159" s="13" t="n">
        <f aca="false">COUNTIFS('سجل الأكشنات'!$B$2:$B$933,$B159,'سجل الأكشنات'!$D$2:$D$933,$C159)</f>
        <v>0</v>
      </c>
      <c r="G159" s="13" t="n">
        <f aca="false">COUNTIFS('سجل الأكشنات'!$B$2:$B$933,$B159,'سجل الأكشنات'!$D$2:$D$933,$C159,'سجل الأكشنات'!$H$2:$H$933,"تفصيلي")</f>
        <v>0</v>
      </c>
      <c r="H159" s="13" t="n">
        <f aca="false">F159-G159</f>
        <v>0</v>
      </c>
      <c r="I159" s="13" t="str">
        <f aca="false">IF($B159&gt;"2026-09-30","لا توجد بيانات بعد",IF(AND(D159=0,F159=0),"بدون نشاط","نشِط"))</f>
        <v>بدون نشاط</v>
      </c>
    </row>
    <row r="160" customFormat="false" ht="15" hidden="false" customHeight="false" outlineLevel="0" collapsed="false">
      <c r="A160" s="13" t="s">
        <v>57</v>
      </c>
      <c r="B160" s="13" t="s">
        <v>75</v>
      </c>
      <c r="C160" s="14" t="s">
        <v>24</v>
      </c>
      <c r="D160" s="15" t="n">
        <f aca="false">COUNTIFS('تفاصيل الفرص'!$B$2:$B$372,$B160,'تفاصيل الفرص'!$D$2:$D$372,$C160)</f>
        <v>0</v>
      </c>
      <c r="E160" s="13" t="n">
        <f aca="false">COUNTIFS('تفاصيل الفرص'!$B$2:$B$372,$B160,'تفاصيل الفرص'!$D$2:$D$372,$C160,'تفاصيل الفرص'!$X$2:$X$372,0)</f>
        <v>0</v>
      </c>
      <c r="F160" s="13" t="n">
        <f aca="false">COUNTIFS('سجل الأكشنات'!$B$2:$B$933,$B160,'سجل الأكشنات'!$D$2:$D$933,$C160)</f>
        <v>0</v>
      </c>
      <c r="G160" s="13" t="n">
        <f aca="false">COUNTIFS('سجل الأكشنات'!$B$2:$B$933,$B160,'سجل الأكشنات'!$D$2:$D$933,$C160,'سجل الأكشنات'!$H$2:$H$933,"تفصيلي")</f>
        <v>0</v>
      </c>
      <c r="H160" s="13" t="n">
        <f aca="false">F160-G160</f>
        <v>0</v>
      </c>
      <c r="I160" s="13" t="str">
        <f aca="false">IF($B160&gt;"2026-09-30","لا توجد بيانات بعد",IF(AND(D160=0,F160=0),"بدون نشاط","نشِط"))</f>
        <v>بدون نشاط</v>
      </c>
    </row>
    <row r="161" customFormat="false" ht="15" hidden="false" customHeight="false" outlineLevel="0" collapsed="false">
      <c r="A161" s="13" t="s">
        <v>57</v>
      </c>
      <c r="B161" s="13" t="s">
        <v>75</v>
      </c>
      <c r="C161" s="14" t="s">
        <v>26</v>
      </c>
      <c r="D161" s="15" t="n">
        <f aca="false">COUNTIFS('تفاصيل الفرص'!$B$2:$B$372,$B161,'تفاصيل الفرص'!$D$2:$D$372,$C161)</f>
        <v>0</v>
      </c>
      <c r="E161" s="13" t="n">
        <f aca="false">COUNTIFS('تفاصيل الفرص'!$B$2:$B$372,$B161,'تفاصيل الفرص'!$D$2:$D$372,$C161,'تفاصيل الفرص'!$X$2:$X$372,0)</f>
        <v>0</v>
      </c>
      <c r="F161" s="13" t="n">
        <f aca="false">COUNTIFS('سجل الأكشنات'!$B$2:$B$933,$B161,'سجل الأكشنات'!$D$2:$D$933,$C161)</f>
        <v>0</v>
      </c>
      <c r="G161" s="13" t="n">
        <f aca="false">COUNTIFS('سجل الأكشنات'!$B$2:$B$933,$B161,'سجل الأكشنات'!$D$2:$D$933,$C161,'سجل الأكشنات'!$H$2:$H$933,"تفصيلي")</f>
        <v>0</v>
      </c>
      <c r="H161" s="13" t="n">
        <f aca="false">F161-G161</f>
        <v>0</v>
      </c>
      <c r="I161" s="13" t="str">
        <f aca="false">IF($B161&gt;"2026-09-30","لا توجد بيانات بعد",IF(AND(D161=0,F161=0),"بدون نشاط","نشِط"))</f>
        <v>بدون نشاط</v>
      </c>
    </row>
    <row r="162" customFormat="false" ht="15" hidden="false" customHeight="false" outlineLevel="0" collapsed="false">
      <c r="A162" s="13" t="s">
        <v>57</v>
      </c>
      <c r="B162" s="13" t="s">
        <v>75</v>
      </c>
      <c r="C162" s="14" t="s">
        <v>28</v>
      </c>
      <c r="D162" s="15" t="n">
        <f aca="false">COUNTIFS('تفاصيل الفرص'!$B$2:$B$372,$B162,'تفاصيل الفرص'!$D$2:$D$372,$C162)</f>
        <v>0</v>
      </c>
      <c r="E162" s="13" t="n">
        <f aca="false">COUNTIFS('تفاصيل الفرص'!$B$2:$B$372,$B162,'تفاصيل الفرص'!$D$2:$D$372,$C162,'تفاصيل الفرص'!$X$2:$X$372,0)</f>
        <v>0</v>
      </c>
      <c r="F162" s="13" t="n">
        <f aca="false">COUNTIFS('سجل الأكشنات'!$B$2:$B$933,$B162,'سجل الأكشنات'!$D$2:$D$933,$C162)</f>
        <v>0</v>
      </c>
      <c r="G162" s="13" t="n">
        <f aca="false">COUNTIFS('سجل الأكشنات'!$B$2:$B$933,$B162,'سجل الأكشنات'!$D$2:$D$933,$C162,'سجل الأكشنات'!$H$2:$H$933,"تفصيلي")</f>
        <v>0</v>
      </c>
      <c r="H162" s="13" t="n">
        <f aca="false">F162-G162</f>
        <v>0</v>
      </c>
      <c r="I162" s="13" t="str">
        <f aca="false">IF($B162&gt;"2026-09-30","لا توجد بيانات بعد",IF(AND(D162=0,F162=0),"بدون نشاط","نشِط"))</f>
        <v>بدون نشاط</v>
      </c>
    </row>
    <row r="163" customFormat="false" ht="15" hidden="false" customHeight="false" outlineLevel="0" collapsed="false">
      <c r="A163" s="13" t="s">
        <v>57</v>
      </c>
      <c r="B163" s="13" t="s">
        <v>75</v>
      </c>
      <c r="C163" s="14" t="s">
        <v>30</v>
      </c>
      <c r="D163" s="15" t="n">
        <f aca="false">COUNTIFS('تفاصيل الفرص'!$B$2:$B$372,$B163,'تفاصيل الفرص'!$D$2:$D$372,$C163)</f>
        <v>0</v>
      </c>
      <c r="E163" s="13" t="n">
        <f aca="false">COUNTIFS('تفاصيل الفرص'!$B$2:$B$372,$B163,'تفاصيل الفرص'!$D$2:$D$372,$C163,'تفاصيل الفرص'!$X$2:$X$372,0)</f>
        <v>0</v>
      </c>
      <c r="F163" s="13" t="n">
        <f aca="false">COUNTIFS('سجل الأكشنات'!$B$2:$B$933,$B163,'سجل الأكشنات'!$D$2:$D$933,$C163)</f>
        <v>0</v>
      </c>
      <c r="G163" s="13" t="n">
        <f aca="false">COUNTIFS('سجل الأكشنات'!$B$2:$B$933,$B163,'سجل الأكشنات'!$D$2:$D$933,$C163,'سجل الأكشنات'!$H$2:$H$933,"تفصيلي")</f>
        <v>0</v>
      </c>
      <c r="H163" s="13" t="n">
        <f aca="false">F163-G163</f>
        <v>0</v>
      </c>
      <c r="I163" s="13" t="str">
        <f aca="false">IF($B163&gt;"2026-09-30","لا توجد بيانات بعد",IF(AND(D163=0,F163=0),"بدون نشاط","نشِط"))</f>
        <v>بدون نشاط</v>
      </c>
    </row>
    <row r="164" customFormat="false" ht="15" hidden="false" customHeight="false" outlineLevel="0" collapsed="false">
      <c r="A164" s="13" t="s">
        <v>57</v>
      </c>
      <c r="B164" s="13" t="s">
        <v>75</v>
      </c>
      <c r="C164" s="14" t="s">
        <v>32</v>
      </c>
      <c r="D164" s="15" t="n">
        <f aca="false">COUNTIFS('تفاصيل الفرص'!$B$2:$B$372,$B164,'تفاصيل الفرص'!$D$2:$D$372,$C164)</f>
        <v>0</v>
      </c>
      <c r="E164" s="13" t="n">
        <f aca="false">COUNTIFS('تفاصيل الفرص'!$B$2:$B$372,$B164,'تفاصيل الفرص'!$D$2:$D$372,$C164,'تفاصيل الفرص'!$X$2:$X$372,0)</f>
        <v>0</v>
      </c>
      <c r="F164" s="13" t="n">
        <f aca="false">COUNTIFS('سجل الأكشنات'!$B$2:$B$933,$B164,'سجل الأكشنات'!$D$2:$D$933,$C164)</f>
        <v>0</v>
      </c>
      <c r="G164" s="13" t="n">
        <f aca="false">COUNTIFS('سجل الأكشنات'!$B$2:$B$933,$B164,'سجل الأكشنات'!$D$2:$D$933,$C164,'سجل الأكشنات'!$H$2:$H$933,"تفصيلي")</f>
        <v>0</v>
      </c>
      <c r="H164" s="13" t="n">
        <f aca="false">F164-G164</f>
        <v>0</v>
      </c>
      <c r="I164" s="13" t="str">
        <f aca="false">IF($B164&gt;"2026-09-30","لا توجد بيانات بعد",IF(AND(D164=0,F164=0),"بدون نشاط","نشِط"))</f>
        <v>بدون نشاط</v>
      </c>
    </row>
    <row r="165" customFormat="false" ht="15" hidden="false" customHeight="false" outlineLevel="0" collapsed="false">
      <c r="A165" s="13" t="s">
        <v>57</v>
      </c>
      <c r="B165" s="13" t="s">
        <v>75</v>
      </c>
      <c r="C165" s="14" t="s">
        <v>34</v>
      </c>
      <c r="D165" s="15" t="n">
        <f aca="false">COUNTIFS('تفاصيل الفرص'!$B$2:$B$372,$B165,'تفاصيل الفرص'!$D$2:$D$372,$C165)</f>
        <v>0</v>
      </c>
      <c r="E165" s="13" t="n">
        <f aca="false">COUNTIFS('تفاصيل الفرص'!$B$2:$B$372,$B165,'تفاصيل الفرص'!$D$2:$D$372,$C165,'تفاصيل الفرص'!$X$2:$X$372,0)</f>
        <v>0</v>
      </c>
      <c r="F165" s="13" t="n">
        <f aca="false">COUNTIFS('سجل الأكشنات'!$B$2:$B$933,$B165,'سجل الأكشنات'!$D$2:$D$933,$C165)</f>
        <v>0</v>
      </c>
      <c r="G165" s="13" t="n">
        <f aca="false">COUNTIFS('سجل الأكشنات'!$B$2:$B$933,$B165,'سجل الأكشنات'!$D$2:$D$933,$C165,'سجل الأكشنات'!$H$2:$H$933,"تفصيلي")</f>
        <v>0</v>
      </c>
      <c r="H165" s="13" t="n">
        <f aca="false">F165-G165</f>
        <v>0</v>
      </c>
      <c r="I165" s="13" t="str">
        <f aca="false">IF($B165&gt;"2026-09-30","لا توجد بيانات بعد",IF(AND(D165=0,F165=0),"بدون نشاط","نشِط"))</f>
        <v>بدون نشاط</v>
      </c>
    </row>
    <row r="166" customFormat="false" ht="15" hidden="false" customHeight="false" outlineLevel="0" collapsed="false">
      <c r="A166" s="5" t="s">
        <v>59</v>
      </c>
      <c r="B166" s="5" t="s">
        <v>76</v>
      </c>
      <c r="C166" s="4" t="s">
        <v>18</v>
      </c>
      <c r="D166" s="5" t="n">
        <f aca="false">COUNTIFS('تفاصيل الفرص'!$B$2:$B$372,$B166,'تفاصيل الفرص'!$D$2:$D$372,$C166)</f>
        <v>4</v>
      </c>
      <c r="E166" s="5" t="n">
        <f aca="false">COUNTIFS('تفاصيل الفرص'!$B$2:$B$372,$B166,'تفاصيل الفرص'!$D$2:$D$372,$C166,'تفاصيل الفرص'!$X$2:$X$372,0)</f>
        <v>0</v>
      </c>
      <c r="F166" s="5" t="n">
        <f aca="false">COUNTIFS('سجل الأكشنات'!$B$2:$B$933,$B166,'سجل الأكشنات'!$D$2:$D$933,$C166)</f>
        <v>16</v>
      </c>
      <c r="G166" s="5" t="n">
        <f aca="false">COUNTIFS('سجل الأكشنات'!$B$2:$B$933,$B166,'سجل الأكشنات'!$D$2:$D$933,$C166,'سجل الأكشنات'!$H$2:$H$933,"تفصيلي")</f>
        <v>15</v>
      </c>
      <c r="H166" s="5" t="n">
        <f aca="false">F166-G166</f>
        <v>1</v>
      </c>
      <c r="I166" s="12" t="str">
        <f aca="false">IF($B166&gt;"2026-09-30","لا توجد بيانات بعد",IF(AND(D166=0,F166=0),"بدون نشاط","نشِط"))</f>
        <v>نشِط</v>
      </c>
    </row>
    <row r="167" customFormat="false" ht="15" hidden="false" customHeight="false" outlineLevel="0" collapsed="false">
      <c r="A167" s="5" t="s">
        <v>59</v>
      </c>
      <c r="B167" s="5" t="s">
        <v>76</v>
      </c>
      <c r="C167" s="4" t="s">
        <v>20</v>
      </c>
      <c r="D167" s="5" t="n">
        <f aca="false">COUNTIFS('تفاصيل الفرص'!$B$2:$B$372,$B167,'تفاصيل الفرص'!$D$2:$D$372,$C167)</f>
        <v>12</v>
      </c>
      <c r="E167" s="5" t="n">
        <f aca="false">COUNTIFS('تفاصيل الفرص'!$B$2:$B$372,$B167,'تفاصيل الفرص'!$D$2:$D$372,$C167,'تفاصيل الفرص'!$X$2:$X$372,0)</f>
        <v>0</v>
      </c>
      <c r="F167" s="5" t="n">
        <f aca="false">COUNTIFS('سجل الأكشنات'!$B$2:$B$933,$B167,'سجل الأكشنات'!$D$2:$D$933,$C167)</f>
        <v>13</v>
      </c>
      <c r="G167" s="5" t="n">
        <f aca="false">COUNTIFS('سجل الأكشنات'!$B$2:$B$933,$B167,'سجل الأكشنات'!$D$2:$D$933,$C167,'سجل الأكشنات'!$H$2:$H$933,"تفصيلي")</f>
        <v>13</v>
      </c>
      <c r="H167" s="5" t="n">
        <f aca="false">F167-G167</f>
        <v>0</v>
      </c>
      <c r="I167" s="12" t="str">
        <f aca="false">IF($B167&gt;"2026-09-30","لا توجد بيانات بعد",IF(AND(D167=0,F167=0),"بدون نشاط","نشِط"))</f>
        <v>نشِط</v>
      </c>
    </row>
    <row r="168" customFormat="false" ht="15" hidden="false" customHeight="false" outlineLevel="0" collapsed="false">
      <c r="A168" s="5" t="s">
        <v>59</v>
      </c>
      <c r="B168" s="5" t="s">
        <v>76</v>
      </c>
      <c r="C168" s="4" t="s">
        <v>22</v>
      </c>
      <c r="D168" s="5" t="n">
        <f aca="false">COUNTIFS('تفاصيل الفرص'!$B$2:$B$372,$B168,'تفاصيل الفرص'!$D$2:$D$372,$C168)</f>
        <v>0</v>
      </c>
      <c r="E168" s="5" t="n">
        <f aca="false">COUNTIFS('تفاصيل الفرص'!$B$2:$B$372,$B168,'تفاصيل الفرص'!$D$2:$D$372,$C168,'تفاصيل الفرص'!$X$2:$X$372,0)</f>
        <v>0</v>
      </c>
      <c r="F168" s="5" t="n">
        <f aca="false">COUNTIFS('سجل الأكشنات'!$B$2:$B$933,$B168,'سجل الأكشنات'!$D$2:$D$933,$C168)</f>
        <v>1</v>
      </c>
      <c r="G168" s="5" t="n">
        <f aca="false">COUNTIFS('سجل الأكشنات'!$B$2:$B$933,$B168,'سجل الأكشنات'!$D$2:$D$933,$C168,'سجل الأكشنات'!$H$2:$H$933,"تفصيلي")</f>
        <v>0</v>
      </c>
      <c r="H168" s="5" t="n">
        <f aca="false">F168-G168</f>
        <v>1</v>
      </c>
      <c r="I168" s="12" t="str">
        <f aca="false">IF($B168&gt;"2026-09-30","لا توجد بيانات بعد",IF(AND(D168=0,F168=0),"بدون نشاط","نشِط"))</f>
        <v>نشِط</v>
      </c>
    </row>
    <row r="169" customFormat="false" ht="15" hidden="false" customHeight="false" outlineLevel="0" collapsed="false">
      <c r="A169" s="5" t="s">
        <v>59</v>
      </c>
      <c r="B169" s="5" t="s">
        <v>76</v>
      </c>
      <c r="C169" s="4" t="s">
        <v>24</v>
      </c>
      <c r="D169" s="5" t="n">
        <f aca="false">COUNTIFS('تفاصيل الفرص'!$B$2:$B$372,$B169,'تفاصيل الفرص'!$D$2:$D$372,$C169)</f>
        <v>0</v>
      </c>
      <c r="E169" s="5" t="n">
        <f aca="false">COUNTIFS('تفاصيل الفرص'!$B$2:$B$372,$B169,'تفاصيل الفرص'!$D$2:$D$372,$C169,'تفاصيل الفرص'!$X$2:$X$372,0)</f>
        <v>0</v>
      </c>
      <c r="F169" s="5" t="n">
        <f aca="false">COUNTIFS('سجل الأكشنات'!$B$2:$B$933,$B169,'سجل الأكشنات'!$D$2:$D$933,$C169)</f>
        <v>3</v>
      </c>
      <c r="G169" s="5" t="n">
        <f aca="false">COUNTIFS('سجل الأكشنات'!$B$2:$B$933,$B169,'سجل الأكشنات'!$D$2:$D$933,$C169,'سجل الأكشنات'!$H$2:$H$933,"تفصيلي")</f>
        <v>3</v>
      </c>
      <c r="H169" s="5" t="n">
        <f aca="false">F169-G169</f>
        <v>0</v>
      </c>
      <c r="I169" s="12" t="str">
        <f aca="false">IF($B169&gt;"2026-09-30","لا توجد بيانات بعد",IF(AND(D169=0,F169=0),"بدون نشاط","نشِط"))</f>
        <v>نشِط</v>
      </c>
    </row>
    <row r="170" customFormat="false" ht="15" hidden="false" customHeight="false" outlineLevel="0" collapsed="false">
      <c r="A170" s="5" t="s">
        <v>59</v>
      </c>
      <c r="B170" s="5" t="s">
        <v>76</v>
      </c>
      <c r="C170" s="4" t="s">
        <v>26</v>
      </c>
      <c r="D170" s="5" t="n">
        <f aca="false">COUNTIFS('تفاصيل الفرص'!$B$2:$B$372,$B170,'تفاصيل الفرص'!$D$2:$D$372,$C170)</f>
        <v>0</v>
      </c>
      <c r="E170" s="5" t="n">
        <f aca="false">COUNTIFS('تفاصيل الفرص'!$B$2:$B$372,$B170,'تفاصيل الفرص'!$D$2:$D$372,$C170,'تفاصيل الفرص'!$X$2:$X$372,0)</f>
        <v>0</v>
      </c>
      <c r="F170" s="5" t="n">
        <f aca="false">COUNTIFS('سجل الأكشنات'!$B$2:$B$933,$B170,'سجل الأكشنات'!$D$2:$D$933,$C170)</f>
        <v>0</v>
      </c>
      <c r="G170" s="5" t="n">
        <f aca="false">COUNTIFS('سجل الأكشنات'!$B$2:$B$933,$B170,'سجل الأكشنات'!$D$2:$D$933,$C170,'سجل الأكشنات'!$H$2:$H$933,"تفصيلي")</f>
        <v>0</v>
      </c>
      <c r="H170" s="5" t="n">
        <f aca="false">F170-G170</f>
        <v>0</v>
      </c>
      <c r="I170" s="12" t="str">
        <f aca="false">IF($B170&gt;"2026-09-30","لا توجد بيانات بعد",IF(AND(D170=0,F170=0),"بدون نشاط","نشِط"))</f>
        <v>بدون نشاط</v>
      </c>
    </row>
    <row r="171" customFormat="false" ht="15" hidden="false" customHeight="false" outlineLevel="0" collapsed="false">
      <c r="A171" s="5" t="s">
        <v>59</v>
      </c>
      <c r="B171" s="5" t="s">
        <v>76</v>
      </c>
      <c r="C171" s="4" t="s">
        <v>28</v>
      </c>
      <c r="D171" s="5" t="n">
        <f aca="false">COUNTIFS('تفاصيل الفرص'!$B$2:$B$372,$B171,'تفاصيل الفرص'!$D$2:$D$372,$C171)</f>
        <v>0</v>
      </c>
      <c r="E171" s="5" t="n">
        <f aca="false">COUNTIFS('تفاصيل الفرص'!$B$2:$B$372,$B171,'تفاصيل الفرص'!$D$2:$D$372,$C171,'تفاصيل الفرص'!$X$2:$X$372,0)</f>
        <v>0</v>
      </c>
      <c r="F171" s="5" t="n">
        <f aca="false">COUNTIFS('سجل الأكشنات'!$B$2:$B$933,$B171,'سجل الأكشنات'!$D$2:$D$933,$C171)</f>
        <v>5</v>
      </c>
      <c r="G171" s="5" t="n">
        <f aca="false">COUNTIFS('سجل الأكشنات'!$B$2:$B$933,$B171,'سجل الأكشنات'!$D$2:$D$933,$C171,'سجل الأكشنات'!$H$2:$H$933,"تفصيلي")</f>
        <v>4</v>
      </c>
      <c r="H171" s="5" t="n">
        <f aca="false">F171-G171</f>
        <v>1</v>
      </c>
      <c r="I171" s="12" t="str">
        <f aca="false">IF($B171&gt;"2026-09-30","لا توجد بيانات بعد",IF(AND(D171=0,F171=0),"بدون نشاط","نشِط"))</f>
        <v>نشِط</v>
      </c>
    </row>
    <row r="172" customFormat="false" ht="15" hidden="false" customHeight="false" outlineLevel="0" collapsed="false">
      <c r="A172" s="5" t="s">
        <v>59</v>
      </c>
      <c r="B172" s="5" t="s">
        <v>76</v>
      </c>
      <c r="C172" s="4" t="s">
        <v>30</v>
      </c>
      <c r="D172" s="5" t="n">
        <f aca="false">COUNTIFS('تفاصيل الفرص'!$B$2:$B$372,$B172,'تفاصيل الفرص'!$D$2:$D$372,$C172)</f>
        <v>3</v>
      </c>
      <c r="E172" s="5" t="n">
        <f aca="false">COUNTIFS('تفاصيل الفرص'!$B$2:$B$372,$B172,'تفاصيل الفرص'!$D$2:$D$372,$C172,'تفاصيل الفرص'!$X$2:$X$372,0)</f>
        <v>0</v>
      </c>
      <c r="F172" s="5" t="n">
        <f aca="false">COUNTIFS('سجل الأكشنات'!$B$2:$B$933,$B172,'سجل الأكشنات'!$D$2:$D$933,$C172)</f>
        <v>3</v>
      </c>
      <c r="G172" s="5" t="n">
        <f aca="false">COUNTIFS('سجل الأكشنات'!$B$2:$B$933,$B172,'سجل الأكشنات'!$D$2:$D$933,$C172,'سجل الأكشنات'!$H$2:$H$933,"تفصيلي")</f>
        <v>3</v>
      </c>
      <c r="H172" s="5" t="n">
        <f aca="false">F172-G172</f>
        <v>0</v>
      </c>
      <c r="I172" s="12" t="str">
        <f aca="false">IF($B172&gt;"2026-09-30","لا توجد بيانات بعد",IF(AND(D172=0,F172=0),"بدون نشاط","نشِط"))</f>
        <v>نشِط</v>
      </c>
    </row>
    <row r="173" customFormat="false" ht="15" hidden="false" customHeight="false" outlineLevel="0" collapsed="false">
      <c r="A173" s="5" t="s">
        <v>59</v>
      </c>
      <c r="B173" s="5" t="s">
        <v>76</v>
      </c>
      <c r="C173" s="4" t="s">
        <v>32</v>
      </c>
      <c r="D173" s="5" t="n">
        <f aca="false">COUNTIFS('تفاصيل الفرص'!$B$2:$B$372,$B173,'تفاصيل الفرص'!$D$2:$D$372,$C173)</f>
        <v>0</v>
      </c>
      <c r="E173" s="5" t="n">
        <f aca="false">COUNTIFS('تفاصيل الفرص'!$B$2:$B$372,$B173,'تفاصيل الفرص'!$D$2:$D$372,$C173,'تفاصيل الفرص'!$X$2:$X$372,0)</f>
        <v>0</v>
      </c>
      <c r="F173" s="5" t="n">
        <f aca="false">COUNTIFS('سجل الأكشنات'!$B$2:$B$933,$B173,'سجل الأكشنات'!$D$2:$D$933,$C173)</f>
        <v>0</v>
      </c>
      <c r="G173" s="5" t="n">
        <f aca="false">COUNTIFS('سجل الأكشنات'!$B$2:$B$933,$B173,'سجل الأكشنات'!$D$2:$D$933,$C173,'سجل الأكشنات'!$H$2:$H$933,"تفصيلي")</f>
        <v>0</v>
      </c>
      <c r="H173" s="5" t="n">
        <f aca="false">F173-G173</f>
        <v>0</v>
      </c>
      <c r="I173" s="12" t="str">
        <f aca="false">IF($B173&gt;"2026-09-30","لا توجد بيانات بعد",IF(AND(D173=0,F173=0),"بدون نشاط","نشِط"))</f>
        <v>بدون نشاط</v>
      </c>
    </row>
    <row r="174" customFormat="false" ht="15" hidden="false" customHeight="false" outlineLevel="0" collapsed="false">
      <c r="A174" s="5" t="s">
        <v>59</v>
      </c>
      <c r="B174" s="5" t="s">
        <v>76</v>
      </c>
      <c r="C174" s="4" t="s">
        <v>34</v>
      </c>
      <c r="D174" s="5" t="n">
        <f aca="false">COUNTIFS('تفاصيل الفرص'!$B$2:$B$372,$B174,'تفاصيل الفرص'!$D$2:$D$372,$C174)</f>
        <v>5</v>
      </c>
      <c r="E174" s="5" t="n">
        <f aca="false">COUNTIFS('تفاصيل الفرص'!$B$2:$B$372,$B174,'تفاصيل الفرص'!$D$2:$D$372,$C174,'تفاصيل الفرص'!$X$2:$X$372,0)</f>
        <v>0</v>
      </c>
      <c r="F174" s="5" t="n">
        <f aca="false">COUNTIFS('سجل الأكشنات'!$B$2:$B$933,$B174,'سجل الأكشنات'!$D$2:$D$933,$C174)</f>
        <v>18</v>
      </c>
      <c r="G174" s="5" t="n">
        <f aca="false">COUNTIFS('سجل الأكشنات'!$B$2:$B$933,$B174,'سجل الأكشنات'!$D$2:$D$933,$C174,'سجل الأكشنات'!$H$2:$H$933,"تفصيلي")</f>
        <v>17</v>
      </c>
      <c r="H174" s="5" t="n">
        <f aca="false">F174-G174</f>
        <v>1</v>
      </c>
      <c r="I174" s="12" t="str">
        <f aca="false">IF($B174&gt;"2026-09-30","لا توجد بيانات بعد",IF(AND(D174=0,F174=0),"بدون نشاط","نشِط"))</f>
        <v>نشِط</v>
      </c>
    </row>
    <row r="175" customFormat="false" ht="15" hidden="false" customHeight="false" outlineLevel="0" collapsed="false">
      <c r="A175" s="13" t="s">
        <v>61</v>
      </c>
      <c r="B175" s="13" t="s">
        <v>77</v>
      </c>
      <c r="C175" s="14" t="s">
        <v>18</v>
      </c>
      <c r="D175" s="15" t="n">
        <f aca="false">COUNTIFS('تفاصيل الفرص'!$B$2:$B$372,$B175,'تفاصيل الفرص'!$D$2:$D$372,$C175)</f>
        <v>2</v>
      </c>
      <c r="E175" s="13" t="n">
        <f aca="false">COUNTIFS('تفاصيل الفرص'!$B$2:$B$372,$B175,'تفاصيل الفرص'!$D$2:$D$372,$C175,'تفاصيل الفرص'!$X$2:$X$372,0)</f>
        <v>0</v>
      </c>
      <c r="F175" s="13" t="n">
        <f aca="false">COUNTIFS('سجل الأكشنات'!$B$2:$B$933,$B175,'سجل الأكشنات'!$D$2:$D$933,$C175)</f>
        <v>5</v>
      </c>
      <c r="G175" s="13" t="n">
        <f aca="false">COUNTIFS('سجل الأكشنات'!$B$2:$B$933,$B175,'سجل الأكشنات'!$D$2:$D$933,$C175,'سجل الأكشنات'!$H$2:$H$933,"تفصيلي")</f>
        <v>4</v>
      </c>
      <c r="H175" s="13" t="n">
        <f aca="false">F175-G175</f>
        <v>1</v>
      </c>
      <c r="I175" s="13" t="str">
        <f aca="false">IF($B175&gt;"2026-09-30","لا توجد بيانات بعد",IF(AND(D175=0,F175=0),"بدون نشاط","نشِط"))</f>
        <v>نشِط</v>
      </c>
    </row>
    <row r="176" customFormat="false" ht="15" hidden="false" customHeight="false" outlineLevel="0" collapsed="false">
      <c r="A176" s="13" t="s">
        <v>61</v>
      </c>
      <c r="B176" s="13" t="s">
        <v>77</v>
      </c>
      <c r="C176" s="14" t="s">
        <v>20</v>
      </c>
      <c r="D176" s="15" t="n">
        <f aca="false">COUNTIFS('تفاصيل الفرص'!$B$2:$B$372,$B176,'تفاصيل الفرص'!$D$2:$D$372,$C176)</f>
        <v>0</v>
      </c>
      <c r="E176" s="13" t="n">
        <f aca="false">COUNTIFS('تفاصيل الفرص'!$B$2:$B$372,$B176,'تفاصيل الفرص'!$D$2:$D$372,$C176,'تفاصيل الفرص'!$X$2:$X$372,0)</f>
        <v>0</v>
      </c>
      <c r="F176" s="13" t="n">
        <f aca="false">COUNTIFS('سجل الأكشنات'!$B$2:$B$933,$B176,'سجل الأكشنات'!$D$2:$D$933,$C176)</f>
        <v>5</v>
      </c>
      <c r="G176" s="13" t="n">
        <f aca="false">COUNTIFS('سجل الأكشنات'!$B$2:$B$933,$B176,'سجل الأكشنات'!$D$2:$D$933,$C176,'سجل الأكشنات'!$H$2:$H$933,"تفصيلي")</f>
        <v>5</v>
      </c>
      <c r="H176" s="13" t="n">
        <f aca="false">F176-G176</f>
        <v>0</v>
      </c>
      <c r="I176" s="13" t="str">
        <f aca="false">IF($B176&gt;"2026-09-30","لا توجد بيانات بعد",IF(AND(D176=0,F176=0),"بدون نشاط","نشِط"))</f>
        <v>نشِط</v>
      </c>
    </row>
    <row r="177" customFormat="false" ht="15" hidden="false" customHeight="false" outlineLevel="0" collapsed="false">
      <c r="A177" s="13" t="s">
        <v>61</v>
      </c>
      <c r="B177" s="13" t="s">
        <v>77</v>
      </c>
      <c r="C177" s="14" t="s">
        <v>22</v>
      </c>
      <c r="D177" s="15" t="n">
        <f aca="false">COUNTIFS('تفاصيل الفرص'!$B$2:$B$372,$B177,'تفاصيل الفرص'!$D$2:$D$372,$C177)</f>
        <v>1</v>
      </c>
      <c r="E177" s="13" t="n">
        <f aca="false">COUNTIFS('تفاصيل الفرص'!$B$2:$B$372,$B177,'تفاصيل الفرص'!$D$2:$D$372,$C177,'تفاصيل الفرص'!$X$2:$X$372,0)</f>
        <v>0</v>
      </c>
      <c r="F177" s="13" t="n">
        <f aca="false">COUNTIFS('سجل الأكشنات'!$B$2:$B$933,$B177,'سجل الأكشنات'!$D$2:$D$933,$C177)</f>
        <v>3</v>
      </c>
      <c r="G177" s="13" t="n">
        <f aca="false">COUNTIFS('سجل الأكشنات'!$B$2:$B$933,$B177,'سجل الأكشنات'!$D$2:$D$933,$C177,'سجل الأكشنات'!$H$2:$H$933,"تفصيلي")</f>
        <v>3</v>
      </c>
      <c r="H177" s="13" t="n">
        <f aca="false">F177-G177</f>
        <v>0</v>
      </c>
      <c r="I177" s="13" t="str">
        <f aca="false">IF($B177&gt;"2026-09-30","لا توجد بيانات بعد",IF(AND(D177=0,F177=0),"بدون نشاط","نشِط"))</f>
        <v>نشِط</v>
      </c>
    </row>
    <row r="178" customFormat="false" ht="15" hidden="false" customHeight="false" outlineLevel="0" collapsed="false">
      <c r="A178" s="13" t="s">
        <v>61</v>
      </c>
      <c r="B178" s="13" t="s">
        <v>77</v>
      </c>
      <c r="C178" s="14" t="s">
        <v>24</v>
      </c>
      <c r="D178" s="15" t="n">
        <f aca="false">COUNTIFS('تفاصيل الفرص'!$B$2:$B$372,$B178,'تفاصيل الفرص'!$D$2:$D$372,$C178)</f>
        <v>1</v>
      </c>
      <c r="E178" s="13" t="n">
        <f aca="false">COUNTIFS('تفاصيل الفرص'!$B$2:$B$372,$B178,'تفاصيل الفرص'!$D$2:$D$372,$C178,'تفاصيل الفرص'!$X$2:$X$372,0)</f>
        <v>0</v>
      </c>
      <c r="F178" s="13" t="n">
        <f aca="false">COUNTIFS('سجل الأكشنات'!$B$2:$B$933,$B178,'سجل الأكشنات'!$D$2:$D$933,$C178)</f>
        <v>2</v>
      </c>
      <c r="G178" s="13" t="n">
        <f aca="false">COUNTIFS('سجل الأكشنات'!$B$2:$B$933,$B178,'سجل الأكشنات'!$D$2:$D$933,$C178,'سجل الأكشنات'!$H$2:$H$933,"تفصيلي")</f>
        <v>2</v>
      </c>
      <c r="H178" s="13" t="n">
        <f aca="false">F178-G178</f>
        <v>0</v>
      </c>
      <c r="I178" s="13" t="str">
        <f aca="false">IF($B178&gt;"2026-09-30","لا توجد بيانات بعد",IF(AND(D178=0,F178=0),"بدون نشاط","نشِط"))</f>
        <v>نشِط</v>
      </c>
    </row>
    <row r="179" customFormat="false" ht="15" hidden="false" customHeight="false" outlineLevel="0" collapsed="false">
      <c r="A179" s="13" t="s">
        <v>61</v>
      </c>
      <c r="B179" s="13" t="s">
        <v>77</v>
      </c>
      <c r="C179" s="14" t="s">
        <v>26</v>
      </c>
      <c r="D179" s="15" t="n">
        <f aca="false">COUNTIFS('تفاصيل الفرص'!$B$2:$B$372,$B179,'تفاصيل الفرص'!$D$2:$D$372,$C179)</f>
        <v>0</v>
      </c>
      <c r="E179" s="13" t="n">
        <f aca="false">COUNTIFS('تفاصيل الفرص'!$B$2:$B$372,$B179,'تفاصيل الفرص'!$D$2:$D$372,$C179,'تفاصيل الفرص'!$X$2:$X$372,0)</f>
        <v>0</v>
      </c>
      <c r="F179" s="13" t="n">
        <f aca="false">COUNTIFS('سجل الأكشنات'!$B$2:$B$933,$B179,'سجل الأكشنات'!$D$2:$D$933,$C179)</f>
        <v>0</v>
      </c>
      <c r="G179" s="13" t="n">
        <f aca="false">COUNTIFS('سجل الأكشنات'!$B$2:$B$933,$B179,'سجل الأكشنات'!$D$2:$D$933,$C179,'سجل الأكشنات'!$H$2:$H$933,"تفصيلي")</f>
        <v>0</v>
      </c>
      <c r="H179" s="13" t="n">
        <f aca="false">F179-G179</f>
        <v>0</v>
      </c>
      <c r="I179" s="13" t="str">
        <f aca="false">IF($B179&gt;"2026-09-30","لا توجد بيانات بعد",IF(AND(D179=0,F179=0),"بدون نشاط","نشِط"))</f>
        <v>بدون نشاط</v>
      </c>
    </row>
    <row r="180" customFormat="false" ht="15" hidden="false" customHeight="false" outlineLevel="0" collapsed="false">
      <c r="A180" s="13" t="s">
        <v>61</v>
      </c>
      <c r="B180" s="13" t="s">
        <v>77</v>
      </c>
      <c r="C180" s="14" t="s">
        <v>28</v>
      </c>
      <c r="D180" s="15" t="n">
        <f aca="false">COUNTIFS('تفاصيل الفرص'!$B$2:$B$372,$B180,'تفاصيل الفرص'!$D$2:$D$372,$C180)</f>
        <v>0</v>
      </c>
      <c r="E180" s="13" t="n">
        <f aca="false">COUNTIFS('تفاصيل الفرص'!$B$2:$B$372,$B180,'تفاصيل الفرص'!$D$2:$D$372,$C180,'تفاصيل الفرص'!$X$2:$X$372,0)</f>
        <v>0</v>
      </c>
      <c r="F180" s="13" t="n">
        <f aca="false">COUNTIFS('سجل الأكشنات'!$B$2:$B$933,$B180,'سجل الأكشنات'!$D$2:$D$933,$C180)</f>
        <v>3</v>
      </c>
      <c r="G180" s="13" t="n">
        <f aca="false">COUNTIFS('سجل الأكشنات'!$B$2:$B$933,$B180,'سجل الأكشنات'!$D$2:$D$933,$C180,'سجل الأكشنات'!$H$2:$H$933,"تفصيلي")</f>
        <v>3</v>
      </c>
      <c r="H180" s="13" t="n">
        <f aca="false">F180-G180</f>
        <v>0</v>
      </c>
      <c r="I180" s="13" t="str">
        <f aca="false">IF($B180&gt;"2026-09-30","لا توجد بيانات بعد",IF(AND(D180=0,F180=0),"بدون نشاط","نشِط"))</f>
        <v>نشِط</v>
      </c>
    </row>
    <row r="181" customFormat="false" ht="15" hidden="false" customHeight="false" outlineLevel="0" collapsed="false">
      <c r="A181" s="13" t="s">
        <v>61</v>
      </c>
      <c r="B181" s="13" t="s">
        <v>77</v>
      </c>
      <c r="C181" s="14" t="s">
        <v>30</v>
      </c>
      <c r="D181" s="15" t="n">
        <f aca="false">COUNTIFS('تفاصيل الفرص'!$B$2:$B$372,$B181,'تفاصيل الفرص'!$D$2:$D$372,$C181)</f>
        <v>4</v>
      </c>
      <c r="E181" s="13" t="n">
        <f aca="false">COUNTIFS('تفاصيل الفرص'!$B$2:$B$372,$B181,'تفاصيل الفرص'!$D$2:$D$372,$C181,'تفاصيل الفرص'!$X$2:$X$372,0)</f>
        <v>0</v>
      </c>
      <c r="F181" s="13" t="n">
        <f aca="false">COUNTIFS('سجل الأكشنات'!$B$2:$B$933,$B181,'سجل الأكشنات'!$D$2:$D$933,$C181)</f>
        <v>4</v>
      </c>
      <c r="G181" s="13" t="n">
        <f aca="false">COUNTIFS('سجل الأكشنات'!$B$2:$B$933,$B181,'سجل الأكشنات'!$D$2:$D$933,$C181,'سجل الأكشنات'!$H$2:$H$933,"تفصيلي")</f>
        <v>4</v>
      </c>
      <c r="H181" s="13" t="n">
        <f aca="false">F181-G181</f>
        <v>0</v>
      </c>
      <c r="I181" s="13" t="str">
        <f aca="false">IF($B181&gt;"2026-09-30","لا توجد بيانات بعد",IF(AND(D181=0,F181=0),"بدون نشاط","نشِط"))</f>
        <v>نشِط</v>
      </c>
    </row>
    <row r="182" customFormat="false" ht="15" hidden="false" customHeight="false" outlineLevel="0" collapsed="false">
      <c r="A182" s="13" t="s">
        <v>61</v>
      </c>
      <c r="B182" s="13" t="s">
        <v>77</v>
      </c>
      <c r="C182" s="14" t="s">
        <v>32</v>
      </c>
      <c r="D182" s="15" t="n">
        <f aca="false">COUNTIFS('تفاصيل الفرص'!$B$2:$B$372,$B182,'تفاصيل الفرص'!$D$2:$D$372,$C182)</f>
        <v>0</v>
      </c>
      <c r="E182" s="13" t="n">
        <f aca="false">COUNTIFS('تفاصيل الفرص'!$B$2:$B$372,$B182,'تفاصيل الفرص'!$D$2:$D$372,$C182,'تفاصيل الفرص'!$X$2:$X$372,0)</f>
        <v>0</v>
      </c>
      <c r="F182" s="13" t="n">
        <f aca="false">COUNTIFS('سجل الأكشنات'!$B$2:$B$933,$B182,'سجل الأكشنات'!$D$2:$D$933,$C182)</f>
        <v>4</v>
      </c>
      <c r="G182" s="13" t="n">
        <f aca="false">COUNTIFS('سجل الأكشنات'!$B$2:$B$933,$B182,'سجل الأكشنات'!$D$2:$D$933,$C182,'سجل الأكشنات'!$H$2:$H$933,"تفصيلي")</f>
        <v>3</v>
      </c>
      <c r="H182" s="13" t="n">
        <f aca="false">F182-G182</f>
        <v>1</v>
      </c>
      <c r="I182" s="13" t="str">
        <f aca="false">IF($B182&gt;"2026-09-30","لا توجد بيانات بعد",IF(AND(D182=0,F182=0),"بدون نشاط","نشِط"))</f>
        <v>نشِط</v>
      </c>
    </row>
    <row r="183" customFormat="false" ht="15" hidden="false" customHeight="false" outlineLevel="0" collapsed="false">
      <c r="A183" s="13" t="s">
        <v>61</v>
      </c>
      <c r="B183" s="13" t="s">
        <v>77</v>
      </c>
      <c r="C183" s="14" t="s">
        <v>34</v>
      </c>
      <c r="D183" s="15" t="n">
        <f aca="false">COUNTIFS('تفاصيل الفرص'!$B$2:$B$372,$B183,'تفاصيل الفرص'!$D$2:$D$372,$C183)</f>
        <v>11</v>
      </c>
      <c r="E183" s="13" t="n">
        <f aca="false">COUNTIFS('تفاصيل الفرص'!$B$2:$B$372,$B183,'تفاصيل الفرص'!$D$2:$D$372,$C183,'تفاصيل الفرص'!$X$2:$X$372,0)</f>
        <v>0</v>
      </c>
      <c r="F183" s="13" t="n">
        <f aca="false">COUNTIFS('سجل الأكشنات'!$B$2:$B$933,$B183,'سجل الأكشنات'!$D$2:$D$933,$C183)</f>
        <v>15</v>
      </c>
      <c r="G183" s="13" t="n">
        <f aca="false">COUNTIFS('سجل الأكشنات'!$B$2:$B$933,$B183,'سجل الأكشنات'!$D$2:$D$933,$C183,'سجل الأكشنات'!$H$2:$H$933,"تفصيلي")</f>
        <v>15</v>
      </c>
      <c r="H183" s="13" t="n">
        <f aca="false">F183-G183</f>
        <v>0</v>
      </c>
      <c r="I183" s="13" t="str">
        <f aca="false">IF($B183&gt;"2026-09-30","لا توجد بيانات بعد",IF(AND(D183=0,F183=0),"بدون نشاط","نشِط"))</f>
        <v>نشِط</v>
      </c>
    </row>
    <row r="184" customFormat="false" ht="15" hidden="false" customHeight="false" outlineLevel="0" collapsed="false">
      <c r="A184" s="5" t="s">
        <v>63</v>
      </c>
      <c r="B184" s="5" t="s">
        <v>78</v>
      </c>
      <c r="C184" s="4" t="s">
        <v>18</v>
      </c>
      <c r="D184" s="5" t="n">
        <f aca="false">COUNTIFS('تفاصيل الفرص'!$B$2:$B$372,$B184,'تفاصيل الفرص'!$D$2:$D$372,$C184)</f>
        <v>2</v>
      </c>
      <c r="E184" s="5" t="n">
        <f aca="false">COUNTIFS('تفاصيل الفرص'!$B$2:$B$372,$B184,'تفاصيل الفرص'!$D$2:$D$372,$C184,'تفاصيل الفرص'!$X$2:$X$372,0)</f>
        <v>0</v>
      </c>
      <c r="F184" s="5" t="n">
        <f aca="false">COUNTIFS('سجل الأكشنات'!$B$2:$B$933,$B184,'سجل الأكشنات'!$D$2:$D$933,$C184)</f>
        <v>7</v>
      </c>
      <c r="G184" s="5" t="n">
        <f aca="false">COUNTIFS('سجل الأكشنات'!$B$2:$B$933,$B184,'سجل الأكشنات'!$D$2:$D$933,$C184,'سجل الأكشنات'!$H$2:$H$933,"تفصيلي")</f>
        <v>7</v>
      </c>
      <c r="H184" s="5" t="n">
        <f aca="false">F184-G184</f>
        <v>0</v>
      </c>
      <c r="I184" s="12" t="str">
        <f aca="false">IF($B184&gt;"2026-09-30","لا توجد بيانات بعد",IF(AND(D184=0,F184=0),"بدون نشاط","نشِط"))</f>
        <v>نشِط</v>
      </c>
    </row>
    <row r="185" customFormat="false" ht="15" hidden="false" customHeight="false" outlineLevel="0" collapsed="false">
      <c r="A185" s="5" t="s">
        <v>63</v>
      </c>
      <c r="B185" s="5" t="s">
        <v>78</v>
      </c>
      <c r="C185" s="4" t="s">
        <v>20</v>
      </c>
      <c r="D185" s="5" t="n">
        <f aca="false">COUNTIFS('تفاصيل الفرص'!$B$2:$B$372,$B185,'تفاصيل الفرص'!$D$2:$D$372,$C185)</f>
        <v>8</v>
      </c>
      <c r="E185" s="5" t="n">
        <f aca="false">COUNTIFS('تفاصيل الفرص'!$B$2:$B$372,$B185,'تفاصيل الفرص'!$D$2:$D$372,$C185,'تفاصيل الفرص'!$X$2:$X$372,0)</f>
        <v>0</v>
      </c>
      <c r="F185" s="5" t="n">
        <f aca="false">COUNTIFS('سجل الأكشنات'!$B$2:$B$933,$B185,'سجل الأكشنات'!$D$2:$D$933,$C185)</f>
        <v>8</v>
      </c>
      <c r="G185" s="5" t="n">
        <f aca="false">COUNTIFS('سجل الأكشنات'!$B$2:$B$933,$B185,'سجل الأكشنات'!$D$2:$D$933,$C185,'سجل الأكشنات'!$H$2:$H$933,"تفصيلي")</f>
        <v>8</v>
      </c>
      <c r="H185" s="5" t="n">
        <f aca="false">F185-G185</f>
        <v>0</v>
      </c>
      <c r="I185" s="12" t="str">
        <f aca="false">IF($B185&gt;"2026-09-30","لا توجد بيانات بعد",IF(AND(D185=0,F185=0),"بدون نشاط","نشِط"))</f>
        <v>نشِط</v>
      </c>
    </row>
    <row r="186" customFormat="false" ht="15" hidden="false" customHeight="false" outlineLevel="0" collapsed="false">
      <c r="A186" s="5" t="s">
        <v>63</v>
      </c>
      <c r="B186" s="5" t="s">
        <v>78</v>
      </c>
      <c r="C186" s="4" t="s">
        <v>22</v>
      </c>
      <c r="D186" s="5" t="n">
        <f aca="false">COUNTIFS('تفاصيل الفرص'!$B$2:$B$372,$B186,'تفاصيل الفرص'!$D$2:$D$372,$C186)</f>
        <v>3</v>
      </c>
      <c r="E186" s="5" t="n">
        <f aca="false">COUNTIFS('تفاصيل الفرص'!$B$2:$B$372,$B186,'تفاصيل الفرص'!$D$2:$D$372,$C186,'تفاصيل الفرص'!$X$2:$X$372,0)</f>
        <v>0</v>
      </c>
      <c r="F186" s="5" t="n">
        <f aca="false">COUNTIFS('سجل الأكشنات'!$B$2:$B$933,$B186,'سجل الأكشنات'!$D$2:$D$933,$C186)</f>
        <v>4</v>
      </c>
      <c r="G186" s="5" t="n">
        <f aca="false">COUNTIFS('سجل الأكشنات'!$B$2:$B$933,$B186,'سجل الأكشنات'!$D$2:$D$933,$C186,'سجل الأكشنات'!$H$2:$H$933,"تفصيلي")</f>
        <v>0</v>
      </c>
      <c r="H186" s="5" t="n">
        <f aca="false">F186-G186</f>
        <v>4</v>
      </c>
      <c r="I186" s="12" t="str">
        <f aca="false">IF($B186&gt;"2026-09-30","لا توجد بيانات بعد",IF(AND(D186=0,F186=0),"بدون نشاط","نشِط"))</f>
        <v>نشِط</v>
      </c>
    </row>
    <row r="187" customFormat="false" ht="15" hidden="false" customHeight="false" outlineLevel="0" collapsed="false">
      <c r="A187" s="5" t="s">
        <v>63</v>
      </c>
      <c r="B187" s="5" t="s">
        <v>78</v>
      </c>
      <c r="C187" s="4" t="s">
        <v>24</v>
      </c>
      <c r="D187" s="5" t="n">
        <f aca="false">COUNTIFS('تفاصيل الفرص'!$B$2:$B$372,$B187,'تفاصيل الفرص'!$D$2:$D$372,$C187)</f>
        <v>0</v>
      </c>
      <c r="E187" s="5" t="n">
        <f aca="false">COUNTIFS('تفاصيل الفرص'!$B$2:$B$372,$B187,'تفاصيل الفرص'!$D$2:$D$372,$C187,'تفاصيل الفرص'!$X$2:$X$372,0)</f>
        <v>0</v>
      </c>
      <c r="F187" s="5" t="n">
        <f aca="false">COUNTIFS('سجل الأكشنات'!$B$2:$B$933,$B187,'سجل الأكشنات'!$D$2:$D$933,$C187)</f>
        <v>6</v>
      </c>
      <c r="G187" s="5" t="n">
        <f aca="false">COUNTIFS('سجل الأكشنات'!$B$2:$B$933,$B187,'سجل الأكشنات'!$D$2:$D$933,$C187,'سجل الأكشنات'!$H$2:$H$933,"تفصيلي")</f>
        <v>6</v>
      </c>
      <c r="H187" s="5" t="n">
        <f aca="false">F187-G187</f>
        <v>0</v>
      </c>
      <c r="I187" s="12" t="str">
        <f aca="false">IF($B187&gt;"2026-09-30","لا توجد بيانات بعد",IF(AND(D187=0,F187=0),"بدون نشاط","نشِط"))</f>
        <v>نشِط</v>
      </c>
    </row>
    <row r="188" customFormat="false" ht="15" hidden="false" customHeight="false" outlineLevel="0" collapsed="false">
      <c r="A188" s="5" t="s">
        <v>63</v>
      </c>
      <c r="B188" s="5" t="s">
        <v>78</v>
      </c>
      <c r="C188" s="4" t="s">
        <v>26</v>
      </c>
      <c r="D188" s="5" t="n">
        <f aca="false">COUNTIFS('تفاصيل الفرص'!$B$2:$B$372,$B188,'تفاصيل الفرص'!$D$2:$D$372,$C188)</f>
        <v>0</v>
      </c>
      <c r="E188" s="5" t="n">
        <f aca="false">COUNTIFS('تفاصيل الفرص'!$B$2:$B$372,$B188,'تفاصيل الفرص'!$D$2:$D$372,$C188,'تفاصيل الفرص'!$X$2:$X$372,0)</f>
        <v>0</v>
      </c>
      <c r="F188" s="5" t="n">
        <f aca="false">COUNTIFS('سجل الأكشنات'!$B$2:$B$933,$B188,'سجل الأكشنات'!$D$2:$D$933,$C188)</f>
        <v>0</v>
      </c>
      <c r="G188" s="5" t="n">
        <f aca="false">COUNTIFS('سجل الأكشنات'!$B$2:$B$933,$B188,'سجل الأكشنات'!$D$2:$D$933,$C188,'سجل الأكشنات'!$H$2:$H$933,"تفصيلي")</f>
        <v>0</v>
      </c>
      <c r="H188" s="5" t="n">
        <f aca="false">F188-G188</f>
        <v>0</v>
      </c>
      <c r="I188" s="12" t="str">
        <f aca="false">IF($B188&gt;"2026-09-30","لا توجد بيانات بعد",IF(AND(D188=0,F188=0),"بدون نشاط","نشِط"))</f>
        <v>بدون نشاط</v>
      </c>
    </row>
    <row r="189" customFormat="false" ht="15" hidden="false" customHeight="false" outlineLevel="0" collapsed="false">
      <c r="A189" s="5" t="s">
        <v>63</v>
      </c>
      <c r="B189" s="5" t="s">
        <v>78</v>
      </c>
      <c r="C189" s="4" t="s">
        <v>28</v>
      </c>
      <c r="D189" s="5" t="n">
        <f aca="false">COUNTIFS('تفاصيل الفرص'!$B$2:$B$372,$B189,'تفاصيل الفرص'!$D$2:$D$372,$C189)</f>
        <v>0</v>
      </c>
      <c r="E189" s="5" t="n">
        <f aca="false">COUNTIFS('تفاصيل الفرص'!$B$2:$B$372,$B189,'تفاصيل الفرص'!$D$2:$D$372,$C189,'تفاصيل الفرص'!$X$2:$X$372,0)</f>
        <v>0</v>
      </c>
      <c r="F189" s="5" t="n">
        <f aca="false">COUNTIFS('سجل الأكشنات'!$B$2:$B$933,$B189,'سجل الأكشنات'!$D$2:$D$933,$C189)</f>
        <v>4</v>
      </c>
      <c r="G189" s="5" t="n">
        <f aca="false">COUNTIFS('سجل الأكشنات'!$B$2:$B$933,$B189,'سجل الأكشنات'!$D$2:$D$933,$C189,'سجل الأكشنات'!$H$2:$H$933,"تفصيلي")</f>
        <v>4</v>
      </c>
      <c r="H189" s="5" t="n">
        <f aca="false">F189-G189</f>
        <v>0</v>
      </c>
      <c r="I189" s="12" t="str">
        <f aca="false">IF($B189&gt;"2026-09-30","لا توجد بيانات بعد",IF(AND(D189=0,F189=0),"بدون نشاط","نشِط"))</f>
        <v>نشِط</v>
      </c>
    </row>
    <row r="190" customFormat="false" ht="15" hidden="false" customHeight="false" outlineLevel="0" collapsed="false">
      <c r="A190" s="5" t="s">
        <v>63</v>
      </c>
      <c r="B190" s="5" t="s">
        <v>78</v>
      </c>
      <c r="C190" s="4" t="s">
        <v>30</v>
      </c>
      <c r="D190" s="5" t="n">
        <f aca="false">COUNTIFS('تفاصيل الفرص'!$B$2:$B$372,$B190,'تفاصيل الفرص'!$D$2:$D$372,$C190)</f>
        <v>0</v>
      </c>
      <c r="E190" s="5" t="n">
        <f aca="false">COUNTIFS('تفاصيل الفرص'!$B$2:$B$372,$B190,'تفاصيل الفرص'!$D$2:$D$372,$C190,'تفاصيل الفرص'!$X$2:$X$372,0)</f>
        <v>0</v>
      </c>
      <c r="F190" s="5" t="n">
        <f aca="false">COUNTIFS('سجل الأكشنات'!$B$2:$B$933,$B190,'سجل الأكشنات'!$D$2:$D$933,$C190)</f>
        <v>0</v>
      </c>
      <c r="G190" s="5" t="n">
        <f aca="false">COUNTIFS('سجل الأكشنات'!$B$2:$B$933,$B190,'سجل الأكشنات'!$D$2:$D$933,$C190,'سجل الأكشنات'!$H$2:$H$933,"تفصيلي")</f>
        <v>0</v>
      </c>
      <c r="H190" s="5" t="n">
        <f aca="false">F190-G190</f>
        <v>0</v>
      </c>
      <c r="I190" s="12" t="str">
        <f aca="false">IF($B190&gt;"2026-09-30","لا توجد بيانات بعد",IF(AND(D190=0,F190=0),"بدون نشاط","نشِط"))</f>
        <v>بدون نشاط</v>
      </c>
    </row>
    <row r="191" customFormat="false" ht="15" hidden="false" customHeight="false" outlineLevel="0" collapsed="false">
      <c r="A191" s="5" t="s">
        <v>63</v>
      </c>
      <c r="B191" s="5" t="s">
        <v>78</v>
      </c>
      <c r="C191" s="4" t="s">
        <v>32</v>
      </c>
      <c r="D191" s="5" t="n">
        <f aca="false">COUNTIFS('تفاصيل الفرص'!$B$2:$B$372,$B191,'تفاصيل الفرص'!$D$2:$D$372,$C191)</f>
        <v>4</v>
      </c>
      <c r="E191" s="5" t="n">
        <f aca="false">COUNTIFS('تفاصيل الفرص'!$B$2:$B$372,$B191,'تفاصيل الفرص'!$D$2:$D$372,$C191,'تفاصيل الفرص'!$X$2:$X$372,0)</f>
        <v>0</v>
      </c>
      <c r="F191" s="5" t="n">
        <f aca="false">COUNTIFS('سجل الأكشنات'!$B$2:$B$933,$B191,'سجل الأكشنات'!$D$2:$D$933,$C191)</f>
        <v>4</v>
      </c>
      <c r="G191" s="5" t="n">
        <f aca="false">COUNTIFS('سجل الأكشنات'!$B$2:$B$933,$B191,'سجل الأكشنات'!$D$2:$D$933,$C191,'سجل الأكشنات'!$H$2:$H$933,"تفصيلي")</f>
        <v>4</v>
      </c>
      <c r="H191" s="5" t="n">
        <f aca="false">F191-G191</f>
        <v>0</v>
      </c>
      <c r="I191" s="12" t="str">
        <f aca="false">IF($B191&gt;"2026-09-30","لا توجد بيانات بعد",IF(AND(D191=0,F191=0),"بدون نشاط","نشِط"))</f>
        <v>نشِط</v>
      </c>
    </row>
    <row r="192" customFormat="false" ht="15" hidden="false" customHeight="false" outlineLevel="0" collapsed="false">
      <c r="A192" s="5" t="s">
        <v>63</v>
      </c>
      <c r="B192" s="5" t="s">
        <v>78</v>
      </c>
      <c r="C192" s="4" t="s">
        <v>34</v>
      </c>
      <c r="D192" s="5" t="n">
        <f aca="false">COUNTIFS('تفاصيل الفرص'!$B$2:$B$372,$B192,'تفاصيل الفرص'!$D$2:$D$372,$C192)</f>
        <v>2</v>
      </c>
      <c r="E192" s="5" t="n">
        <f aca="false">COUNTIFS('تفاصيل الفرص'!$B$2:$B$372,$B192,'تفاصيل الفرص'!$D$2:$D$372,$C192,'تفاصيل الفرص'!$X$2:$X$372,0)</f>
        <v>0</v>
      </c>
      <c r="F192" s="5" t="n">
        <f aca="false">COUNTIFS('سجل الأكشنات'!$B$2:$B$933,$B192,'سجل الأكشنات'!$D$2:$D$933,$C192)</f>
        <v>9</v>
      </c>
      <c r="G192" s="5" t="n">
        <f aca="false">COUNTIFS('سجل الأكشنات'!$B$2:$B$933,$B192,'سجل الأكشنات'!$D$2:$D$933,$C192,'سجل الأكشنات'!$H$2:$H$933,"تفصيلي")</f>
        <v>8</v>
      </c>
      <c r="H192" s="5" t="n">
        <f aca="false">F192-G192</f>
        <v>1</v>
      </c>
      <c r="I192" s="12" t="str">
        <f aca="false">IF($B192&gt;"2026-09-30","لا توجد بيانات بعد",IF(AND(D192=0,F192=0),"بدون نشاط","نشِط"))</f>
        <v>نشِط</v>
      </c>
    </row>
    <row r="193" customFormat="false" ht="15" hidden="false" customHeight="false" outlineLevel="0" collapsed="false">
      <c r="A193" s="13" t="s">
        <v>51</v>
      </c>
      <c r="B193" s="13" t="s">
        <v>79</v>
      </c>
      <c r="C193" s="14" t="s">
        <v>18</v>
      </c>
      <c r="D193" s="15" t="n">
        <f aca="false">COUNTIFS('تفاصيل الفرص'!$B$2:$B$372,$B193,'تفاصيل الفرص'!$D$2:$D$372,$C193)</f>
        <v>3</v>
      </c>
      <c r="E193" s="13" t="n">
        <f aca="false">COUNTIFS('تفاصيل الفرص'!$B$2:$B$372,$B193,'تفاصيل الفرص'!$D$2:$D$372,$C193,'تفاصيل الفرص'!$X$2:$X$372,0)</f>
        <v>0</v>
      </c>
      <c r="F193" s="13" t="n">
        <f aca="false">COUNTIFS('سجل الأكشنات'!$B$2:$B$933,$B193,'سجل الأكشنات'!$D$2:$D$933,$C193)</f>
        <v>4</v>
      </c>
      <c r="G193" s="13" t="n">
        <f aca="false">COUNTIFS('سجل الأكشنات'!$B$2:$B$933,$B193,'سجل الأكشنات'!$D$2:$D$933,$C193,'سجل الأكشنات'!$H$2:$H$933,"تفصيلي")</f>
        <v>4</v>
      </c>
      <c r="H193" s="13" t="n">
        <f aca="false">F193-G193</f>
        <v>0</v>
      </c>
      <c r="I193" s="13" t="str">
        <f aca="false">IF($B193&gt;"2026-09-30","لا توجد بيانات بعد",IF(AND(D193=0,F193=0),"بدون نشاط","نشِط"))</f>
        <v>نشِط</v>
      </c>
    </row>
    <row r="194" customFormat="false" ht="15" hidden="false" customHeight="false" outlineLevel="0" collapsed="false">
      <c r="A194" s="13" t="s">
        <v>51</v>
      </c>
      <c r="B194" s="13" t="s">
        <v>79</v>
      </c>
      <c r="C194" s="14" t="s">
        <v>20</v>
      </c>
      <c r="D194" s="15" t="n">
        <f aca="false">COUNTIFS('تفاصيل الفرص'!$B$2:$B$372,$B194,'تفاصيل الفرص'!$D$2:$D$372,$C194)</f>
        <v>1</v>
      </c>
      <c r="E194" s="13" t="n">
        <f aca="false">COUNTIFS('تفاصيل الفرص'!$B$2:$B$372,$B194,'تفاصيل الفرص'!$D$2:$D$372,$C194,'تفاصيل الفرص'!$X$2:$X$372,0)</f>
        <v>0</v>
      </c>
      <c r="F194" s="13" t="n">
        <f aca="false">COUNTIFS('سجل الأكشنات'!$B$2:$B$933,$B194,'سجل الأكشنات'!$D$2:$D$933,$C194)</f>
        <v>10</v>
      </c>
      <c r="G194" s="13" t="n">
        <f aca="false">COUNTIFS('سجل الأكشنات'!$B$2:$B$933,$B194,'سجل الأكشنات'!$D$2:$D$933,$C194,'سجل الأكشنات'!$H$2:$H$933,"تفصيلي")</f>
        <v>10</v>
      </c>
      <c r="H194" s="13" t="n">
        <f aca="false">F194-G194</f>
        <v>0</v>
      </c>
      <c r="I194" s="13" t="str">
        <f aca="false">IF($B194&gt;"2026-09-30","لا توجد بيانات بعد",IF(AND(D194=0,F194=0),"بدون نشاط","نشِط"))</f>
        <v>نشِط</v>
      </c>
    </row>
    <row r="195" customFormat="false" ht="15" hidden="false" customHeight="false" outlineLevel="0" collapsed="false">
      <c r="A195" s="13" t="s">
        <v>51</v>
      </c>
      <c r="B195" s="13" t="s">
        <v>79</v>
      </c>
      <c r="C195" s="14" t="s">
        <v>22</v>
      </c>
      <c r="D195" s="15" t="n">
        <f aca="false">COUNTIFS('تفاصيل الفرص'!$B$2:$B$372,$B195,'تفاصيل الفرص'!$D$2:$D$372,$C195)</f>
        <v>0</v>
      </c>
      <c r="E195" s="13" t="n">
        <f aca="false">COUNTIFS('تفاصيل الفرص'!$B$2:$B$372,$B195,'تفاصيل الفرص'!$D$2:$D$372,$C195,'تفاصيل الفرص'!$X$2:$X$372,0)</f>
        <v>0</v>
      </c>
      <c r="F195" s="13" t="n">
        <f aca="false">COUNTIFS('سجل الأكشنات'!$B$2:$B$933,$B195,'سجل الأكشنات'!$D$2:$D$933,$C195)</f>
        <v>1</v>
      </c>
      <c r="G195" s="13" t="n">
        <f aca="false">COUNTIFS('سجل الأكشنات'!$B$2:$B$933,$B195,'سجل الأكشنات'!$D$2:$D$933,$C195,'سجل الأكشنات'!$H$2:$H$933,"تفصيلي")</f>
        <v>0</v>
      </c>
      <c r="H195" s="13" t="n">
        <f aca="false">F195-G195</f>
        <v>1</v>
      </c>
      <c r="I195" s="13" t="str">
        <f aca="false">IF($B195&gt;"2026-09-30","لا توجد بيانات بعد",IF(AND(D195=0,F195=0),"بدون نشاط","نشِط"))</f>
        <v>نشِط</v>
      </c>
    </row>
    <row r="196" customFormat="false" ht="15" hidden="false" customHeight="false" outlineLevel="0" collapsed="false">
      <c r="A196" s="13" t="s">
        <v>51</v>
      </c>
      <c r="B196" s="13" t="s">
        <v>79</v>
      </c>
      <c r="C196" s="14" t="s">
        <v>24</v>
      </c>
      <c r="D196" s="15" t="n">
        <f aca="false">COUNTIFS('تفاصيل الفرص'!$B$2:$B$372,$B196,'تفاصيل الفرص'!$D$2:$D$372,$C196)</f>
        <v>3</v>
      </c>
      <c r="E196" s="13" t="n">
        <f aca="false">COUNTIFS('تفاصيل الفرص'!$B$2:$B$372,$B196,'تفاصيل الفرص'!$D$2:$D$372,$C196,'تفاصيل الفرص'!$X$2:$X$372,0)</f>
        <v>0</v>
      </c>
      <c r="F196" s="13" t="n">
        <f aca="false">COUNTIFS('سجل الأكشنات'!$B$2:$B$933,$B196,'سجل الأكشنات'!$D$2:$D$933,$C196)</f>
        <v>5</v>
      </c>
      <c r="G196" s="13" t="n">
        <f aca="false">COUNTIFS('سجل الأكشنات'!$B$2:$B$933,$B196,'سجل الأكشنات'!$D$2:$D$933,$C196,'سجل الأكشنات'!$H$2:$H$933,"تفصيلي")</f>
        <v>5</v>
      </c>
      <c r="H196" s="13" t="n">
        <f aca="false">F196-G196</f>
        <v>0</v>
      </c>
      <c r="I196" s="13" t="str">
        <f aca="false">IF($B196&gt;"2026-09-30","لا توجد بيانات بعد",IF(AND(D196=0,F196=0),"بدون نشاط","نشِط"))</f>
        <v>نشِط</v>
      </c>
    </row>
    <row r="197" customFormat="false" ht="15" hidden="false" customHeight="false" outlineLevel="0" collapsed="false">
      <c r="A197" s="13" t="s">
        <v>51</v>
      </c>
      <c r="B197" s="13" t="s">
        <v>79</v>
      </c>
      <c r="C197" s="14" t="s">
        <v>26</v>
      </c>
      <c r="D197" s="15" t="n">
        <f aca="false">COUNTIFS('تفاصيل الفرص'!$B$2:$B$372,$B197,'تفاصيل الفرص'!$D$2:$D$372,$C197)</f>
        <v>0</v>
      </c>
      <c r="E197" s="13" t="n">
        <f aca="false">COUNTIFS('تفاصيل الفرص'!$B$2:$B$372,$B197,'تفاصيل الفرص'!$D$2:$D$372,$C197,'تفاصيل الفرص'!$X$2:$X$372,0)</f>
        <v>0</v>
      </c>
      <c r="F197" s="13" t="n">
        <f aca="false">COUNTIFS('سجل الأكشنات'!$B$2:$B$933,$B197,'سجل الأكشنات'!$D$2:$D$933,$C197)</f>
        <v>0</v>
      </c>
      <c r="G197" s="13" t="n">
        <f aca="false">COUNTIFS('سجل الأكشنات'!$B$2:$B$933,$B197,'سجل الأكشنات'!$D$2:$D$933,$C197,'سجل الأكشنات'!$H$2:$H$933,"تفصيلي")</f>
        <v>0</v>
      </c>
      <c r="H197" s="13" t="n">
        <f aca="false">F197-G197</f>
        <v>0</v>
      </c>
      <c r="I197" s="13" t="str">
        <f aca="false">IF($B197&gt;"2026-09-30","لا توجد بيانات بعد",IF(AND(D197=0,F197=0),"بدون نشاط","نشِط"))</f>
        <v>بدون نشاط</v>
      </c>
    </row>
    <row r="198" customFormat="false" ht="15" hidden="false" customHeight="false" outlineLevel="0" collapsed="false">
      <c r="A198" s="13" t="s">
        <v>51</v>
      </c>
      <c r="B198" s="13" t="s">
        <v>79</v>
      </c>
      <c r="C198" s="14" t="s">
        <v>28</v>
      </c>
      <c r="D198" s="15" t="n">
        <f aca="false">COUNTIFS('تفاصيل الفرص'!$B$2:$B$372,$B198,'تفاصيل الفرص'!$D$2:$D$372,$C198)</f>
        <v>0</v>
      </c>
      <c r="E198" s="13" t="n">
        <f aca="false">COUNTIFS('تفاصيل الفرص'!$B$2:$B$372,$B198,'تفاصيل الفرص'!$D$2:$D$372,$C198,'تفاصيل الفرص'!$X$2:$X$372,0)</f>
        <v>0</v>
      </c>
      <c r="F198" s="13" t="n">
        <f aca="false">COUNTIFS('سجل الأكشنات'!$B$2:$B$933,$B198,'سجل الأكشنات'!$D$2:$D$933,$C198)</f>
        <v>5</v>
      </c>
      <c r="G198" s="13" t="n">
        <f aca="false">COUNTIFS('سجل الأكشنات'!$B$2:$B$933,$B198,'سجل الأكشنات'!$D$2:$D$933,$C198,'سجل الأكشنات'!$H$2:$H$933,"تفصيلي")</f>
        <v>5</v>
      </c>
      <c r="H198" s="13" t="n">
        <f aca="false">F198-G198</f>
        <v>0</v>
      </c>
      <c r="I198" s="13" t="str">
        <f aca="false">IF($B198&gt;"2026-09-30","لا توجد بيانات بعد",IF(AND(D198=0,F198=0),"بدون نشاط","نشِط"))</f>
        <v>نشِط</v>
      </c>
    </row>
    <row r="199" customFormat="false" ht="15" hidden="false" customHeight="false" outlineLevel="0" collapsed="false">
      <c r="A199" s="13" t="s">
        <v>51</v>
      </c>
      <c r="B199" s="13" t="s">
        <v>79</v>
      </c>
      <c r="C199" s="14" t="s">
        <v>30</v>
      </c>
      <c r="D199" s="15" t="n">
        <f aca="false">COUNTIFS('تفاصيل الفرص'!$B$2:$B$372,$B199,'تفاصيل الفرص'!$D$2:$D$372,$C199)</f>
        <v>6</v>
      </c>
      <c r="E199" s="13" t="n">
        <f aca="false">COUNTIFS('تفاصيل الفرص'!$B$2:$B$372,$B199,'تفاصيل الفرص'!$D$2:$D$372,$C199,'تفاصيل الفرص'!$X$2:$X$372,0)</f>
        <v>0</v>
      </c>
      <c r="F199" s="13" t="n">
        <f aca="false">COUNTIFS('سجل الأكشنات'!$B$2:$B$933,$B199,'سجل الأكشنات'!$D$2:$D$933,$C199)</f>
        <v>6</v>
      </c>
      <c r="G199" s="13" t="n">
        <f aca="false">COUNTIFS('سجل الأكشنات'!$B$2:$B$933,$B199,'سجل الأكشنات'!$D$2:$D$933,$C199,'سجل الأكشنات'!$H$2:$H$933,"تفصيلي")</f>
        <v>5</v>
      </c>
      <c r="H199" s="13" t="n">
        <f aca="false">F199-G199</f>
        <v>1</v>
      </c>
      <c r="I199" s="13" t="str">
        <f aca="false">IF($B199&gt;"2026-09-30","لا توجد بيانات بعد",IF(AND(D199=0,F199=0),"بدون نشاط","نشِط"))</f>
        <v>نشِط</v>
      </c>
    </row>
    <row r="200" customFormat="false" ht="15" hidden="false" customHeight="false" outlineLevel="0" collapsed="false">
      <c r="A200" s="13" t="s">
        <v>51</v>
      </c>
      <c r="B200" s="13" t="s">
        <v>79</v>
      </c>
      <c r="C200" s="14" t="s">
        <v>32</v>
      </c>
      <c r="D200" s="15" t="n">
        <f aca="false">COUNTIFS('تفاصيل الفرص'!$B$2:$B$372,$B200,'تفاصيل الفرص'!$D$2:$D$372,$C200)</f>
        <v>1</v>
      </c>
      <c r="E200" s="13" t="n">
        <f aca="false">COUNTIFS('تفاصيل الفرص'!$B$2:$B$372,$B200,'تفاصيل الفرص'!$D$2:$D$372,$C200,'تفاصيل الفرص'!$X$2:$X$372,0)</f>
        <v>0</v>
      </c>
      <c r="F200" s="13" t="n">
        <f aca="false">COUNTIFS('سجل الأكشنات'!$B$2:$B$933,$B200,'سجل الأكشنات'!$D$2:$D$933,$C200)</f>
        <v>9</v>
      </c>
      <c r="G200" s="13" t="n">
        <f aca="false">COUNTIFS('سجل الأكشنات'!$B$2:$B$933,$B200,'سجل الأكشنات'!$D$2:$D$933,$C200,'سجل الأكشنات'!$H$2:$H$933,"تفصيلي")</f>
        <v>2</v>
      </c>
      <c r="H200" s="13" t="n">
        <f aca="false">F200-G200</f>
        <v>7</v>
      </c>
      <c r="I200" s="13" t="str">
        <f aca="false">IF($B200&gt;"2026-09-30","لا توجد بيانات بعد",IF(AND(D200=0,F200=0),"بدون نشاط","نشِط"))</f>
        <v>نشِط</v>
      </c>
    </row>
    <row r="201" customFormat="false" ht="15" hidden="false" customHeight="false" outlineLevel="0" collapsed="false">
      <c r="A201" s="13" t="s">
        <v>51</v>
      </c>
      <c r="B201" s="13" t="s">
        <v>79</v>
      </c>
      <c r="C201" s="14" t="s">
        <v>34</v>
      </c>
      <c r="D201" s="15" t="n">
        <f aca="false">COUNTIFS('تفاصيل الفرص'!$B$2:$B$372,$B201,'تفاصيل الفرص'!$D$2:$D$372,$C201)</f>
        <v>8</v>
      </c>
      <c r="E201" s="13" t="n">
        <f aca="false">COUNTIFS('تفاصيل الفرص'!$B$2:$B$372,$B201,'تفاصيل الفرص'!$D$2:$D$372,$C201,'تفاصيل الفرص'!$X$2:$X$372,0)</f>
        <v>0</v>
      </c>
      <c r="F201" s="13" t="n">
        <f aca="false">COUNTIFS('سجل الأكشنات'!$B$2:$B$933,$B201,'سجل الأكشنات'!$D$2:$D$933,$C201)</f>
        <v>15</v>
      </c>
      <c r="G201" s="13" t="n">
        <f aca="false">COUNTIFS('سجل الأكشنات'!$B$2:$B$933,$B201,'سجل الأكشنات'!$D$2:$D$933,$C201,'سجل الأكشنات'!$H$2:$H$933,"تفصيلي")</f>
        <v>14</v>
      </c>
      <c r="H201" s="13" t="n">
        <f aca="false">F201-G201</f>
        <v>1</v>
      </c>
      <c r="I201" s="13" t="str">
        <f aca="false">IF($B201&gt;"2026-09-30","لا توجد بيانات بعد",IF(AND(D201=0,F201=0),"بدون نشاط","نشِط"))</f>
        <v>نشِط</v>
      </c>
    </row>
    <row r="202" customFormat="false" ht="15" hidden="false" customHeight="false" outlineLevel="0" collapsed="false">
      <c r="A202" s="5" t="s">
        <v>53</v>
      </c>
      <c r="B202" s="5" t="s">
        <v>80</v>
      </c>
      <c r="C202" s="4" t="s">
        <v>18</v>
      </c>
      <c r="D202" s="5" t="n">
        <f aca="false">COUNTIFS('تفاصيل الفرص'!$B$2:$B$372,$B202,'تفاصيل الفرص'!$D$2:$D$372,$C202)</f>
        <v>5</v>
      </c>
      <c r="E202" s="5" t="n">
        <f aca="false">COUNTIFS('تفاصيل الفرص'!$B$2:$B$372,$B202,'تفاصيل الفرص'!$D$2:$D$372,$C202,'تفاصيل الفرص'!$X$2:$X$372,0)</f>
        <v>0</v>
      </c>
      <c r="F202" s="5" t="n">
        <f aca="false">COUNTIFS('سجل الأكشنات'!$B$2:$B$933,$B202,'سجل الأكشنات'!$D$2:$D$933,$C202)</f>
        <v>9</v>
      </c>
      <c r="G202" s="5" t="n">
        <f aca="false">COUNTIFS('سجل الأكشنات'!$B$2:$B$933,$B202,'سجل الأكشنات'!$D$2:$D$933,$C202,'سجل الأكشنات'!$H$2:$H$933,"تفصيلي")</f>
        <v>9</v>
      </c>
      <c r="H202" s="5" t="n">
        <f aca="false">F202-G202</f>
        <v>0</v>
      </c>
      <c r="I202" s="12" t="str">
        <f aca="false">IF($B202&gt;"2026-09-30","لا توجد بيانات بعد",IF(AND(D202=0,F202=0),"بدون نشاط","نشِط"))</f>
        <v>نشِط</v>
      </c>
    </row>
    <row r="203" customFormat="false" ht="15" hidden="false" customHeight="false" outlineLevel="0" collapsed="false">
      <c r="A203" s="5" t="s">
        <v>53</v>
      </c>
      <c r="B203" s="5" t="s">
        <v>80</v>
      </c>
      <c r="C203" s="4" t="s">
        <v>20</v>
      </c>
      <c r="D203" s="5" t="n">
        <f aca="false">COUNTIFS('تفاصيل الفرص'!$B$2:$B$372,$B203,'تفاصيل الفرص'!$D$2:$D$372,$C203)</f>
        <v>3</v>
      </c>
      <c r="E203" s="5" t="n">
        <f aca="false">COUNTIFS('تفاصيل الفرص'!$B$2:$B$372,$B203,'تفاصيل الفرص'!$D$2:$D$372,$C203,'تفاصيل الفرص'!$X$2:$X$372,0)</f>
        <v>0</v>
      </c>
      <c r="F203" s="5" t="n">
        <f aca="false">COUNTIFS('سجل الأكشنات'!$B$2:$B$933,$B203,'سجل الأكشنات'!$D$2:$D$933,$C203)</f>
        <v>8</v>
      </c>
      <c r="G203" s="5" t="n">
        <f aca="false">COUNTIFS('سجل الأكشنات'!$B$2:$B$933,$B203,'سجل الأكشنات'!$D$2:$D$933,$C203,'سجل الأكشنات'!$H$2:$H$933,"تفصيلي")</f>
        <v>8</v>
      </c>
      <c r="H203" s="5" t="n">
        <f aca="false">F203-G203</f>
        <v>0</v>
      </c>
      <c r="I203" s="12" t="str">
        <f aca="false">IF($B203&gt;"2026-09-30","لا توجد بيانات بعد",IF(AND(D203=0,F203=0),"بدون نشاط","نشِط"))</f>
        <v>نشِط</v>
      </c>
    </row>
    <row r="204" customFormat="false" ht="15" hidden="false" customHeight="false" outlineLevel="0" collapsed="false">
      <c r="A204" s="5" t="s">
        <v>53</v>
      </c>
      <c r="B204" s="5" t="s">
        <v>80</v>
      </c>
      <c r="C204" s="4" t="s">
        <v>22</v>
      </c>
      <c r="D204" s="5" t="n">
        <f aca="false">COUNTIFS('تفاصيل الفرص'!$B$2:$B$372,$B204,'تفاصيل الفرص'!$D$2:$D$372,$C204)</f>
        <v>0</v>
      </c>
      <c r="E204" s="5" t="n">
        <f aca="false">COUNTIFS('تفاصيل الفرص'!$B$2:$B$372,$B204,'تفاصيل الفرص'!$D$2:$D$372,$C204,'تفاصيل الفرص'!$X$2:$X$372,0)</f>
        <v>0</v>
      </c>
      <c r="F204" s="5" t="n">
        <f aca="false">COUNTIFS('سجل الأكشنات'!$B$2:$B$933,$B204,'سجل الأكشنات'!$D$2:$D$933,$C204)</f>
        <v>4</v>
      </c>
      <c r="G204" s="5" t="n">
        <f aca="false">COUNTIFS('سجل الأكشنات'!$B$2:$B$933,$B204,'سجل الأكشنات'!$D$2:$D$933,$C204,'سجل الأكشنات'!$H$2:$H$933,"تفصيلي")</f>
        <v>3</v>
      </c>
      <c r="H204" s="5" t="n">
        <f aca="false">F204-G204</f>
        <v>1</v>
      </c>
      <c r="I204" s="12" t="str">
        <f aca="false">IF($B204&gt;"2026-09-30","لا توجد بيانات بعد",IF(AND(D204=0,F204=0),"بدون نشاط","نشِط"))</f>
        <v>نشِط</v>
      </c>
    </row>
    <row r="205" customFormat="false" ht="15" hidden="false" customHeight="false" outlineLevel="0" collapsed="false">
      <c r="A205" s="5" t="s">
        <v>53</v>
      </c>
      <c r="B205" s="5" t="s">
        <v>80</v>
      </c>
      <c r="C205" s="4" t="s">
        <v>24</v>
      </c>
      <c r="D205" s="5" t="n">
        <f aca="false">COUNTIFS('تفاصيل الفرص'!$B$2:$B$372,$B205,'تفاصيل الفرص'!$D$2:$D$372,$C205)</f>
        <v>0</v>
      </c>
      <c r="E205" s="5" t="n">
        <f aca="false">COUNTIFS('تفاصيل الفرص'!$B$2:$B$372,$B205,'تفاصيل الفرص'!$D$2:$D$372,$C205,'تفاصيل الفرص'!$X$2:$X$372,0)</f>
        <v>0</v>
      </c>
      <c r="F205" s="5" t="n">
        <f aca="false">COUNTIFS('سجل الأكشنات'!$B$2:$B$933,$B205,'سجل الأكشنات'!$D$2:$D$933,$C205)</f>
        <v>3</v>
      </c>
      <c r="G205" s="5" t="n">
        <f aca="false">COUNTIFS('سجل الأكشنات'!$B$2:$B$933,$B205,'سجل الأكشنات'!$D$2:$D$933,$C205,'سجل الأكشنات'!$H$2:$H$933,"تفصيلي")</f>
        <v>3</v>
      </c>
      <c r="H205" s="5" t="n">
        <f aca="false">F205-G205</f>
        <v>0</v>
      </c>
      <c r="I205" s="12" t="str">
        <f aca="false">IF($B205&gt;"2026-09-30","لا توجد بيانات بعد",IF(AND(D205=0,F205=0),"بدون نشاط","نشِط"))</f>
        <v>نشِط</v>
      </c>
    </row>
    <row r="206" customFormat="false" ht="15" hidden="false" customHeight="false" outlineLevel="0" collapsed="false">
      <c r="A206" s="5" t="s">
        <v>53</v>
      </c>
      <c r="B206" s="5" t="s">
        <v>80</v>
      </c>
      <c r="C206" s="4" t="s">
        <v>26</v>
      </c>
      <c r="D206" s="5" t="n">
        <f aca="false">COUNTIFS('تفاصيل الفرص'!$B$2:$B$372,$B206,'تفاصيل الفرص'!$D$2:$D$372,$C206)</f>
        <v>0</v>
      </c>
      <c r="E206" s="5" t="n">
        <f aca="false">COUNTIFS('تفاصيل الفرص'!$B$2:$B$372,$B206,'تفاصيل الفرص'!$D$2:$D$372,$C206,'تفاصيل الفرص'!$X$2:$X$372,0)</f>
        <v>0</v>
      </c>
      <c r="F206" s="5" t="n">
        <f aca="false">COUNTIFS('سجل الأكشنات'!$B$2:$B$933,$B206,'سجل الأكشنات'!$D$2:$D$933,$C206)</f>
        <v>0</v>
      </c>
      <c r="G206" s="5" t="n">
        <f aca="false">COUNTIFS('سجل الأكشنات'!$B$2:$B$933,$B206,'سجل الأكشنات'!$D$2:$D$933,$C206,'سجل الأكشنات'!$H$2:$H$933,"تفصيلي")</f>
        <v>0</v>
      </c>
      <c r="H206" s="5" t="n">
        <f aca="false">F206-G206</f>
        <v>0</v>
      </c>
      <c r="I206" s="12" t="str">
        <f aca="false">IF($B206&gt;"2026-09-30","لا توجد بيانات بعد",IF(AND(D206=0,F206=0),"بدون نشاط","نشِط"))</f>
        <v>بدون نشاط</v>
      </c>
    </row>
    <row r="207" customFormat="false" ht="15" hidden="false" customHeight="false" outlineLevel="0" collapsed="false">
      <c r="A207" s="5" t="s">
        <v>53</v>
      </c>
      <c r="B207" s="5" t="s">
        <v>80</v>
      </c>
      <c r="C207" s="4" t="s">
        <v>28</v>
      </c>
      <c r="D207" s="5" t="n">
        <f aca="false">COUNTIFS('تفاصيل الفرص'!$B$2:$B$372,$B207,'تفاصيل الفرص'!$D$2:$D$372,$C207)</f>
        <v>0</v>
      </c>
      <c r="E207" s="5" t="n">
        <f aca="false">COUNTIFS('تفاصيل الفرص'!$B$2:$B$372,$B207,'تفاصيل الفرص'!$D$2:$D$372,$C207,'تفاصيل الفرص'!$X$2:$X$372,0)</f>
        <v>0</v>
      </c>
      <c r="F207" s="5" t="n">
        <f aca="false">COUNTIFS('سجل الأكشنات'!$B$2:$B$933,$B207,'سجل الأكشنات'!$D$2:$D$933,$C207)</f>
        <v>5</v>
      </c>
      <c r="G207" s="5" t="n">
        <f aca="false">COUNTIFS('سجل الأكشنات'!$B$2:$B$933,$B207,'سجل الأكشنات'!$D$2:$D$933,$C207,'سجل الأكشنات'!$H$2:$H$933,"تفصيلي")</f>
        <v>5</v>
      </c>
      <c r="H207" s="5" t="n">
        <f aca="false">F207-G207</f>
        <v>0</v>
      </c>
      <c r="I207" s="12" t="str">
        <f aca="false">IF($B207&gt;"2026-09-30","لا توجد بيانات بعد",IF(AND(D207=0,F207=0),"بدون نشاط","نشِط"))</f>
        <v>نشِط</v>
      </c>
    </row>
    <row r="208" customFormat="false" ht="15" hidden="false" customHeight="false" outlineLevel="0" collapsed="false">
      <c r="A208" s="5" t="s">
        <v>53</v>
      </c>
      <c r="B208" s="5" t="s">
        <v>80</v>
      </c>
      <c r="C208" s="4" t="s">
        <v>30</v>
      </c>
      <c r="D208" s="5" t="n">
        <f aca="false">COUNTIFS('تفاصيل الفرص'!$B$2:$B$372,$B208,'تفاصيل الفرص'!$D$2:$D$372,$C208)</f>
        <v>5</v>
      </c>
      <c r="E208" s="5" t="n">
        <f aca="false">COUNTIFS('تفاصيل الفرص'!$B$2:$B$372,$B208,'تفاصيل الفرص'!$D$2:$D$372,$C208,'تفاصيل الفرص'!$X$2:$X$372,0)</f>
        <v>0</v>
      </c>
      <c r="F208" s="5" t="n">
        <f aca="false">COUNTIFS('سجل الأكشنات'!$B$2:$B$933,$B208,'سجل الأكشنات'!$D$2:$D$933,$C208)</f>
        <v>6</v>
      </c>
      <c r="G208" s="5" t="n">
        <f aca="false">COUNTIFS('سجل الأكشنات'!$B$2:$B$933,$B208,'سجل الأكشنات'!$D$2:$D$933,$C208,'سجل الأكشنات'!$H$2:$H$933,"تفصيلي")</f>
        <v>6</v>
      </c>
      <c r="H208" s="5" t="n">
        <f aca="false">F208-G208</f>
        <v>0</v>
      </c>
      <c r="I208" s="12" t="str">
        <f aca="false">IF($B208&gt;"2026-09-30","لا توجد بيانات بعد",IF(AND(D208=0,F208=0),"بدون نشاط","نشِط"))</f>
        <v>نشِط</v>
      </c>
    </row>
    <row r="209" customFormat="false" ht="15" hidden="false" customHeight="false" outlineLevel="0" collapsed="false">
      <c r="A209" s="5" t="s">
        <v>53</v>
      </c>
      <c r="B209" s="5" t="s">
        <v>80</v>
      </c>
      <c r="C209" s="4" t="s">
        <v>32</v>
      </c>
      <c r="D209" s="5" t="n">
        <f aca="false">COUNTIFS('تفاصيل الفرص'!$B$2:$B$372,$B209,'تفاصيل الفرص'!$D$2:$D$372,$C209)</f>
        <v>1</v>
      </c>
      <c r="E209" s="5" t="n">
        <f aca="false">COUNTIFS('تفاصيل الفرص'!$B$2:$B$372,$B209,'تفاصيل الفرص'!$D$2:$D$372,$C209,'تفاصيل الفرص'!$X$2:$X$372,0)</f>
        <v>0</v>
      </c>
      <c r="F209" s="5" t="n">
        <f aca="false">COUNTIFS('سجل الأكشنات'!$B$2:$B$933,$B209,'سجل الأكشنات'!$D$2:$D$933,$C209)</f>
        <v>5</v>
      </c>
      <c r="G209" s="5" t="n">
        <f aca="false">COUNTIFS('سجل الأكشنات'!$B$2:$B$933,$B209,'سجل الأكشنات'!$D$2:$D$933,$C209,'سجل الأكشنات'!$H$2:$H$933,"تفصيلي")</f>
        <v>3</v>
      </c>
      <c r="H209" s="5" t="n">
        <f aca="false">F209-G209</f>
        <v>2</v>
      </c>
      <c r="I209" s="12" t="str">
        <f aca="false">IF($B209&gt;"2026-09-30","لا توجد بيانات بعد",IF(AND(D209=0,F209=0),"بدون نشاط","نشِط"))</f>
        <v>نشِط</v>
      </c>
    </row>
    <row r="210" customFormat="false" ht="15" hidden="false" customHeight="false" outlineLevel="0" collapsed="false">
      <c r="A210" s="5" t="s">
        <v>53</v>
      </c>
      <c r="B210" s="5" t="s">
        <v>80</v>
      </c>
      <c r="C210" s="4" t="s">
        <v>34</v>
      </c>
      <c r="D210" s="5" t="n">
        <f aca="false">COUNTIFS('تفاصيل الفرص'!$B$2:$B$372,$B210,'تفاصيل الفرص'!$D$2:$D$372,$C210)</f>
        <v>0</v>
      </c>
      <c r="E210" s="5" t="n">
        <f aca="false">COUNTIFS('تفاصيل الفرص'!$B$2:$B$372,$B210,'تفاصيل الفرص'!$D$2:$D$372,$C210,'تفاصيل الفرص'!$X$2:$X$372,0)</f>
        <v>0</v>
      </c>
      <c r="F210" s="5" t="n">
        <f aca="false">COUNTIFS('سجل الأكشنات'!$B$2:$B$933,$B210,'سجل الأكشنات'!$D$2:$D$933,$C210)</f>
        <v>7</v>
      </c>
      <c r="G210" s="5" t="n">
        <f aca="false">COUNTIFS('سجل الأكشنات'!$B$2:$B$933,$B210,'سجل الأكشنات'!$D$2:$D$933,$C210,'سجل الأكشنات'!$H$2:$H$933,"تفصيلي")</f>
        <v>5</v>
      </c>
      <c r="H210" s="5" t="n">
        <f aca="false">F210-G210</f>
        <v>2</v>
      </c>
      <c r="I210" s="12" t="str">
        <f aca="false">IF($B210&gt;"2026-09-30","لا توجد بيانات بعد",IF(AND(D210=0,F210=0),"بدون نشاط","نشِط"))</f>
        <v>نشِط</v>
      </c>
    </row>
    <row r="211" customFormat="false" ht="15" hidden="false" customHeight="false" outlineLevel="0" collapsed="false">
      <c r="A211" s="13" t="s">
        <v>55</v>
      </c>
      <c r="B211" s="13" t="s">
        <v>81</v>
      </c>
      <c r="C211" s="14" t="s">
        <v>18</v>
      </c>
      <c r="D211" s="15" t="n">
        <f aca="false">COUNTIFS('تفاصيل الفرص'!$B$2:$B$372,$B211,'تفاصيل الفرص'!$D$2:$D$372,$C211)</f>
        <v>0</v>
      </c>
      <c r="E211" s="13" t="n">
        <f aca="false">COUNTIFS('تفاصيل الفرص'!$B$2:$B$372,$B211,'تفاصيل الفرص'!$D$2:$D$372,$C211,'تفاصيل الفرص'!$X$2:$X$372,0)</f>
        <v>0</v>
      </c>
      <c r="F211" s="13" t="n">
        <f aca="false">COUNTIFS('سجل الأكشنات'!$B$2:$B$933,$B211,'سجل الأكشنات'!$D$2:$D$933,$C211)</f>
        <v>0</v>
      </c>
      <c r="G211" s="13" t="n">
        <f aca="false">COUNTIFS('سجل الأكشنات'!$B$2:$B$933,$B211,'سجل الأكشنات'!$D$2:$D$933,$C211,'سجل الأكشنات'!$H$2:$H$933,"تفصيلي")</f>
        <v>0</v>
      </c>
      <c r="H211" s="13" t="n">
        <f aca="false">F211-G211</f>
        <v>0</v>
      </c>
      <c r="I211" s="13" t="str">
        <f aca="false">IF($B211&gt;"2026-09-30","لا توجد بيانات بعد",IF(AND(D211=0,F211=0),"بدون نشاط","نشِط"))</f>
        <v>بدون نشاط</v>
      </c>
    </row>
    <row r="212" customFormat="false" ht="15" hidden="false" customHeight="false" outlineLevel="0" collapsed="false">
      <c r="A212" s="13" t="s">
        <v>55</v>
      </c>
      <c r="B212" s="13" t="s">
        <v>81</v>
      </c>
      <c r="C212" s="14" t="s">
        <v>20</v>
      </c>
      <c r="D212" s="15" t="n">
        <f aca="false">COUNTIFS('تفاصيل الفرص'!$B$2:$B$372,$B212,'تفاصيل الفرص'!$D$2:$D$372,$C212)</f>
        <v>2</v>
      </c>
      <c r="E212" s="13" t="n">
        <f aca="false">COUNTIFS('تفاصيل الفرص'!$B$2:$B$372,$B212,'تفاصيل الفرص'!$D$2:$D$372,$C212,'تفاصيل الفرص'!$X$2:$X$372,0)</f>
        <v>0</v>
      </c>
      <c r="F212" s="13" t="n">
        <f aca="false">COUNTIFS('سجل الأكشنات'!$B$2:$B$933,$B212,'سجل الأكشنات'!$D$2:$D$933,$C212)</f>
        <v>8</v>
      </c>
      <c r="G212" s="13" t="n">
        <f aca="false">COUNTIFS('سجل الأكشنات'!$B$2:$B$933,$B212,'سجل الأكشنات'!$D$2:$D$933,$C212,'سجل الأكشنات'!$H$2:$H$933,"تفصيلي")</f>
        <v>6</v>
      </c>
      <c r="H212" s="13" t="n">
        <f aca="false">F212-G212</f>
        <v>2</v>
      </c>
      <c r="I212" s="13" t="str">
        <f aca="false">IF($B212&gt;"2026-09-30","لا توجد بيانات بعد",IF(AND(D212=0,F212=0),"بدون نشاط","نشِط"))</f>
        <v>نشِط</v>
      </c>
    </row>
    <row r="213" customFormat="false" ht="15" hidden="false" customHeight="false" outlineLevel="0" collapsed="false">
      <c r="A213" s="13" t="s">
        <v>55</v>
      </c>
      <c r="B213" s="13" t="s">
        <v>81</v>
      </c>
      <c r="C213" s="14" t="s">
        <v>22</v>
      </c>
      <c r="D213" s="15" t="n">
        <f aca="false">COUNTIFS('تفاصيل الفرص'!$B$2:$B$372,$B213,'تفاصيل الفرص'!$D$2:$D$372,$C213)</f>
        <v>0</v>
      </c>
      <c r="E213" s="13" t="n">
        <f aca="false">COUNTIFS('تفاصيل الفرص'!$B$2:$B$372,$B213,'تفاصيل الفرص'!$D$2:$D$372,$C213,'تفاصيل الفرص'!$X$2:$X$372,0)</f>
        <v>0</v>
      </c>
      <c r="F213" s="13" t="n">
        <f aca="false">COUNTIFS('سجل الأكشنات'!$B$2:$B$933,$B213,'سجل الأكشنات'!$D$2:$D$933,$C213)</f>
        <v>0</v>
      </c>
      <c r="G213" s="13" t="n">
        <f aca="false">COUNTIFS('سجل الأكشنات'!$B$2:$B$933,$B213,'سجل الأكشنات'!$D$2:$D$933,$C213,'سجل الأكشنات'!$H$2:$H$933,"تفصيلي")</f>
        <v>0</v>
      </c>
      <c r="H213" s="13" t="n">
        <f aca="false">F213-G213</f>
        <v>0</v>
      </c>
      <c r="I213" s="13" t="str">
        <f aca="false">IF($B213&gt;"2026-09-30","لا توجد بيانات بعد",IF(AND(D213=0,F213=0),"بدون نشاط","نشِط"))</f>
        <v>بدون نشاط</v>
      </c>
    </row>
    <row r="214" customFormat="false" ht="15" hidden="false" customHeight="false" outlineLevel="0" collapsed="false">
      <c r="A214" s="13" t="s">
        <v>55</v>
      </c>
      <c r="B214" s="13" t="s">
        <v>81</v>
      </c>
      <c r="C214" s="14" t="s">
        <v>24</v>
      </c>
      <c r="D214" s="15" t="n">
        <f aca="false">COUNTIFS('تفاصيل الفرص'!$B$2:$B$372,$B214,'تفاصيل الفرص'!$D$2:$D$372,$C214)</f>
        <v>2</v>
      </c>
      <c r="E214" s="13" t="n">
        <f aca="false">COUNTIFS('تفاصيل الفرص'!$B$2:$B$372,$B214,'تفاصيل الفرص'!$D$2:$D$372,$C214,'تفاصيل الفرص'!$X$2:$X$372,0)</f>
        <v>0</v>
      </c>
      <c r="F214" s="13" t="n">
        <f aca="false">COUNTIFS('سجل الأكشنات'!$B$2:$B$933,$B214,'سجل الأكشنات'!$D$2:$D$933,$C214)</f>
        <v>3</v>
      </c>
      <c r="G214" s="13" t="n">
        <f aca="false">COUNTIFS('سجل الأكشنات'!$B$2:$B$933,$B214,'سجل الأكشنات'!$D$2:$D$933,$C214,'سجل الأكشنات'!$H$2:$H$933,"تفصيلي")</f>
        <v>3</v>
      </c>
      <c r="H214" s="13" t="n">
        <f aca="false">F214-G214</f>
        <v>0</v>
      </c>
      <c r="I214" s="13" t="str">
        <f aca="false">IF($B214&gt;"2026-09-30","لا توجد بيانات بعد",IF(AND(D214=0,F214=0),"بدون نشاط","نشِط"))</f>
        <v>نشِط</v>
      </c>
    </row>
    <row r="215" customFormat="false" ht="15" hidden="false" customHeight="false" outlineLevel="0" collapsed="false">
      <c r="A215" s="13" t="s">
        <v>55</v>
      </c>
      <c r="B215" s="13" t="s">
        <v>81</v>
      </c>
      <c r="C215" s="14" t="s">
        <v>26</v>
      </c>
      <c r="D215" s="15" t="n">
        <f aca="false">COUNTIFS('تفاصيل الفرص'!$B$2:$B$372,$B215,'تفاصيل الفرص'!$D$2:$D$372,$C215)</f>
        <v>0</v>
      </c>
      <c r="E215" s="13" t="n">
        <f aca="false">COUNTIFS('تفاصيل الفرص'!$B$2:$B$372,$B215,'تفاصيل الفرص'!$D$2:$D$372,$C215,'تفاصيل الفرص'!$X$2:$X$372,0)</f>
        <v>0</v>
      </c>
      <c r="F215" s="13" t="n">
        <f aca="false">COUNTIFS('سجل الأكشنات'!$B$2:$B$933,$B215,'سجل الأكشنات'!$D$2:$D$933,$C215)</f>
        <v>0</v>
      </c>
      <c r="G215" s="13" t="n">
        <f aca="false">COUNTIFS('سجل الأكشنات'!$B$2:$B$933,$B215,'سجل الأكشنات'!$D$2:$D$933,$C215,'سجل الأكشنات'!$H$2:$H$933,"تفصيلي")</f>
        <v>0</v>
      </c>
      <c r="H215" s="13" t="n">
        <f aca="false">F215-G215</f>
        <v>0</v>
      </c>
      <c r="I215" s="13" t="str">
        <f aca="false">IF($B215&gt;"2026-09-30","لا توجد بيانات بعد",IF(AND(D215=0,F215=0),"بدون نشاط","نشِط"))</f>
        <v>بدون نشاط</v>
      </c>
    </row>
    <row r="216" customFormat="false" ht="15" hidden="false" customHeight="false" outlineLevel="0" collapsed="false">
      <c r="A216" s="13" t="s">
        <v>55</v>
      </c>
      <c r="B216" s="13" t="s">
        <v>81</v>
      </c>
      <c r="C216" s="14" t="s">
        <v>28</v>
      </c>
      <c r="D216" s="15" t="n">
        <f aca="false">COUNTIFS('تفاصيل الفرص'!$B$2:$B$372,$B216,'تفاصيل الفرص'!$D$2:$D$372,$C216)</f>
        <v>0</v>
      </c>
      <c r="E216" s="13" t="n">
        <f aca="false">COUNTIFS('تفاصيل الفرص'!$B$2:$B$372,$B216,'تفاصيل الفرص'!$D$2:$D$372,$C216,'تفاصيل الفرص'!$X$2:$X$372,0)</f>
        <v>0</v>
      </c>
      <c r="F216" s="13" t="n">
        <f aca="false">COUNTIFS('سجل الأكشنات'!$B$2:$B$933,$B216,'سجل الأكشنات'!$D$2:$D$933,$C216)</f>
        <v>1</v>
      </c>
      <c r="G216" s="13" t="n">
        <f aca="false">COUNTIFS('سجل الأكشنات'!$B$2:$B$933,$B216,'سجل الأكشنات'!$D$2:$D$933,$C216,'سجل الأكشنات'!$H$2:$H$933,"تفصيلي")</f>
        <v>1</v>
      </c>
      <c r="H216" s="13" t="n">
        <f aca="false">F216-G216</f>
        <v>0</v>
      </c>
      <c r="I216" s="13" t="str">
        <f aca="false">IF($B216&gt;"2026-09-30","لا توجد بيانات بعد",IF(AND(D216=0,F216=0),"بدون نشاط","نشِط"))</f>
        <v>نشِط</v>
      </c>
    </row>
    <row r="217" customFormat="false" ht="15" hidden="false" customHeight="false" outlineLevel="0" collapsed="false">
      <c r="A217" s="13" t="s">
        <v>55</v>
      </c>
      <c r="B217" s="13" t="s">
        <v>81</v>
      </c>
      <c r="C217" s="14" t="s">
        <v>30</v>
      </c>
      <c r="D217" s="15" t="n">
        <f aca="false">COUNTIFS('تفاصيل الفرص'!$B$2:$B$372,$B217,'تفاصيل الفرص'!$D$2:$D$372,$C217)</f>
        <v>3</v>
      </c>
      <c r="E217" s="13" t="n">
        <f aca="false">COUNTIFS('تفاصيل الفرص'!$B$2:$B$372,$B217,'تفاصيل الفرص'!$D$2:$D$372,$C217,'تفاصيل الفرص'!$X$2:$X$372,0)</f>
        <v>0</v>
      </c>
      <c r="F217" s="13" t="n">
        <f aca="false">COUNTIFS('سجل الأكشنات'!$B$2:$B$933,$B217,'سجل الأكشنات'!$D$2:$D$933,$C217)</f>
        <v>3</v>
      </c>
      <c r="G217" s="13" t="n">
        <f aca="false">COUNTIFS('سجل الأكشنات'!$B$2:$B$933,$B217,'سجل الأكشنات'!$D$2:$D$933,$C217,'سجل الأكشنات'!$H$2:$H$933,"تفصيلي")</f>
        <v>2</v>
      </c>
      <c r="H217" s="13" t="n">
        <f aca="false">F217-G217</f>
        <v>1</v>
      </c>
      <c r="I217" s="13" t="str">
        <f aca="false">IF($B217&gt;"2026-09-30","لا توجد بيانات بعد",IF(AND(D217=0,F217=0),"بدون نشاط","نشِط"))</f>
        <v>نشِط</v>
      </c>
    </row>
    <row r="218" customFormat="false" ht="15" hidden="false" customHeight="false" outlineLevel="0" collapsed="false">
      <c r="A218" s="13" t="s">
        <v>55</v>
      </c>
      <c r="B218" s="13" t="s">
        <v>81</v>
      </c>
      <c r="C218" s="14" t="s">
        <v>32</v>
      </c>
      <c r="D218" s="15" t="n">
        <f aca="false">COUNTIFS('تفاصيل الفرص'!$B$2:$B$372,$B218,'تفاصيل الفرص'!$D$2:$D$372,$C218)</f>
        <v>0</v>
      </c>
      <c r="E218" s="13" t="n">
        <f aca="false">COUNTIFS('تفاصيل الفرص'!$B$2:$B$372,$B218,'تفاصيل الفرص'!$D$2:$D$372,$C218,'تفاصيل الفرص'!$X$2:$X$372,0)</f>
        <v>0</v>
      </c>
      <c r="F218" s="13" t="n">
        <f aca="false">COUNTIFS('سجل الأكشنات'!$B$2:$B$933,$B218,'سجل الأكشنات'!$D$2:$D$933,$C218)</f>
        <v>0</v>
      </c>
      <c r="G218" s="13" t="n">
        <f aca="false">COUNTIFS('سجل الأكشنات'!$B$2:$B$933,$B218,'سجل الأكشنات'!$D$2:$D$933,$C218,'سجل الأكشنات'!$H$2:$H$933,"تفصيلي")</f>
        <v>0</v>
      </c>
      <c r="H218" s="13" t="n">
        <f aca="false">F218-G218</f>
        <v>0</v>
      </c>
      <c r="I218" s="13" t="str">
        <f aca="false">IF($B218&gt;"2026-09-30","لا توجد بيانات بعد",IF(AND(D218=0,F218=0),"بدون نشاط","نشِط"))</f>
        <v>بدون نشاط</v>
      </c>
    </row>
    <row r="219" customFormat="false" ht="15" hidden="false" customHeight="false" outlineLevel="0" collapsed="false">
      <c r="A219" s="13" t="s">
        <v>55</v>
      </c>
      <c r="B219" s="13" t="s">
        <v>81</v>
      </c>
      <c r="C219" s="14" t="s">
        <v>34</v>
      </c>
      <c r="D219" s="15" t="n">
        <f aca="false">COUNTIFS('تفاصيل الفرص'!$B$2:$B$372,$B219,'تفاصيل الفرص'!$D$2:$D$372,$C219)</f>
        <v>12</v>
      </c>
      <c r="E219" s="13" t="n">
        <f aca="false">COUNTIFS('تفاصيل الفرص'!$B$2:$B$372,$B219,'تفاصيل الفرص'!$D$2:$D$372,$C219,'تفاصيل الفرص'!$X$2:$X$372,0)</f>
        <v>0</v>
      </c>
      <c r="F219" s="13" t="n">
        <f aca="false">COUNTIFS('سجل الأكشنات'!$B$2:$B$933,$B219,'سجل الأكشنات'!$D$2:$D$933,$C219)</f>
        <v>20</v>
      </c>
      <c r="G219" s="13" t="n">
        <f aca="false">COUNTIFS('سجل الأكشنات'!$B$2:$B$933,$B219,'سجل الأكشنات'!$D$2:$D$933,$C219,'سجل الأكشنات'!$H$2:$H$933,"تفصيلي")</f>
        <v>18</v>
      </c>
      <c r="H219" s="13" t="n">
        <f aca="false">F219-G219</f>
        <v>2</v>
      </c>
      <c r="I219" s="13" t="str">
        <f aca="false">IF($B219&gt;"2026-09-30","لا توجد بيانات بعد",IF(AND(D219=0,F219=0),"بدون نشاط","نشِط"))</f>
        <v>نشِط</v>
      </c>
    </row>
    <row r="220" customFormat="false" ht="15" hidden="false" customHeight="false" outlineLevel="0" collapsed="false">
      <c r="A220" s="5" t="s">
        <v>57</v>
      </c>
      <c r="B220" s="5" t="s">
        <v>82</v>
      </c>
      <c r="C220" s="4" t="s">
        <v>18</v>
      </c>
      <c r="D220" s="5" t="n">
        <f aca="false">COUNTIFS('تفاصيل الفرص'!$B$2:$B$372,$B220,'تفاصيل الفرص'!$D$2:$D$372,$C220)</f>
        <v>1</v>
      </c>
      <c r="E220" s="5" t="n">
        <f aca="false">COUNTIFS('تفاصيل الفرص'!$B$2:$B$372,$B220,'تفاصيل الفرص'!$D$2:$D$372,$C220,'تفاصيل الفرص'!$X$2:$X$372,0)</f>
        <v>0</v>
      </c>
      <c r="F220" s="5" t="n">
        <f aca="false">COUNTIFS('سجل الأكشنات'!$B$2:$B$933,$B220,'سجل الأكشنات'!$D$2:$D$933,$C220)</f>
        <v>5</v>
      </c>
      <c r="G220" s="5" t="n">
        <f aca="false">COUNTIFS('سجل الأكشنات'!$B$2:$B$933,$B220,'سجل الأكشنات'!$D$2:$D$933,$C220,'سجل الأكشنات'!$H$2:$H$933,"تفصيلي")</f>
        <v>5</v>
      </c>
      <c r="H220" s="5" t="n">
        <f aca="false">F220-G220</f>
        <v>0</v>
      </c>
      <c r="I220" s="12" t="str">
        <f aca="false">IF($B220&gt;"2026-09-30","لا توجد بيانات بعد",IF(AND(D220=0,F220=0),"بدون نشاط","نشِط"))</f>
        <v>نشِط</v>
      </c>
    </row>
    <row r="221" customFormat="false" ht="15" hidden="false" customHeight="false" outlineLevel="0" collapsed="false">
      <c r="A221" s="5" t="s">
        <v>57</v>
      </c>
      <c r="B221" s="5" t="s">
        <v>82</v>
      </c>
      <c r="C221" s="4" t="s">
        <v>20</v>
      </c>
      <c r="D221" s="5" t="n">
        <f aca="false">COUNTIFS('تفاصيل الفرص'!$B$2:$B$372,$B221,'تفاصيل الفرص'!$D$2:$D$372,$C221)</f>
        <v>0</v>
      </c>
      <c r="E221" s="5" t="n">
        <f aca="false">COUNTIFS('تفاصيل الفرص'!$B$2:$B$372,$B221,'تفاصيل الفرص'!$D$2:$D$372,$C221,'تفاصيل الفرص'!$X$2:$X$372,0)</f>
        <v>0</v>
      </c>
      <c r="F221" s="5" t="n">
        <f aca="false">COUNTIFS('سجل الأكشنات'!$B$2:$B$933,$B221,'سجل الأكشنات'!$D$2:$D$933,$C221)</f>
        <v>0</v>
      </c>
      <c r="G221" s="5" t="n">
        <f aca="false">COUNTIFS('سجل الأكشنات'!$B$2:$B$933,$B221,'سجل الأكشنات'!$D$2:$D$933,$C221,'سجل الأكشنات'!$H$2:$H$933,"تفصيلي")</f>
        <v>0</v>
      </c>
      <c r="H221" s="5" t="n">
        <f aca="false">F221-G221</f>
        <v>0</v>
      </c>
      <c r="I221" s="12" t="str">
        <f aca="false">IF($B221&gt;"2026-09-30","لا توجد بيانات بعد",IF(AND(D221=0,F221=0),"بدون نشاط","نشِط"))</f>
        <v>بدون نشاط</v>
      </c>
    </row>
    <row r="222" customFormat="false" ht="15" hidden="false" customHeight="false" outlineLevel="0" collapsed="false">
      <c r="A222" s="5" t="s">
        <v>57</v>
      </c>
      <c r="B222" s="5" t="s">
        <v>82</v>
      </c>
      <c r="C222" s="4" t="s">
        <v>22</v>
      </c>
      <c r="D222" s="5" t="n">
        <f aca="false">COUNTIFS('تفاصيل الفرص'!$B$2:$B$372,$B222,'تفاصيل الفرص'!$D$2:$D$372,$C222)</f>
        <v>0</v>
      </c>
      <c r="E222" s="5" t="n">
        <f aca="false">COUNTIFS('تفاصيل الفرص'!$B$2:$B$372,$B222,'تفاصيل الفرص'!$D$2:$D$372,$C222,'تفاصيل الفرص'!$X$2:$X$372,0)</f>
        <v>0</v>
      </c>
      <c r="F222" s="5" t="n">
        <f aca="false">COUNTIFS('سجل الأكشنات'!$B$2:$B$933,$B222,'سجل الأكشنات'!$D$2:$D$933,$C222)</f>
        <v>0</v>
      </c>
      <c r="G222" s="5" t="n">
        <f aca="false">COUNTIFS('سجل الأكشنات'!$B$2:$B$933,$B222,'سجل الأكشنات'!$D$2:$D$933,$C222,'سجل الأكشنات'!$H$2:$H$933,"تفصيلي")</f>
        <v>0</v>
      </c>
      <c r="H222" s="5" t="n">
        <f aca="false">F222-G222</f>
        <v>0</v>
      </c>
      <c r="I222" s="12" t="str">
        <f aca="false">IF($B222&gt;"2026-09-30","لا توجد بيانات بعد",IF(AND(D222=0,F222=0),"بدون نشاط","نشِط"))</f>
        <v>بدون نشاط</v>
      </c>
    </row>
    <row r="223" customFormat="false" ht="15" hidden="false" customHeight="false" outlineLevel="0" collapsed="false">
      <c r="A223" s="5" t="s">
        <v>57</v>
      </c>
      <c r="B223" s="5" t="s">
        <v>82</v>
      </c>
      <c r="C223" s="4" t="s">
        <v>24</v>
      </c>
      <c r="D223" s="5" t="n">
        <f aca="false">COUNTIFS('تفاصيل الفرص'!$B$2:$B$372,$B223,'تفاصيل الفرص'!$D$2:$D$372,$C223)</f>
        <v>0</v>
      </c>
      <c r="E223" s="5" t="n">
        <f aca="false">COUNTIFS('تفاصيل الفرص'!$B$2:$B$372,$B223,'تفاصيل الفرص'!$D$2:$D$372,$C223,'تفاصيل الفرص'!$X$2:$X$372,0)</f>
        <v>0</v>
      </c>
      <c r="F223" s="5" t="n">
        <f aca="false">COUNTIFS('سجل الأكشنات'!$B$2:$B$933,$B223,'سجل الأكشنات'!$D$2:$D$933,$C223)</f>
        <v>0</v>
      </c>
      <c r="G223" s="5" t="n">
        <f aca="false">COUNTIFS('سجل الأكشنات'!$B$2:$B$933,$B223,'سجل الأكشنات'!$D$2:$D$933,$C223,'سجل الأكشنات'!$H$2:$H$933,"تفصيلي")</f>
        <v>0</v>
      </c>
      <c r="H223" s="5" t="n">
        <f aca="false">F223-G223</f>
        <v>0</v>
      </c>
      <c r="I223" s="12" t="str">
        <f aca="false">IF($B223&gt;"2026-09-30","لا توجد بيانات بعد",IF(AND(D223=0,F223=0),"بدون نشاط","نشِط"))</f>
        <v>بدون نشاط</v>
      </c>
    </row>
    <row r="224" customFormat="false" ht="15" hidden="false" customHeight="false" outlineLevel="0" collapsed="false">
      <c r="A224" s="5" t="s">
        <v>57</v>
      </c>
      <c r="B224" s="5" t="s">
        <v>82</v>
      </c>
      <c r="C224" s="4" t="s">
        <v>26</v>
      </c>
      <c r="D224" s="5" t="n">
        <f aca="false">COUNTIFS('تفاصيل الفرص'!$B$2:$B$372,$B224,'تفاصيل الفرص'!$D$2:$D$372,$C224)</f>
        <v>0</v>
      </c>
      <c r="E224" s="5" t="n">
        <f aca="false">COUNTIFS('تفاصيل الفرص'!$B$2:$B$372,$B224,'تفاصيل الفرص'!$D$2:$D$372,$C224,'تفاصيل الفرص'!$X$2:$X$372,0)</f>
        <v>0</v>
      </c>
      <c r="F224" s="5" t="n">
        <f aca="false">COUNTIFS('سجل الأكشنات'!$B$2:$B$933,$B224,'سجل الأكشنات'!$D$2:$D$933,$C224)</f>
        <v>0</v>
      </c>
      <c r="G224" s="5" t="n">
        <f aca="false">COUNTIFS('سجل الأكشنات'!$B$2:$B$933,$B224,'سجل الأكشنات'!$D$2:$D$933,$C224,'سجل الأكشنات'!$H$2:$H$933,"تفصيلي")</f>
        <v>0</v>
      </c>
      <c r="H224" s="5" t="n">
        <f aca="false">F224-G224</f>
        <v>0</v>
      </c>
      <c r="I224" s="12" t="str">
        <f aca="false">IF($B224&gt;"2026-09-30","لا توجد بيانات بعد",IF(AND(D224=0,F224=0),"بدون نشاط","نشِط"))</f>
        <v>بدون نشاط</v>
      </c>
    </row>
    <row r="225" customFormat="false" ht="15" hidden="false" customHeight="false" outlineLevel="0" collapsed="false">
      <c r="A225" s="5" t="s">
        <v>57</v>
      </c>
      <c r="B225" s="5" t="s">
        <v>82</v>
      </c>
      <c r="C225" s="4" t="s">
        <v>28</v>
      </c>
      <c r="D225" s="5" t="n">
        <f aca="false">COUNTIFS('تفاصيل الفرص'!$B$2:$B$372,$B225,'تفاصيل الفرص'!$D$2:$D$372,$C225)</f>
        <v>0</v>
      </c>
      <c r="E225" s="5" t="n">
        <f aca="false">COUNTIFS('تفاصيل الفرص'!$B$2:$B$372,$B225,'تفاصيل الفرص'!$D$2:$D$372,$C225,'تفاصيل الفرص'!$X$2:$X$372,0)</f>
        <v>0</v>
      </c>
      <c r="F225" s="5" t="n">
        <f aca="false">COUNTIFS('سجل الأكشنات'!$B$2:$B$933,$B225,'سجل الأكشنات'!$D$2:$D$933,$C225)</f>
        <v>0</v>
      </c>
      <c r="G225" s="5" t="n">
        <f aca="false">COUNTIFS('سجل الأكشنات'!$B$2:$B$933,$B225,'سجل الأكشنات'!$D$2:$D$933,$C225,'سجل الأكشنات'!$H$2:$H$933,"تفصيلي")</f>
        <v>0</v>
      </c>
      <c r="H225" s="5" t="n">
        <f aca="false">F225-G225</f>
        <v>0</v>
      </c>
      <c r="I225" s="12" t="str">
        <f aca="false">IF($B225&gt;"2026-09-30","لا توجد بيانات بعد",IF(AND(D225=0,F225=0),"بدون نشاط","نشِط"))</f>
        <v>بدون نشاط</v>
      </c>
    </row>
    <row r="226" customFormat="false" ht="15" hidden="false" customHeight="false" outlineLevel="0" collapsed="false">
      <c r="A226" s="5" t="s">
        <v>57</v>
      </c>
      <c r="B226" s="5" t="s">
        <v>82</v>
      </c>
      <c r="C226" s="4" t="s">
        <v>30</v>
      </c>
      <c r="D226" s="5" t="n">
        <f aca="false">COUNTIFS('تفاصيل الفرص'!$B$2:$B$372,$B226,'تفاصيل الفرص'!$D$2:$D$372,$C226)</f>
        <v>0</v>
      </c>
      <c r="E226" s="5" t="n">
        <f aca="false">COUNTIFS('تفاصيل الفرص'!$B$2:$B$372,$B226,'تفاصيل الفرص'!$D$2:$D$372,$C226,'تفاصيل الفرص'!$X$2:$X$372,0)</f>
        <v>0</v>
      </c>
      <c r="F226" s="5" t="n">
        <f aca="false">COUNTIFS('سجل الأكشنات'!$B$2:$B$933,$B226,'سجل الأكشنات'!$D$2:$D$933,$C226)</f>
        <v>0</v>
      </c>
      <c r="G226" s="5" t="n">
        <f aca="false">COUNTIFS('سجل الأكشنات'!$B$2:$B$933,$B226,'سجل الأكشنات'!$D$2:$D$933,$C226,'سجل الأكشنات'!$H$2:$H$933,"تفصيلي")</f>
        <v>0</v>
      </c>
      <c r="H226" s="5" t="n">
        <f aca="false">F226-G226</f>
        <v>0</v>
      </c>
      <c r="I226" s="12" t="str">
        <f aca="false">IF($B226&gt;"2026-09-30","لا توجد بيانات بعد",IF(AND(D226=0,F226=0),"بدون نشاط","نشِط"))</f>
        <v>بدون نشاط</v>
      </c>
    </row>
    <row r="227" customFormat="false" ht="15" hidden="false" customHeight="false" outlineLevel="0" collapsed="false">
      <c r="A227" s="5" t="s">
        <v>57</v>
      </c>
      <c r="B227" s="5" t="s">
        <v>82</v>
      </c>
      <c r="C227" s="4" t="s">
        <v>32</v>
      </c>
      <c r="D227" s="5" t="n">
        <f aca="false">COUNTIFS('تفاصيل الفرص'!$B$2:$B$372,$B227,'تفاصيل الفرص'!$D$2:$D$372,$C227)</f>
        <v>0</v>
      </c>
      <c r="E227" s="5" t="n">
        <f aca="false">COUNTIFS('تفاصيل الفرص'!$B$2:$B$372,$B227,'تفاصيل الفرص'!$D$2:$D$372,$C227,'تفاصيل الفرص'!$X$2:$X$372,0)</f>
        <v>0</v>
      </c>
      <c r="F227" s="5" t="n">
        <f aca="false">COUNTIFS('سجل الأكشنات'!$B$2:$B$933,$B227,'سجل الأكشنات'!$D$2:$D$933,$C227)</f>
        <v>4</v>
      </c>
      <c r="G227" s="5" t="n">
        <f aca="false">COUNTIFS('سجل الأكشنات'!$B$2:$B$933,$B227,'سجل الأكشنات'!$D$2:$D$933,$C227,'سجل الأكشنات'!$H$2:$H$933,"تفصيلي")</f>
        <v>3</v>
      </c>
      <c r="H227" s="5" t="n">
        <f aca="false">F227-G227</f>
        <v>1</v>
      </c>
      <c r="I227" s="12" t="str">
        <f aca="false">IF($B227&gt;"2026-09-30","لا توجد بيانات بعد",IF(AND(D227=0,F227=0),"بدون نشاط","نشِط"))</f>
        <v>نشِط</v>
      </c>
    </row>
    <row r="228" customFormat="false" ht="15" hidden="false" customHeight="false" outlineLevel="0" collapsed="false">
      <c r="A228" s="5" t="s">
        <v>57</v>
      </c>
      <c r="B228" s="5" t="s">
        <v>82</v>
      </c>
      <c r="C228" s="4" t="s">
        <v>34</v>
      </c>
      <c r="D228" s="5" t="n">
        <f aca="false">COUNTIFS('تفاصيل الفرص'!$B$2:$B$372,$B228,'تفاصيل الفرص'!$D$2:$D$372,$C228)</f>
        <v>0</v>
      </c>
      <c r="E228" s="5" t="n">
        <f aca="false">COUNTIFS('تفاصيل الفرص'!$B$2:$B$372,$B228,'تفاصيل الفرص'!$D$2:$D$372,$C228,'تفاصيل الفرص'!$X$2:$X$372,0)</f>
        <v>0</v>
      </c>
      <c r="F228" s="5" t="n">
        <f aca="false">COUNTIFS('سجل الأكشنات'!$B$2:$B$933,$B228,'سجل الأكشنات'!$D$2:$D$933,$C228)</f>
        <v>0</v>
      </c>
      <c r="G228" s="5" t="n">
        <f aca="false">COUNTIFS('سجل الأكشنات'!$B$2:$B$933,$B228,'سجل الأكشنات'!$D$2:$D$933,$C228,'سجل الأكشنات'!$H$2:$H$933,"تفصيلي")</f>
        <v>0</v>
      </c>
      <c r="H228" s="5" t="n">
        <f aca="false">F228-G228</f>
        <v>0</v>
      </c>
      <c r="I228" s="12" t="str">
        <f aca="false">IF($B228&gt;"2026-09-30","لا توجد بيانات بعد",IF(AND(D228=0,F228=0),"بدون نشاط","نشِط"))</f>
        <v>بدون نشاط</v>
      </c>
    </row>
    <row r="229" customFormat="false" ht="15" hidden="false" customHeight="false" outlineLevel="0" collapsed="false">
      <c r="A229" s="13" t="s">
        <v>59</v>
      </c>
      <c r="B229" s="13" t="s">
        <v>83</v>
      </c>
      <c r="C229" s="14" t="s">
        <v>18</v>
      </c>
      <c r="D229" s="15" t="n">
        <f aca="false">COUNTIFS('تفاصيل الفرص'!$B$2:$B$372,$B229,'تفاصيل الفرص'!$D$2:$D$372,$C229)</f>
        <v>2</v>
      </c>
      <c r="E229" s="13" t="n">
        <f aca="false">COUNTIFS('تفاصيل الفرص'!$B$2:$B$372,$B229,'تفاصيل الفرص'!$D$2:$D$372,$C229,'تفاصيل الفرص'!$X$2:$X$372,0)</f>
        <v>0</v>
      </c>
      <c r="F229" s="13" t="n">
        <f aca="false">COUNTIFS('سجل الأكشنات'!$B$2:$B$933,$B229,'سجل الأكشنات'!$D$2:$D$933,$C229)</f>
        <v>2</v>
      </c>
      <c r="G229" s="13" t="n">
        <f aca="false">COUNTIFS('سجل الأكشنات'!$B$2:$B$933,$B229,'سجل الأكشنات'!$D$2:$D$933,$C229,'سجل الأكشنات'!$H$2:$H$933,"تفصيلي")</f>
        <v>2</v>
      </c>
      <c r="H229" s="13" t="n">
        <f aca="false">F229-G229</f>
        <v>0</v>
      </c>
      <c r="I229" s="13" t="str">
        <f aca="false">IF($B229&gt;"2026-09-30","لا توجد بيانات بعد",IF(AND(D229=0,F229=0),"بدون نشاط","نشِط"))</f>
        <v>نشِط</v>
      </c>
    </row>
    <row r="230" customFormat="false" ht="15" hidden="false" customHeight="false" outlineLevel="0" collapsed="false">
      <c r="A230" s="13" t="s">
        <v>59</v>
      </c>
      <c r="B230" s="13" t="s">
        <v>83</v>
      </c>
      <c r="C230" s="14" t="s">
        <v>20</v>
      </c>
      <c r="D230" s="15" t="n">
        <f aca="false">COUNTIFS('تفاصيل الفرص'!$B$2:$B$372,$B230,'تفاصيل الفرص'!$D$2:$D$372,$C230)</f>
        <v>0</v>
      </c>
      <c r="E230" s="13" t="n">
        <f aca="false">COUNTIFS('تفاصيل الفرص'!$B$2:$B$372,$B230,'تفاصيل الفرص'!$D$2:$D$372,$C230,'تفاصيل الفرص'!$X$2:$X$372,0)</f>
        <v>0</v>
      </c>
      <c r="F230" s="13" t="n">
        <f aca="false">COUNTIFS('سجل الأكشنات'!$B$2:$B$933,$B230,'سجل الأكشنات'!$D$2:$D$933,$C230)</f>
        <v>0</v>
      </c>
      <c r="G230" s="13" t="n">
        <f aca="false">COUNTIFS('سجل الأكشنات'!$B$2:$B$933,$B230,'سجل الأكشنات'!$D$2:$D$933,$C230,'سجل الأكشنات'!$H$2:$H$933,"تفصيلي")</f>
        <v>0</v>
      </c>
      <c r="H230" s="13" t="n">
        <f aca="false">F230-G230</f>
        <v>0</v>
      </c>
      <c r="I230" s="13" t="str">
        <f aca="false">IF($B230&gt;"2026-09-30","لا توجد بيانات بعد",IF(AND(D230=0,F230=0),"بدون نشاط","نشِط"))</f>
        <v>بدون نشاط</v>
      </c>
    </row>
    <row r="231" customFormat="false" ht="15" hidden="false" customHeight="false" outlineLevel="0" collapsed="false">
      <c r="A231" s="13" t="s">
        <v>59</v>
      </c>
      <c r="B231" s="13" t="s">
        <v>83</v>
      </c>
      <c r="C231" s="14" t="s">
        <v>22</v>
      </c>
      <c r="D231" s="15" t="n">
        <f aca="false">COUNTIFS('تفاصيل الفرص'!$B$2:$B$372,$B231,'تفاصيل الفرص'!$D$2:$D$372,$C231)</f>
        <v>1</v>
      </c>
      <c r="E231" s="13" t="n">
        <f aca="false">COUNTIFS('تفاصيل الفرص'!$B$2:$B$372,$B231,'تفاصيل الفرص'!$D$2:$D$372,$C231,'تفاصيل الفرص'!$X$2:$X$372,0)</f>
        <v>0</v>
      </c>
      <c r="F231" s="13" t="n">
        <f aca="false">COUNTIFS('سجل الأكشنات'!$B$2:$B$933,$B231,'سجل الأكشنات'!$D$2:$D$933,$C231)</f>
        <v>2</v>
      </c>
      <c r="G231" s="13" t="n">
        <f aca="false">COUNTIFS('سجل الأكشنات'!$B$2:$B$933,$B231,'سجل الأكشنات'!$D$2:$D$933,$C231,'سجل الأكشنات'!$H$2:$H$933,"تفصيلي")</f>
        <v>0</v>
      </c>
      <c r="H231" s="13" t="n">
        <f aca="false">F231-G231</f>
        <v>2</v>
      </c>
      <c r="I231" s="13" t="str">
        <f aca="false">IF($B231&gt;"2026-09-30","لا توجد بيانات بعد",IF(AND(D231=0,F231=0),"بدون نشاط","نشِط"))</f>
        <v>نشِط</v>
      </c>
    </row>
    <row r="232" customFormat="false" ht="15" hidden="false" customHeight="false" outlineLevel="0" collapsed="false">
      <c r="A232" s="13" t="s">
        <v>59</v>
      </c>
      <c r="B232" s="13" t="s">
        <v>83</v>
      </c>
      <c r="C232" s="14" t="s">
        <v>24</v>
      </c>
      <c r="D232" s="15" t="n">
        <f aca="false">COUNTIFS('تفاصيل الفرص'!$B$2:$B$372,$B232,'تفاصيل الفرص'!$D$2:$D$372,$C232)</f>
        <v>1</v>
      </c>
      <c r="E232" s="13" t="n">
        <f aca="false">COUNTIFS('تفاصيل الفرص'!$B$2:$B$372,$B232,'تفاصيل الفرص'!$D$2:$D$372,$C232,'تفاصيل الفرص'!$X$2:$X$372,0)</f>
        <v>0</v>
      </c>
      <c r="F232" s="13" t="n">
        <f aca="false">COUNTIFS('سجل الأكشنات'!$B$2:$B$933,$B232,'سجل الأكشنات'!$D$2:$D$933,$C232)</f>
        <v>3</v>
      </c>
      <c r="G232" s="13" t="n">
        <f aca="false">COUNTIFS('سجل الأكشنات'!$B$2:$B$933,$B232,'سجل الأكشنات'!$D$2:$D$933,$C232,'سجل الأكشنات'!$H$2:$H$933,"تفصيلي")</f>
        <v>3</v>
      </c>
      <c r="H232" s="13" t="n">
        <f aca="false">F232-G232</f>
        <v>0</v>
      </c>
      <c r="I232" s="13" t="str">
        <f aca="false">IF($B232&gt;"2026-09-30","لا توجد بيانات بعد",IF(AND(D232=0,F232=0),"بدون نشاط","نشِط"))</f>
        <v>نشِط</v>
      </c>
    </row>
    <row r="233" customFormat="false" ht="15" hidden="false" customHeight="false" outlineLevel="0" collapsed="false">
      <c r="A233" s="13" t="s">
        <v>59</v>
      </c>
      <c r="B233" s="13" t="s">
        <v>83</v>
      </c>
      <c r="C233" s="14" t="s">
        <v>26</v>
      </c>
      <c r="D233" s="15" t="n">
        <f aca="false">COUNTIFS('تفاصيل الفرص'!$B$2:$B$372,$B233,'تفاصيل الفرص'!$D$2:$D$372,$C233)</f>
        <v>0</v>
      </c>
      <c r="E233" s="13" t="n">
        <f aca="false">COUNTIFS('تفاصيل الفرص'!$B$2:$B$372,$B233,'تفاصيل الفرص'!$D$2:$D$372,$C233,'تفاصيل الفرص'!$X$2:$X$372,0)</f>
        <v>0</v>
      </c>
      <c r="F233" s="13" t="n">
        <f aca="false">COUNTIFS('سجل الأكشنات'!$B$2:$B$933,$B233,'سجل الأكشنات'!$D$2:$D$933,$C233)</f>
        <v>0</v>
      </c>
      <c r="G233" s="13" t="n">
        <f aca="false">COUNTIFS('سجل الأكشنات'!$B$2:$B$933,$B233,'سجل الأكشنات'!$D$2:$D$933,$C233,'سجل الأكشنات'!$H$2:$H$933,"تفصيلي")</f>
        <v>0</v>
      </c>
      <c r="H233" s="13" t="n">
        <f aca="false">F233-G233</f>
        <v>0</v>
      </c>
      <c r="I233" s="13" t="str">
        <f aca="false">IF($B233&gt;"2026-09-30","لا توجد بيانات بعد",IF(AND(D233=0,F233=0),"بدون نشاط","نشِط"))</f>
        <v>بدون نشاط</v>
      </c>
    </row>
    <row r="234" customFormat="false" ht="15" hidden="false" customHeight="false" outlineLevel="0" collapsed="false">
      <c r="A234" s="13" t="s">
        <v>59</v>
      </c>
      <c r="B234" s="13" t="s">
        <v>83</v>
      </c>
      <c r="C234" s="14" t="s">
        <v>28</v>
      </c>
      <c r="D234" s="15" t="n">
        <f aca="false">COUNTIFS('تفاصيل الفرص'!$B$2:$B$372,$B234,'تفاصيل الفرص'!$D$2:$D$372,$C234)</f>
        <v>2</v>
      </c>
      <c r="E234" s="13" t="n">
        <f aca="false">COUNTIFS('تفاصيل الفرص'!$B$2:$B$372,$B234,'تفاصيل الفرص'!$D$2:$D$372,$C234,'تفاصيل الفرص'!$X$2:$X$372,0)</f>
        <v>0</v>
      </c>
      <c r="F234" s="13" t="n">
        <f aca="false">COUNTIFS('سجل الأكشنات'!$B$2:$B$933,$B234,'سجل الأكشنات'!$D$2:$D$933,$C234)</f>
        <v>3</v>
      </c>
      <c r="G234" s="13" t="n">
        <f aca="false">COUNTIFS('سجل الأكشنات'!$B$2:$B$933,$B234,'سجل الأكشنات'!$D$2:$D$933,$C234,'سجل الأكشنات'!$H$2:$H$933,"تفصيلي")</f>
        <v>3</v>
      </c>
      <c r="H234" s="13" t="n">
        <f aca="false">F234-G234</f>
        <v>0</v>
      </c>
      <c r="I234" s="13" t="str">
        <f aca="false">IF($B234&gt;"2026-09-30","لا توجد بيانات بعد",IF(AND(D234=0,F234=0),"بدون نشاط","نشِط"))</f>
        <v>نشِط</v>
      </c>
    </row>
    <row r="235" customFormat="false" ht="15" hidden="false" customHeight="false" outlineLevel="0" collapsed="false">
      <c r="A235" s="13" t="s">
        <v>59</v>
      </c>
      <c r="B235" s="13" t="s">
        <v>83</v>
      </c>
      <c r="C235" s="14" t="s">
        <v>30</v>
      </c>
      <c r="D235" s="15" t="n">
        <f aca="false">COUNTIFS('تفاصيل الفرص'!$B$2:$B$372,$B235,'تفاصيل الفرص'!$D$2:$D$372,$C235)</f>
        <v>1</v>
      </c>
      <c r="E235" s="13" t="n">
        <f aca="false">COUNTIFS('تفاصيل الفرص'!$B$2:$B$372,$B235,'تفاصيل الفرص'!$D$2:$D$372,$C235,'تفاصيل الفرص'!$X$2:$X$372,0)</f>
        <v>0</v>
      </c>
      <c r="F235" s="13" t="n">
        <f aca="false">COUNTIFS('سجل الأكشنات'!$B$2:$B$933,$B235,'سجل الأكشنات'!$D$2:$D$933,$C235)</f>
        <v>1</v>
      </c>
      <c r="G235" s="13" t="n">
        <f aca="false">COUNTIFS('سجل الأكشنات'!$B$2:$B$933,$B235,'سجل الأكشنات'!$D$2:$D$933,$C235,'سجل الأكشنات'!$H$2:$H$933,"تفصيلي")</f>
        <v>1</v>
      </c>
      <c r="H235" s="13" t="n">
        <f aca="false">F235-G235</f>
        <v>0</v>
      </c>
      <c r="I235" s="13" t="str">
        <f aca="false">IF($B235&gt;"2026-09-30","لا توجد بيانات بعد",IF(AND(D235=0,F235=0),"بدون نشاط","نشِط"))</f>
        <v>نشِط</v>
      </c>
    </row>
    <row r="236" customFormat="false" ht="15" hidden="false" customHeight="false" outlineLevel="0" collapsed="false">
      <c r="A236" s="13" t="s">
        <v>59</v>
      </c>
      <c r="B236" s="13" t="s">
        <v>83</v>
      </c>
      <c r="C236" s="14" t="s">
        <v>32</v>
      </c>
      <c r="D236" s="15" t="n">
        <f aca="false">COUNTIFS('تفاصيل الفرص'!$B$2:$B$372,$B236,'تفاصيل الفرص'!$D$2:$D$372,$C236)</f>
        <v>0</v>
      </c>
      <c r="E236" s="13" t="n">
        <f aca="false">COUNTIFS('تفاصيل الفرص'!$B$2:$B$372,$B236,'تفاصيل الفرص'!$D$2:$D$372,$C236,'تفاصيل الفرص'!$X$2:$X$372,0)</f>
        <v>0</v>
      </c>
      <c r="F236" s="13" t="n">
        <f aca="false">COUNTIFS('سجل الأكشنات'!$B$2:$B$933,$B236,'سجل الأكشنات'!$D$2:$D$933,$C236)</f>
        <v>2</v>
      </c>
      <c r="G236" s="13" t="n">
        <f aca="false">COUNTIFS('سجل الأكشنات'!$B$2:$B$933,$B236,'سجل الأكشنات'!$D$2:$D$933,$C236,'سجل الأكشنات'!$H$2:$H$933,"تفصيلي")</f>
        <v>2</v>
      </c>
      <c r="H236" s="13" t="n">
        <f aca="false">F236-G236</f>
        <v>0</v>
      </c>
      <c r="I236" s="13" t="str">
        <f aca="false">IF($B236&gt;"2026-09-30","لا توجد بيانات بعد",IF(AND(D236=0,F236=0),"بدون نشاط","نشِط"))</f>
        <v>نشِط</v>
      </c>
    </row>
    <row r="237" customFormat="false" ht="15" hidden="false" customHeight="false" outlineLevel="0" collapsed="false">
      <c r="A237" s="13" t="s">
        <v>59</v>
      </c>
      <c r="B237" s="13" t="s">
        <v>83</v>
      </c>
      <c r="C237" s="14" t="s">
        <v>34</v>
      </c>
      <c r="D237" s="15" t="n">
        <f aca="false">COUNTIFS('تفاصيل الفرص'!$B$2:$B$372,$B237,'تفاصيل الفرص'!$D$2:$D$372,$C237)</f>
        <v>6</v>
      </c>
      <c r="E237" s="13" t="n">
        <f aca="false">COUNTIFS('تفاصيل الفرص'!$B$2:$B$372,$B237,'تفاصيل الفرص'!$D$2:$D$372,$C237,'تفاصيل الفرص'!$X$2:$X$372,0)</f>
        <v>0</v>
      </c>
      <c r="F237" s="13" t="n">
        <f aca="false">COUNTIFS('سجل الأكشنات'!$B$2:$B$933,$B237,'سجل الأكشنات'!$D$2:$D$933,$C237)</f>
        <v>13</v>
      </c>
      <c r="G237" s="13" t="n">
        <f aca="false">COUNTIFS('سجل الأكشنات'!$B$2:$B$933,$B237,'سجل الأكشنات'!$D$2:$D$933,$C237,'سجل الأكشنات'!$H$2:$H$933,"تفصيلي")</f>
        <v>13</v>
      </c>
      <c r="H237" s="13" t="n">
        <f aca="false">F237-G237</f>
        <v>0</v>
      </c>
      <c r="I237" s="13" t="str">
        <f aca="false">IF($B237&gt;"2026-09-30","لا توجد بيانات بعد",IF(AND(D237=0,F237=0),"بدون نشاط","نشِط"))</f>
        <v>نشِط</v>
      </c>
    </row>
    <row r="238" customFormat="false" ht="15" hidden="false" customHeight="false" outlineLevel="0" collapsed="false">
      <c r="A238" s="5" t="s">
        <v>61</v>
      </c>
      <c r="B238" s="5" t="s">
        <v>84</v>
      </c>
      <c r="C238" s="4" t="s">
        <v>18</v>
      </c>
      <c r="D238" s="5" t="n">
        <f aca="false">COUNTIFS('تفاصيل الفرص'!$B$2:$B$372,$B238,'تفاصيل الفرص'!$D$2:$D$372,$C238)</f>
        <v>3</v>
      </c>
      <c r="E238" s="5" t="n">
        <f aca="false">COUNTIFS('تفاصيل الفرص'!$B$2:$B$372,$B238,'تفاصيل الفرص'!$D$2:$D$372,$C238,'تفاصيل الفرص'!$X$2:$X$372,0)</f>
        <v>0</v>
      </c>
      <c r="F238" s="5" t="n">
        <f aca="false">COUNTIFS('سجل الأكشنات'!$B$2:$B$933,$B238,'سجل الأكشنات'!$D$2:$D$933,$C238)</f>
        <v>7</v>
      </c>
      <c r="G238" s="5" t="n">
        <f aca="false">COUNTIFS('سجل الأكشنات'!$B$2:$B$933,$B238,'سجل الأكشنات'!$D$2:$D$933,$C238,'سجل الأكشنات'!$H$2:$H$933,"تفصيلي")</f>
        <v>7</v>
      </c>
      <c r="H238" s="5" t="n">
        <f aca="false">F238-G238</f>
        <v>0</v>
      </c>
      <c r="I238" s="12" t="str">
        <f aca="false">IF($B238&gt;"2026-09-30","لا توجد بيانات بعد",IF(AND(D238=0,F238=0),"بدون نشاط","نشِط"))</f>
        <v>نشِط</v>
      </c>
    </row>
    <row r="239" customFormat="false" ht="15" hidden="false" customHeight="false" outlineLevel="0" collapsed="false">
      <c r="A239" s="5" t="s">
        <v>61</v>
      </c>
      <c r="B239" s="5" t="s">
        <v>84</v>
      </c>
      <c r="C239" s="4" t="s">
        <v>20</v>
      </c>
      <c r="D239" s="5" t="n">
        <f aca="false">COUNTIFS('تفاصيل الفرص'!$B$2:$B$372,$B239,'تفاصيل الفرص'!$D$2:$D$372,$C239)</f>
        <v>2</v>
      </c>
      <c r="E239" s="5" t="n">
        <f aca="false">COUNTIFS('تفاصيل الفرص'!$B$2:$B$372,$B239,'تفاصيل الفرص'!$D$2:$D$372,$C239,'تفاصيل الفرص'!$X$2:$X$372,0)</f>
        <v>0</v>
      </c>
      <c r="F239" s="5" t="n">
        <f aca="false">COUNTIFS('سجل الأكشنات'!$B$2:$B$933,$B239,'سجل الأكشنات'!$D$2:$D$933,$C239)</f>
        <v>8</v>
      </c>
      <c r="G239" s="5" t="n">
        <f aca="false">COUNTIFS('سجل الأكشنات'!$B$2:$B$933,$B239,'سجل الأكشنات'!$D$2:$D$933,$C239,'سجل الأكشنات'!$H$2:$H$933,"تفصيلي")</f>
        <v>8</v>
      </c>
      <c r="H239" s="5" t="n">
        <f aca="false">F239-G239</f>
        <v>0</v>
      </c>
      <c r="I239" s="12" t="str">
        <f aca="false">IF($B239&gt;"2026-09-30","لا توجد بيانات بعد",IF(AND(D239=0,F239=0),"بدون نشاط","نشِط"))</f>
        <v>نشِط</v>
      </c>
    </row>
    <row r="240" customFormat="false" ht="15" hidden="false" customHeight="false" outlineLevel="0" collapsed="false">
      <c r="A240" s="5" t="s">
        <v>61</v>
      </c>
      <c r="B240" s="5" t="s">
        <v>84</v>
      </c>
      <c r="C240" s="4" t="s">
        <v>22</v>
      </c>
      <c r="D240" s="5" t="n">
        <f aca="false">COUNTIFS('تفاصيل الفرص'!$B$2:$B$372,$B240,'تفاصيل الفرص'!$D$2:$D$372,$C240)</f>
        <v>0</v>
      </c>
      <c r="E240" s="5" t="n">
        <f aca="false">COUNTIFS('تفاصيل الفرص'!$B$2:$B$372,$B240,'تفاصيل الفرص'!$D$2:$D$372,$C240,'تفاصيل الفرص'!$X$2:$X$372,0)</f>
        <v>0</v>
      </c>
      <c r="F240" s="5" t="n">
        <f aca="false">COUNTIFS('سجل الأكشنات'!$B$2:$B$933,$B240,'سجل الأكشنات'!$D$2:$D$933,$C240)</f>
        <v>1</v>
      </c>
      <c r="G240" s="5" t="n">
        <f aca="false">COUNTIFS('سجل الأكشنات'!$B$2:$B$933,$B240,'سجل الأكشنات'!$D$2:$D$933,$C240,'سجل الأكشنات'!$H$2:$H$933,"تفصيلي")</f>
        <v>1</v>
      </c>
      <c r="H240" s="5" t="n">
        <f aca="false">F240-G240</f>
        <v>0</v>
      </c>
      <c r="I240" s="12" t="str">
        <f aca="false">IF($B240&gt;"2026-09-30","لا توجد بيانات بعد",IF(AND(D240=0,F240=0),"بدون نشاط","نشِط"))</f>
        <v>نشِط</v>
      </c>
    </row>
    <row r="241" customFormat="false" ht="15" hidden="false" customHeight="false" outlineLevel="0" collapsed="false">
      <c r="A241" s="5" t="s">
        <v>61</v>
      </c>
      <c r="B241" s="5" t="s">
        <v>84</v>
      </c>
      <c r="C241" s="4" t="s">
        <v>24</v>
      </c>
      <c r="D241" s="5" t="n">
        <f aca="false">COUNTIFS('تفاصيل الفرص'!$B$2:$B$372,$B241,'تفاصيل الفرص'!$D$2:$D$372,$C241)</f>
        <v>4</v>
      </c>
      <c r="E241" s="5" t="n">
        <f aca="false">COUNTIFS('تفاصيل الفرص'!$B$2:$B$372,$B241,'تفاصيل الفرص'!$D$2:$D$372,$C241,'تفاصيل الفرص'!$X$2:$X$372,0)</f>
        <v>0</v>
      </c>
      <c r="F241" s="5" t="n">
        <f aca="false">COUNTIFS('سجل الأكشنات'!$B$2:$B$933,$B241,'سجل الأكشنات'!$D$2:$D$933,$C241)</f>
        <v>5</v>
      </c>
      <c r="G241" s="5" t="n">
        <f aca="false">COUNTIFS('سجل الأكشنات'!$B$2:$B$933,$B241,'سجل الأكشنات'!$D$2:$D$933,$C241,'سجل الأكشنات'!$H$2:$H$933,"تفصيلي")</f>
        <v>4</v>
      </c>
      <c r="H241" s="5" t="n">
        <f aca="false">F241-G241</f>
        <v>1</v>
      </c>
      <c r="I241" s="12" t="str">
        <f aca="false">IF($B241&gt;"2026-09-30","لا توجد بيانات بعد",IF(AND(D241=0,F241=0),"بدون نشاط","نشِط"))</f>
        <v>نشِط</v>
      </c>
    </row>
    <row r="242" customFormat="false" ht="15" hidden="false" customHeight="false" outlineLevel="0" collapsed="false">
      <c r="A242" s="5" t="s">
        <v>61</v>
      </c>
      <c r="B242" s="5" t="s">
        <v>84</v>
      </c>
      <c r="C242" s="4" t="s">
        <v>26</v>
      </c>
      <c r="D242" s="5" t="n">
        <f aca="false">COUNTIFS('تفاصيل الفرص'!$B$2:$B$372,$B242,'تفاصيل الفرص'!$D$2:$D$372,$C242)</f>
        <v>0</v>
      </c>
      <c r="E242" s="5" t="n">
        <f aca="false">COUNTIFS('تفاصيل الفرص'!$B$2:$B$372,$B242,'تفاصيل الفرص'!$D$2:$D$372,$C242,'تفاصيل الفرص'!$X$2:$X$372,0)</f>
        <v>0</v>
      </c>
      <c r="F242" s="5" t="n">
        <f aca="false">COUNTIFS('سجل الأكشنات'!$B$2:$B$933,$B242,'سجل الأكشنات'!$D$2:$D$933,$C242)</f>
        <v>0</v>
      </c>
      <c r="G242" s="5" t="n">
        <f aca="false">COUNTIFS('سجل الأكشنات'!$B$2:$B$933,$B242,'سجل الأكشنات'!$D$2:$D$933,$C242,'سجل الأكشنات'!$H$2:$H$933,"تفصيلي")</f>
        <v>0</v>
      </c>
      <c r="H242" s="5" t="n">
        <f aca="false">F242-G242</f>
        <v>0</v>
      </c>
      <c r="I242" s="12" t="str">
        <f aca="false">IF($B242&gt;"2026-09-30","لا توجد بيانات بعد",IF(AND(D242=0,F242=0),"بدون نشاط","نشِط"))</f>
        <v>بدون نشاط</v>
      </c>
    </row>
    <row r="243" customFormat="false" ht="15" hidden="false" customHeight="false" outlineLevel="0" collapsed="false">
      <c r="A243" s="5" t="s">
        <v>61</v>
      </c>
      <c r="B243" s="5" t="s">
        <v>84</v>
      </c>
      <c r="C243" s="4" t="s">
        <v>28</v>
      </c>
      <c r="D243" s="5" t="n">
        <f aca="false">COUNTIFS('تفاصيل الفرص'!$B$2:$B$372,$B243,'تفاصيل الفرص'!$D$2:$D$372,$C243)</f>
        <v>0</v>
      </c>
      <c r="E243" s="5" t="n">
        <f aca="false">COUNTIFS('تفاصيل الفرص'!$B$2:$B$372,$B243,'تفاصيل الفرص'!$D$2:$D$372,$C243,'تفاصيل الفرص'!$X$2:$X$372,0)</f>
        <v>0</v>
      </c>
      <c r="F243" s="5" t="n">
        <f aca="false">COUNTIFS('سجل الأكشنات'!$B$2:$B$933,$B243,'سجل الأكشنات'!$D$2:$D$933,$C243)</f>
        <v>4</v>
      </c>
      <c r="G243" s="5" t="n">
        <f aca="false">COUNTIFS('سجل الأكشنات'!$B$2:$B$933,$B243,'سجل الأكشنات'!$D$2:$D$933,$C243,'سجل الأكشنات'!$H$2:$H$933,"تفصيلي")</f>
        <v>4</v>
      </c>
      <c r="H243" s="5" t="n">
        <f aca="false">F243-G243</f>
        <v>0</v>
      </c>
      <c r="I243" s="12" t="str">
        <f aca="false">IF($B243&gt;"2026-09-30","لا توجد بيانات بعد",IF(AND(D243=0,F243=0),"بدون نشاط","نشِط"))</f>
        <v>نشِط</v>
      </c>
    </row>
    <row r="244" customFormat="false" ht="15" hidden="false" customHeight="false" outlineLevel="0" collapsed="false">
      <c r="A244" s="5" t="s">
        <v>61</v>
      </c>
      <c r="B244" s="5" t="s">
        <v>84</v>
      </c>
      <c r="C244" s="4" t="s">
        <v>30</v>
      </c>
      <c r="D244" s="5" t="n">
        <f aca="false">COUNTIFS('تفاصيل الفرص'!$B$2:$B$372,$B244,'تفاصيل الفرص'!$D$2:$D$372,$C244)</f>
        <v>4</v>
      </c>
      <c r="E244" s="5" t="n">
        <f aca="false">COUNTIFS('تفاصيل الفرص'!$B$2:$B$372,$B244,'تفاصيل الفرص'!$D$2:$D$372,$C244,'تفاصيل الفرص'!$X$2:$X$372,0)</f>
        <v>0</v>
      </c>
      <c r="F244" s="5" t="n">
        <f aca="false">COUNTIFS('سجل الأكشنات'!$B$2:$B$933,$B244,'سجل الأكشنات'!$D$2:$D$933,$C244)</f>
        <v>4</v>
      </c>
      <c r="G244" s="5" t="n">
        <f aca="false">COUNTIFS('سجل الأكشنات'!$B$2:$B$933,$B244,'سجل الأكشنات'!$D$2:$D$933,$C244,'سجل الأكشنات'!$H$2:$H$933,"تفصيلي")</f>
        <v>4</v>
      </c>
      <c r="H244" s="5" t="n">
        <f aca="false">F244-G244</f>
        <v>0</v>
      </c>
      <c r="I244" s="12" t="str">
        <f aca="false">IF($B244&gt;"2026-09-30","لا توجد بيانات بعد",IF(AND(D244=0,F244=0),"بدون نشاط","نشِط"))</f>
        <v>نشِط</v>
      </c>
    </row>
    <row r="245" customFormat="false" ht="15" hidden="false" customHeight="false" outlineLevel="0" collapsed="false">
      <c r="A245" s="5" t="s">
        <v>61</v>
      </c>
      <c r="B245" s="5" t="s">
        <v>84</v>
      </c>
      <c r="C245" s="4" t="s">
        <v>32</v>
      </c>
      <c r="D245" s="5" t="n">
        <f aca="false">COUNTIFS('تفاصيل الفرص'!$B$2:$B$372,$B245,'تفاصيل الفرص'!$D$2:$D$372,$C245)</f>
        <v>0</v>
      </c>
      <c r="E245" s="5" t="n">
        <f aca="false">COUNTIFS('تفاصيل الفرص'!$B$2:$B$372,$B245,'تفاصيل الفرص'!$D$2:$D$372,$C245,'تفاصيل الفرص'!$X$2:$X$372,0)</f>
        <v>0</v>
      </c>
      <c r="F245" s="5" t="n">
        <f aca="false">COUNTIFS('سجل الأكشنات'!$B$2:$B$933,$B245,'سجل الأكشنات'!$D$2:$D$933,$C245)</f>
        <v>1</v>
      </c>
      <c r="G245" s="5" t="n">
        <f aca="false">COUNTIFS('سجل الأكشنات'!$B$2:$B$933,$B245,'سجل الأكشنات'!$D$2:$D$933,$C245,'سجل الأكشنات'!$H$2:$H$933,"تفصيلي")</f>
        <v>0</v>
      </c>
      <c r="H245" s="5" t="n">
        <f aca="false">F245-G245</f>
        <v>1</v>
      </c>
      <c r="I245" s="12" t="str">
        <f aca="false">IF($B245&gt;"2026-09-30","لا توجد بيانات بعد",IF(AND(D245=0,F245=0),"بدون نشاط","نشِط"))</f>
        <v>نشِط</v>
      </c>
    </row>
    <row r="246" customFormat="false" ht="15" hidden="false" customHeight="false" outlineLevel="0" collapsed="false">
      <c r="A246" s="5" t="s">
        <v>61</v>
      </c>
      <c r="B246" s="5" t="s">
        <v>84</v>
      </c>
      <c r="C246" s="4" t="s">
        <v>34</v>
      </c>
      <c r="D246" s="5" t="n">
        <f aca="false">COUNTIFS('تفاصيل الفرص'!$B$2:$B$372,$B246,'تفاصيل الفرص'!$D$2:$D$372,$C246)</f>
        <v>0</v>
      </c>
      <c r="E246" s="5" t="n">
        <f aca="false">COUNTIFS('تفاصيل الفرص'!$B$2:$B$372,$B246,'تفاصيل الفرص'!$D$2:$D$372,$C246,'تفاصيل الفرص'!$X$2:$X$372,0)</f>
        <v>0</v>
      </c>
      <c r="F246" s="5" t="n">
        <f aca="false">COUNTIFS('سجل الأكشنات'!$B$2:$B$933,$B246,'سجل الأكشنات'!$D$2:$D$933,$C246)</f>
        <v>1</v>
      </c>
      <c r="G246" s="5" t="n">
        <f aca="false">COUNTIFS('سجل الأكشنات'!$B$2:$B$933,$B246,'سجل الأكشنات'!$D$2:$D$933,$C246,'سجل الأكشنات'!$H$2:$H$933,"تفصيلي")</f>
        <v>1</v>
      </c>
      <c r="H246" s="5" t="n">
        <f aca="false">F246-G246</f>
        <v>0</v>
      </c>
      <c r="I246" s="12" t="str">
        <f aca="false">IF($B246&gt;"2026-09-30","لا توجد بيانات بعد",IF(AND(D246=0,F246=0),"بدون نشاط","نشِط"))</f>
        <v>نشِط</v>
      </c>
    </row>
    <row r="247" customFormat="false" ht="15" hidden="false" customHeight="false" outlineLevel="0" collapsed="false">
      <c r="A247" s="13" t="s">
        <v>63</v>
      </c>
      <c r="B247" s="13" t="s">
        <v>85</v>
      </c>
      <c r="C247" s="14" t="s">
        <v>18</v>
      </c>
      <c r="D247" s="15" t="n">
        <f aca="false">COUNTIFS('تفاصيل الفرص'!$B$2:$B$372,$B247,'تفاصيل الفرص'!$D$2:$D$372,$C247)</f>
        <v>0</v>
      </c>
      <c r="E247" s="13" t="n">
        <f aca="false">COUNTIFS('تفاصيل الفرص'!$B$2:$B$372,$B247,'تفاصيل الفرص'!$D$2:$D$372,$C247,'تفاصيل الفرص'!$X$2:$X$372,0)</f>
        <v>0</v>
      </c>
      <c r="F247" s="13" t="n">
        <f aca="false">COUNTIFS('سجل الأكشنات'!$B$2:$B$933,$B247,'سجل الأكشنات'!$D$2:$D$933,$C247)</f>
        <v>4</v>
      </c>
      <c r="G247" s="13" t="n">
        <f aca="false">COUNTIFS('سجل الأكشنات'!$B$2:$B$933,$B247,'سجل الأكشنات'!$D$2:$D$933,$C247,'سجل الأكشنات'!$H$2:$H$933,"تفصيلي")</f>
        <v>4</v>
      </c>
      <c r="H247" s="13" t="n">
        <f aca="false">F247-G247</f>
        <v>0</v>
      </c>
      <c r="I247" s="13" t="str">
        <f aca="false">IF($B247&gt;"2026-09-30","لا توجد بيانات بعد",IF(AND(D247=0,F247=0),"بدون نشاط","نشِط"))</f>
        <v>نشِط</v>
      </c>
    </row>
    <row r="248" customFormat="false" ht="15" hidden="false" customHeight="false" outlineLevel="0" collapsed="false">
      <c r="A248" s="13" t="s">
        <v>63</v>
      </c>
      <c r="B248" s="13" t="s">
        <v>85</v>
      </c>
      <c r="C248" s="14" t="s">
        <v>20</v>
      </c>
      <c r="D248" s="15" t="n">
        <f aca="false">COUNTIFS('تفاصيل الفرص'!$B$2:$B$372,$B248,'تفاصيل الفرص'!$D$2:$D$372,$C248)</f>
        <v>1</v>
      </c>
      <c r="E248" s="13" t="n">
        <f aca="false">COUNTIFS('تفاصيل الفرص'!$B$2:$B$372,$B248,'تفاصيل الفرص'!$D$2:$D$372,$C248,'تفاصيل الفرص'!$X$2:$X$372,0)</f>
        <v>0</v>
      </c>
      <c r="F248" s="13" t="n">
        <f aca="false">COUNTIFS('سجل الأكشنات'!$B$2:$B$933,$B248,'سجل الأكشنات'!$D$2:$D$933,$C248)</f>
        <v>5</v>
      </c>
      <c r="G248" s="13" t="n">
        <f aca="false">COUNTIFS('سجل الأكشنات'!$B$2:$B$933,$B248,'سجل الأكشنات'!$D$2:$D$933,$C248,'سجل الأكشنات'!$H$2:$H$933,"تفصيلي")</f>
        <v>4</v>
      </c>
      <c r="H248" s="13" t="n">
        <f aca="false">F248-G248</f>
        <v>1</v>
      </c>
      <c r="I248" s="13" t="str">
        <f aca="false">IF($B248&gt;"2026-09-30","لا توجد بيانات بعد",IF(AND(D248=0,F248=0),"بدون نشاط","نشِط"))</f>
        <v>نشِط</v>
      </c>
    </row>
    <row r="249" customFormat="false" ht="15" hidden="false" customHeight="false" outlineLevel="0" collapsed="false">
      <c r="A249" s="13" t="s">
        <v>63</v>
      </c>
      <c r="B249" s="13" t="s">
        <v>85</v>
      </c>
      <c r="C249" s="14" t="s">
        <v>22</v>
      </c>
      <c r="D249" s="15" t="n">
        <f aca="false">COUNTIFS('تفاصيل الفرص'!$B$2:$B$372,$B249,'تفاصيل الفرص'!$D$2:$D$372,$C249)</f>
        <v>0</v>
      </c>
      <c r="E249" s="13" t="n">
        <f aca="false">COUNTIFS('تفاصيل الفرص'!$B$2:$B$372,$B249,'تفاصيل الفرص'!$D$2:$D$372,$C249,'تفاصيل الفرص'!$X$2:$X$372,0)</f>
        <v>0</v>
      </c>
      <c r="F249" s="13" t="n">
        <f aca="false">COUNTIFS('سجل الأكشنات'!$B$2:$B$933,$B249,'سجل الأكشنات'!$D$2:$D$933,$C249)</f>
        <v>0</v>
      </c>
      <c r="G249" s="13" t="n">
        <f aca="false">COUNTIFS('سجل الأكشنات'!$B$2:$B$933,$B249,'سجل الأكشنات'!$D$2:$D$933,$C249,'سجل الأكشنات'!$H$2:$H$933,"تفصيلي")</f>
        <v>0</v>
      </c>
      <c r="H249" s="13" t="n">
        <f aca="false">F249-G249</f>
        <v>0</v>
      </c>
      <c r="I249" s="13" t="str">
        <f aca="false">IF($B249&gt;"2026-09-30","لا توجد بيانات بعد",IF(AND(D249=0,F249=0),"بدون نشاط","نشِط"))</f>
        <v>بدون نشاط</v>
      </c>
    </row>
    <row r="250" customFormat="false" ht="15" hidden="false" customHeight="false" outlineLevel="0" collapsed="false">
      <c r="A250" s="13" t="s">
        <v>63</v>
      </c>
      <c r="B250" s="13" t="s">
        <v>85</v>
      </c>
      <c r="C250" s="14" t="s">
        <v>24</v>
      </c>
      <c r="D250" s="15" t="n">
        <f aca="false">COUNTIFS('تفاصيل الفرص'!$B$2:$B$372,$B250,'تفاصيل الفرص'!$D$2:$D$372,$C250)</f>
        <v>3</v>
      </c>
      <c r="E250" s="13" t="n">
        <f aca="false">COUNTIFS('تفاصيل الفرص'!$B$2:$B$372,$B250,'تفاصيل الفرص'!$D$2:$D$372,$C250,'تفاصيل الفرص'!$X$2:$X$372,0)</f>
        <v>0</v>
      </c>
      <c r="F250" s="13" t="n">
        <f aca="false">COUNTIFS('سجل الأكشنات'!$B$2:$B$933,$B250,'سجل الأكشنات'!$D$2:$D$933,$C250)</f>
        <v>3</v>
      </c>
      <c r="G250" s="13" t="n">
        <f aca="false">COUNTIFS('سجل الأكشنات'!$B$2:$B$933,$B250,'سجل الأكشنات'!$D$2:$D$933,$C250,'سجل الأكشنات'!$H$2:$H$933,"تفصيلي")</f>
        <v>3</v>
      </c>
      <c r="H250" s="13" t="n">
        <f aca="false">F250-G250</f>
        <v>0</v>
      </c>
      <c r="I250" s="13" t="str">
        <f aca="false">IF($B250&gt;"2026-09-30","لا توجد بيانات بعد",IF(AND(D250=0,F250=0),"بدون نشاط","نشِط"))</f>
        <v>نشِط</v>
      </c>
    </row>
    <row r="251" customFormat="false" ht="15" hidden="false" customHeight="false" outlineLevel="0" collapsed="false">
      <c r="A251" s="13" t="s">
        <v>63</v>
      </c>
      <c r="B251" s="13" t="s">
        <v>85</v>
      </c>
      <c r="C251" s="14" t="s">
        <v>26</v>
      </c>
      <c r="D251" s="15" t="n">
        <f aca="false">COUNTIFS('تفاصيل الفرص'!$B$2:$B$372,$B251,'تفاصيل الفرص'!$D$2:$D$372,$C251)</f>
        <v>0</v>
      </c>
      <c r="E251" s="13" t="n">
        <f aca="false">COUNTIFS('تفاصيل الفرص'!$B$2:$B$372,$B251,'تفاصيل الفرص'!$D$2:$D$372,$C251,'تفاصيل الفرص'!$X$2:$X$372,0)</f>
        <v>0</v>
      </c>
      <c r="F251" s="13" t="n">
        <f aca="false">COUNTIFS('سجل الأكشنات'!$B$2:$B$933,$B251,'سجل الأكشنات'!$D$2:$D$933,$C251)</f>
        <v>0</v>
      </c>
      <c r="G251" s="13" t="n">
        <f aca="false">COUNTIFS('سجل الأكشنات'!$B$2:$B$933,$B251,'سجل الأكشنات'!$D$2:$D$933,$C251,'سجل الأكشنات'!$H$2:$H$933,"تفصيلي")</f>
        <v>0</v>
      </c>
      <c r="H251" s="13" t="n">
        <f aca="false">F251-G251</f>
        <v>0</v>
      </c>
      <c r="I251" s="13" t="str">
        <f aca="false">IF($B251&gt;"2026-09-30","لا توجد بيانات بعد",IF(AND(D251=0,F251=0),"بدون نشاط","نشِط"))</f>
        <v>بدون نشاط</v>
      </c>
    </row>
    <row r="252" customFormat="false" ht="15" hidden="false" customHeight="false" outlineLevel="0" collapsed="false">
      <c r="A252" s="13" t="s">
        <v>63</v>
      </c>
      <c r="B252" s="13" t="s">
        <v>85</v>
      </c>
      <c r="C252" s="14" t="s">
        <v>28</v>
      </c>
      <c r="D252" s="15" t="n">
        <f aca="false">COUNTIFS('تفاصيل الفرص'!$B$2:$B$372,$B252,'تفاصيل الفرص'!$D$2:$D$372,$C252)</f>
        <v>0</v>
      </c>
      <c r="E252" s="13" t="n">
        <f aca="false">COUNTIFS('تفاصيل الفرص'!$B$2:$B$372,$B252,'تفاصيل الفرص'!$D$2:$D$372,$C252,'تفاصيل الفرص'!$X$2:$X$372,0)</f>
        <v>0</v>
      </c>
      <c r="F252" s="13" t="n">
        <f aca="false">COUNTIFS('سجل الأكشنات'!$B$2:$B$933,$B252,'سجل الأكشنات'!$D$2:$D$933,$C252)</f>
        <v>4</v>
      </c>
      <c r="G252" s="13" t="n">
        <f aca="false">COUNTIFS('سجل الأكشنات'!$B$2:$B$933,$B252,'سجل الأكشنات'!$D$2:$D$933,$C252,'سجل الأكشنات'!$H$2:$H$933,"تفصيلي")</f>
        <v>4</v>
      </c>
      <c r="H252" s="13" t="n">
        <f aca="false">F252-G252</f>
        <v>0</v>
      </c>
      <c r="I252" s="13" t="str">
        <f aca="false">IF($B252&gt;"2026-09-30","لا توجد بيانات بعد",IF(AND(D252=0,F252=0),"بدون نشاط","نشِط"))</f>
        <v>نشِط</v>
      </c>
    </row>
    <row r="253" customFormat="false" ht="15" hidden="false" customHeight="false" outlineLevel="0" collapsed="false">
      <c r="A253" s="13" t="s">
        <v>63</v>
      </c>
      <c r="B253" s="13" t="s">
        <v>85</v>
      </c>
      <c r="C253" s="14" t="s">
        <v>30</v>
      </c>
      <c r="D253" s="15" t="n">
        <f aca="false">COUNTIFS('تفاصيل الفرص'!$B$2:$B$372,$B253,'تفاصيل الفرص'!$D$2:$D$372,$C253)</f>
        <v>6</v>
      </c>
      <c r="E253" s="13" t="n">
        <f aca="false">COUNTIFS('تفاصيل الفرص'!$B$2:$B$372,$B253,'تفاصيل الفرص'!$D$2:$D$372,$C253,'تفاصيل الفرص'!$X$2:$X$372,0)</f>
        <v>0</v>
      </c>
      <c r="F253" s="13" t="n">
        <f aca="false">COUNTIFS('سجل الأكشنات'!$B$2:$B$933,$B253,'سجل الأكشنات'!$D$2:$D$933,$C253)</f>
        <v>6</v>
      </c>
      <c r="G253" s="13" t="n">
        <f aca="false">COUNTIFS('سجل الأكشنات'!$B$2:$B$933,$B253,'سجل الأكشنات'!$D$2:$D$933,$C253,'سجل الأكشنات'!$H$2:$H$933,"تفصيلي")</f>
        <v>6</v>
      </c>
      <c r="H253" s="13" t="n">
        <f aca="false">F253-G253</f>
        <v>0</v>
      </c>
      <c r="I253" s="13" t="str">
        <f aca="false">IF($B253&gt;"2026-09-30","لا توجد بيانات بعد",IF(AND(D253=0,F253=0),"بدون نشاط","نشِط"))</f>
        <v>نشِط</v>
      </c>
    </row>
    <row r="254" customFormat="false" ht="15" hidden="false" customHeight="false" outlineLevel="0" collapsed="false">
      <c r="A254" s="13" t="s">
        <v>63</v>
      </c>
      <c r="B254" s="13" t="s">
        <v>85</v>
      </c>
      <c r="C254" s="14" t="s">
        <v>32</v>
      </c>
      <c r="D254" s="15" t="n">
        <f aca="false">COUNTIFS('تفاصيل الفرص'!$B$2:$B$372,$B254,'تفاصيل الفرص'!$D$2:$D$372,$C254)</f>
        <v>4</v>
      </c>
      <c r="E254" s="13" t="n">
        <f aca="false">COUNTIFS('تفاصيل الفرص'!$B$2:$B$372,$B254,'تفاصيل الفرص'!$D$2:$D$372,$C254,'تفاصيل الفرص'!$X$2:$X$372,0)</f>
        <v>0</v>
      </c>
      <c r="F254" s="13" t="n">
        <f aca="false">COUNTIFS('سجل الأكشنات'!$B$2:$B$933,$B254,'سجل الأكشنات'!$D$2:$D$933,$C254)</f>
        <v>5</v>
      </c>
      <c r="G254" s="13" t="n">
        <f aca="false">COUNTIFS('سجل الأكشنات'!$B$2:$B$933,$B254,'سجل الأكشنات'!$D$2:$D$933,$C254,'سجل الأكشنات'!$H$2:$H$933,"تفصيلي")</f>
        <v>5</v>
      </c>
      <c r="H254" s="13" t="n">
        <f aca="false">F254-G254</f>
        <v>0</v>
      </c>
      <c r="I254" s="13" t="str">
        <f aca="false">IF($B254&gt;"2026-09-30","لا توجد بيانات بعد",IF(AND(D254=0,F254=0),"بدون نشاط","نشِط"))</f>
        <v>نشِط</v>
      </c>
    </row>
    <row r="255" customFormat="false" ht="15" hidden="false" customHeight="false" outlineLevel="0" collapsed="false">
      <c r="A255" s="13" t="s">
        <v>63</v>
      </c>
      <c r="B255" s="13" t="s">
        <v>85</v>
      </c>
      <c r="C255" s="14" t="s">
        <v>34</v>
      </c>
      <c r="D255" s="15" t="n">
        <f aca="false">COUNTIFS('تفاصيل الفرص'!$B$2:$B$372,$B255,'تفاصيل الفرص'!$D$2:$D$372,$C255)</f>
        <v>0</v>
      </c>
      <c r="E255" s="13" t="n">
        <f aca="false">COUNTIFS('تفاصيل الفرص'!$B$2:$B$372,$B255,'تفاصيل الفرص'!$D$2:$D$372,$C255,'تفاصيل الفرص'!$X$2:$X$372,0)</f>
        <v>0</v>
      </c>
      <c r="F255" s="13" t="n">
        <f aca="false">COUNTIFS('سجل الأكشنات'!$B$2:$B$933,$B255,'سجل الأكشنات'!$D$2:$D$933,$C255)</f>
        <v>0</v>
      </c>
      <c r="G255" s="13" t="n">
        <f aca="false">COUNTIFS('سجل الأكشنات'!$B$2:$B$933,$B255,'سجل الأكشنات'!$D$2:$D$933,$C255,'سجل الأكشنات'!$H$2:$H$933,"تفصيلي")</f>
        <v>0</v>
      </c>
      <c r="H255" s="13" t="n">
        <f aca="false">F255-G255</f>
        <v>0</v>
      </c>
      <c r="I255" s="13" t="str">
        <f aca="false">IF($B255&gt;"2026-09-30","لا توجد بيانات بعد",IF(AND(D255=0,F255=0),"بدون نشاط","نشِط"))</f>
        <v>بدون نشاط</v>
      </c>
    </row>
    <row r="256" customFormat="false" ht="15" hidden="false" customHeight="false" outlineLevel="0" collapsed="false">
      <c r="A256" s="5" t="s">
        <v>51</v>
      </c>
      <c r="B256" s="5" t="s">
        <v>86</v>
      </c>
      <c r="C256" s="4" t="s">
        <v>18</v>
      </c>
      <c r="D256" s="5" t="n">
        <f aca="false">COUNTIFS('تفاصيل الفرص'!$B$2:$B$372,$B256,'تفاصيل الفرص'!$D$2:$D$372,$C256)</f>
        <v>4</v>
      </c>
      <c r="E256" s="5" t="n">
        <f aca="false">COUNTIFS('تفاصيل الفرص'!$B$2:$B$372,$B256,'تفاصيل الفرص'!$D$2:$D$372,$C256,'تفاصيل الفرص'!$X$2:$X$372,0)</f>
        <v>0</v>
      </c>
      <c r="F256" s="5" t="n">
        <f aca="false">COUNTIFS('سجل الأكشنات'!$B$2:$B$933,$B256,'سجل الأكشنات'!$D$2:$D$933,$C256)</f>
        <v>8</v>
      </c>
      <c r="G256" s="5" t="n">
        <f aca="false">COUNTIFS('سجل الأكشنات'!$B$2:$B$933,$B256,'سجل الأكشنات'!$D$2:$D$933,$C256,'سجل الأكشنات'!$H$2:$H$933,"تفصيلي")</f>
        <v>8</v>
      </c>
      <c r="H256" s="5" t="n">
        <f aca="false">F256-G256</f>
        <v>0</v>
      </c>
      <c r="I256" s="12" t="str">
        <f aca="false">IF($B256&gt;"2026-09-30","لا توجد بيانات بعد",IF(AND(D256=0,F256=0),"بدون نشاط","نشِط"))</f>
        <v>نشِط</v>
      </c>
    </row>
    <row r="257" customFormat="false" ht="15" hidden="false" customHeight="false" outlineLevel="0" collapsed="false">
      <c r="A257" s="5" t="s">
        <v>51</v>
      </c>
      <c r="B257" s="5" t="s">
        <v>86</v>
      </c>
      <c r="C257" s="4" t="s">
        <v>20</v>
      </c>
      <c r="D257" s="5" t="n">
        <f aca="false">COUNTIFS('تفاصيل الفرص'!$B$2:$B$372,$B257,'تفاصيل الفرص'!$D$2:$D$372,$C257)</f>
        <v>1</v>
      </c>
      <c r="E257" s="5" t="n">
        <f aca="false">COUNTIFS('تفاصيل الفرص'!$B$2:$B$372,$B257,'تفاصيل الفرص'!$D$2:$D$372,$C257,'تفاصيل الفرص'!$X$2:$X$372,0)</f>
        <v>0</v>
      </c>
      <c r="F257" s="5" t="n">
        <f aca="false">COUNTIFS('سجل الأكشنات'!$B$2:$B$933,$B257,'سجل الأكشنات'!$D$2:$D$933,$C257)</f>
        <v>5</v>
      </c>
      <c r="G257" s="5" t="n">
        <f aca="false">COUNTIFS('سجل الأكشنات'!$B$2:$B$933,$B257,'سجل الأكشنات'!$D$2:$D$933,$C257,'سجل الأكشنات'!$H$2:$H$933,"تفصيلي")</f>
        <v>3</v>
      </c>
      <c r="H257" s="5" t="n">
        <f aca="false">F257-G257</f>
        <v>2</v>
      </c>
      <c r="I257" s="12" t="str">
        <f aca="false">IF($B257&gt;"2026-09-30","لا توجد بيانات بعد",IF(AND(D257=0,F257=0),"بدون نشاط","نشِط"))</f>
        <v>نشِط</v>
      </c>
    </row>
    <row r="258" customFormat="false" ht="15" hidden="false" customHeight="false" outlineLevel="0" collapsed="false">
      <c r="A258" s="5" t="s">
        <v>51</v>
      </c>
      <c r="B258" s="5" t="s">
        <v>86</v>
      </c>
      <c r="C258" s="4" t="s">
        <v>22</v>
      </c>
      <c r="D258" s="5" t="n">
        <f aca="false">COUNTIFS('تفاصيل الفرص'!$B$2:$B$372,$B258,'تفاصيل الفرص'!$D$2:$D$372,$C258)</f>
        <v>2</v>
      </c>
      <c r="E258" s="5" t="n">
        <f aca="false">COUNTIFS('تفاصيل الفرص'!$B$2:$B$372,$B258,'تفاصيل الفرص'!$D$2:$D$372,$C258,'تفاصيل الفرص'!$X$2:$X$372,0)</f>
        <v>0</v>
      </c>
      <c r="F258" s="5" t="n">
        <f aca="false">COUNTIFS('سجل الأكشنات'!$B$2:$B$933,$B258,'سجل الأكشنات'!$D$2:$D$933,$C258)</f>
        <v>6</v>
      </c>
      <c r="G258" s="5" t="n">
        <f aca="false">COUNTIFS('سجل الأكشنات'!$B$2:$B$933,$B258,'سجل الأكشنات'!$D$2:$D$933,$C258,'سجل الأكشنات'!$H$2:$H$933,"تفصيلي")</f>
        <v>5</v>
      </c>
      <c r="H258" s="5" t="n">
        <f aca="false">F258-G258</f>
        <v>1</v>
      </c>
      <c r="I258" s="12" t="str">
        <f aca="false">IF($B258&gt;"2026-09-30","لا توجد بيانات بعد",IF(AND(D258=0,F258=0),"بدون نشاط","نشِط"))</f>
        <v>نشِط</v>
      </c>
    </row>
    <row r="259" customFormat="false" ht="15" hidden="false" customHeight="false" outlineLevel="0" collapsed="false">
      <c r="A259" s="5" t="s">
        <v>51</v>
      </c>
      <c r="B259" s="5" t="s">
        <v>86</v>
      </c>
      <c r="C259" s="4" t="s">
        <v>24</v>
      </c>
      <c r="D259" s="5" t="n">
        <f aca="false">COUNTIFS('تفاصيل الفرص'!$B$2:$B$372,$B259,'تفاصيل الفرص'!$D$2:$D$372,$C259)</f>
        <v>1</v>
      </c>
      <c r="E259" s="5" t="n">
        <f aca="false">COUNTIFS('تفاصيل الفرص'!$B$2:$B$372,$B259,'تفاصيل الفرص'!$D$2:$D$372,$C259,'تفاصيل الفرص'!$X$2:$X$372,0)</f>
        <v>0</v>
      </c>
      <c r="F259" s="5" t="n">
        <f aca="false">COUNTIFS('سجل الأكشنات'!$B$2:$B$933,$B259,'سجل الأكشنات'!$D$2:$D$933,$C259)</f>
        <v>1</v>
      </c>
      <c r="G259" s="5" t="n">
        <f aca="false">COUNTIFS('سجل الأكشنات'!$B$2:$B$933,$B259,'سجل الأكشنات'!$D$2:$D$933,$C259,'سجل الأكشنات'!$H$2:$H$933,"تفصيلي")</f>
        <v>1</v>
      </c>
      <c r="H259" s="5" t="n">
        <f aca="false">F259-G259</f>
        <v>0</v>
      </c>
      <c r="I259" s="12" t="str">
        <f aca="false">IF($B259&gt;"2026-09-30","لا توجد بيانات بعد",IF(AND(D259=0,F259=0),"بدون نشاط","نشِط"))</f>
        <v>نشِط</v>
      </c>
    </row>
    <row r="260" customFormat="false" ht="15" hidden="false" customHeight="false" outlineLevel="0" collapsed="false">
      <c r="A260" s="5" t="s">
        <v>51</v>
      </c>
      <c r="B260" s="5" t="s">
        <v>86</v>
      </c>
      <c r="C260" s="4" t="s">
        <v>26</v>
      </c>
      <c r="D260" s="5" t="n">
        <f aca="false">COUNTIFS('تفاصيل الفرص'!$B$2:$B$372,$B260,'تفاصيل الفرص'!$D$2:$D$372,$C260)</f>
        <v>0</v>
      </c>
      <c r="E260" s="5" t="n">
        <f aca="false">COUNTIFS('تفاصيل الفرص'!$B$2:$B$372,$B260,'تفاصيل الفرص'!$D$2:$D$372,$C260,'تفاصيل الفرص'!$X$2:$X$372,0)</f>
        <v>0</v>
      </c>
      <c r="F260" s="5" t="n">
        <f aca="false">COUNTIFS('سجل الأكشنات'!$B$2:$B$933,$B260,'سجل الأكشنات'!$D$2:$D$933,$C260)</f>
        <v>0</v>
      </c>
      <c r="G260" s="5" t="n">
        <f aca="false">COUNTIFS('سجل الأكشنات'!$B$2:$B$933,$B260,'سجل الأكشنات'!$D$2:$D$933,$C260,'سجل الأكشنات'!$H$2:$H$933,"تفصيلي")</f>
        <v>0</v>
      </c>
      <c r="H260" s="5" t="n">
        <f aca="false">F260-G260</f>
        <v>0</v>
      </c>
      <c r="I260" s="12" t="str">
        <f aca="false">IF($B260&gt;"2026-09-30","لا توجد بيانات بعد",IF(AND(D260=0,F260=0),"بدون نشاط","نشِط"))</f>
        <v>بدون نشاط</v>
      </c>
    </row>
    <row r="261" customFormat="false" ht="15" hidden="false" customHeight="false" outlineLevel="0" collapsed="false">
      <c r="A261" s="5" t="s">
        <v>51</v>
      </c>
      <c r="B261" s="5" t="s">
        <v>86</v>
      </c>
      <c r="C261" s="4" t="s">
        <v>28</v>
      </c>
      <c r="D261" s="5" t="n">
        <f aca="false">COUNTIFS('تفاصيل الفرص'!$B$2:$B$372,$B261,'تفاصيل الفرص'!$D$2:$D$372,$C261)</f>
        <v>0</v>
      </c>
      <c r="E261" s="5" t="n">
        <f aca="false">COUNTIFS('تفاصيل الفرص'!$B$2:$B$372,$B261,'تفاصيل الفرص'!$D$2:$D$372,$C261,'تفاصيل الفرص'!$X$2:$X$372,0)</f>
        <v>0</v>
      </c>
      <c r="F261" s="5" t="n">
        <f aca="false">COUNTIFS('سجل الأكشنات'!$B$2:$B$933,$B261,'سجل الأكشنات'!$D$2:$D$933,$C261)</f>
        <v>8</v>
      </c>
      <c r="G261" s="5" t="n">
        <f aca="false">COUNTIFS('سجل الأكشنات'!$B$2:$B$933,$B261,'سجل الأكشنات'!$D$2:$D$933,$C261,'سجل الأكشنات'!$H$2:$H$933,"تفصيلي")</f>
        <v>8</v>
      </c>
      <c r="H261" s="5" t="n">
        <f aca="false">F261-G261</f>
        <v>0</v>
      </c>
      <c r="I261" s="12" t="str">
        <f aca="false">IF($B261&gt;"2026-09-30","لا توجد بيانات بعد",IF(AND(D261=0,F261=0),"بدون نشاط","نشِط"))</f>
        <v>نشِط</v>
      </c>
    </row>
    <row r="262" customFormat="false" ht="15" hidden="false" customHeight="false" outlineLevel="0" collapsed="false">
      <c r="A262" s="5" t="s">
        <v>51</v>
      </c>
      <c r="B262" s="5" t="s">
        <v>86</v>
      </c>
      <c r="C262" s="4" t="s">
        <v>30</v>
      </c>
      <c r="D262" s="5" t="n">
        <f aca="false">COUNTIFS('تفاصيل الفرص'!$B$2:$B$372,$B262,'تفاصيل الفرص'!$D$2:$D$372,$C262)</f>
        <v>4</v>
      </c>
      <c r="E262" s="5" t="n">
        <f aca="false">COUNTIFS('تفاصيل الفرص'!$B$2:$B$372,$B262,'تفاصيل الفرص'!$D$2:$D$372,$C262,'تفاصيل الفرص'!$X$2:$X$372,0)</f>
        <v>0</v>
      </c>
      <c r="F262" s="5" t="n">
        <f aca="false">COUNTIFS('سجل الأكشنات'!$B$2:$B$933,$B262,'سجل الأكشنات'!$D$2:$D$933,$C262)</f>
        <v>7</v>
      </c>
      <c r="G262" s="5" t="n">
        <f aca="false">COUNTIFS('سجل الأكشنات'!$B$2:$B$933,$B262,'سجل الأكشنات'!$D$2:$D$933,$C262,'سجل الأكشنات'!$H$2:$H$933,"تفصيلي")</f>
        <v>4</v>
      </c>
      <c r="H262" s="5" t="n">
        <f aca="false">F262-G262</f>
        <v>3</v>
      </c>
      <c r="I262" s="12" t="str">
        <f aca="false">IF($B262&gt;"2026-09-30","لا توجد بيانات بعد",IF(AND(D262=0,F262=0),"بدون نشاط","نشِط"))</f>
        <v>نشِط</v>
      </c>
    </row>
    <row r="263" customFormat="false" ht="15" hidden="false" customHeight="false" outlineLevel="0" collapsed="false">
      <c r="A263" s="5" t="s">
        <v>51</v>
      </c>
      <c r="B263" s="5" t="s">
        <v>86</v>
      </c>
      <c r="C263" s="4" t="s">
        <v>32</v>
      </c>
      <c r="D263" s="5" t="n">
        <f aca="false">COUNTIFS('تفاصيل الفرص'!$B$2:$B$372,$B263,'تفاصيل الفرص'!$D$2:$D$372,$C263)</f>
        <v>3</v>
      </c>
      <c r="E263" s="5" t="n">
        <f aca="false">COUNTIFS('تفاصيل الفرص'!$B$2:$B$372,$B263,'تفاصيل الفرص'!$D$2:$D$372,$C263,'تفاصيل الفرص'!$X$2:$X$372,0)</f>
        <v>0</v>
      </c>
      <c r="F263" s="5" t="n">
        <f aca="false">COUNTIFS('سجل الأكشنات'!$B$2:$B$933,$B263,'سجل الأكشنات'!$D$2:$D$933,$C263)</f>
        <v>4</v>
      </c>
      <c r="G263" s="5" t="n">
        <f aca="false">COUNTIFS('سجل الأكشنات'!$B$2:$B$933,$B263,'سجل الأكشنات'!$D$2:$D$933,$C263,'سجل الأكشنات'!$H$2:$H$933,"تفصيلي")</f>
        <v>4</v>
      </c>
      <c r="H263" s="5" t="n">
        <f aca="false">F263-G263</f>
        <v>0</v>
      </c>
      <c r="I263" s="12" t="str">
        <f aca="false">IF($B263&gt;"2026-09-30","لا توجد بيانات بعد",IF(AND(D263=0,F263=0),"بدون نشاط","نشِط"))</f>
        <v>نشِط</v>
      </c>
    </row>
    <row r="264" customFormat="false" ht="15" hidden="false" customHeight="false" outlineLevel="0" collapsed="false">
      <c r="A264" s="5" t="s">
        <v>51</v>
      </c>
      <c r="B264" s="5" t="s">
        <v>86</v>
      </c>
      <c r="C264" s="4" t="s">
        <v>34</v>
      </c>
      <c r="D264" s="5" t="n">
        <f aca="false">COUNTIFS('تفاصيل الفرص'!$B$2:$B$372,$B264,'تفاصيل الفرص'!$D$2:$D$372,$C264)</f>
        <v>0</v>
      </c>
      <c r="E264" s="5" t="n">
        <f aca="false">COUNTIFS('تفاصيل الفرص'!$B$2:$B$372,$B264,'تفاصيل الفرص'!$D$2:$D$372,$C264,'تفاصيل الفرص'!$X$2:$X$372,0)</f>
        <v>0</v>
      </c>
      <c r="F264" s="5" t="n">
        <f aca="false">COUNTIFS('سجل الأكشنات'!$B$2:$B$933,$B264,'سجل الأكشنات'!$D$2:$D$933,$C264)</f>
        <v>3</v>
      </c>
      <c r="G264" s="5" t="n">
        <f aca="false">COUNTIFS('سجل الأكشنات'!$B$2:$B$933,$B264,'سجل الأكشنات'!$D$2:$D$933,$C264,'سجل الأكشنات'!$H$2:$H$933,"تفصيلي")</f>
        <v>2</v>
      </c>
      <c r="H264" s="5" t="n">
        <f aca="false">F264-G264</f>
        <v>1</v>
      </c>
      <c r="I264" s="12" t="str">
        <f aca="false">IF($B264&gt;"2026-09-30","لا توجد بيانات بعد",IF(AND(D264=0,F264=0),"بدون نشاط","نشِط"))</f>
        <v>نشِط</v>
      </c>
    </row>
    <row r="265" customFormat="false" ht="15" hidden="false" customHeight="false" outlineLevel="0" collapsed="false">
      <c r="A265" s="13" t="s">
        <v>53</v>
      </c>
      <c r="B265" s="13" t="s">
        <v>87</v>
      </c>
      <c r="C265" s="14" t="s">
        <v>18</v>
      </c>
      <c r="D265" s="15" t="n">
        <f aca="false">COUNTIFS('تفاصيل الفرص'!$B$2:$B$372,$B265,'تفاصيل الفرص'!$D$2:$D$372,$C265)</f>
        <v>3</v>
      </c>
      <c r="E265" s="13" t="n">
        <f aca="false">COUNTIFS('تفاصيل الفرص'!$B$2:$B$372,$B265,'تفاصيل الفرص'!$D$2:$D$372,$C265,'تفاصيل الفرص'!$X$2:$X$372,0)</f>
        <v>0</v>
      </c>
      <c r="F265" s="13" t="n">
        <f aca="false">COUNTIFS('سجل الأكشنات'!$B$2:$B$933,$B265,'سجل الأكشنات'!$D$2:$D$933,$C265)</f>
        <v>3</v>
      </c>
      <c r="G265" s="13" t="n">
        <f aca="false">COUNTIFS('سجل الأكشنات'!$B$2:$B$933,$B265,'سجل الأكشنات'!$D$2:$D$933,$C265,'سجل الأكشنات'!$H$2:$H$933,"تفصيلي")</f>
        <v>3</v>
      </c>
      <c r="H265" s="13" t="n">
        <f aca="false">F265-G265</f>
        <v>0</v>
      </c>
      <c r="I265" s="13" t="str">
        <f aca="false">IF($B265&gt;"2026-09-30","لا توجد بيانات بعد",IF(AND(D265=0,F265=0),"بدون نشاط","نشِط"))</f>
        <v>نشِط</v>
      </c>
    </row>
    <row r="266" customFormat="false" ht="15" hidden="false" customHeight="false" outlineLevel="0" collapsed="false">
      <c r="A266" s="13" t="s">
        <v>53</v>
      </c>
      <c r="B266" s="13" t="s">
        <v>87</v>
      </c>
      <c r="C266" s="14" t="s">
        <v>20</v>
      </c>
      <c r="D266" s="15" t="n">
        <f aca="false">COUNTIFS('تفاصيل الفرص'!$B$2:$B$372,$B266,'تفاصيل الفرص'!$D$2:$D$372,$C266)</f>
        <v>1</v>
      </c>
      <c r="E266" s="13" t="n">
        <f aca="false">COUNTIFS('تفاصيل الفرص'!$B$2:$B$372,$B266,'تفاصيل الفرص'!$D$2:$D$372,$C266,'تفاصيل الفرص'!$X$2:$X$372,0)</f>
        <v>0</v>
      </c>
      <c r="F266" s="13" t="n">
        <f aca="false">COUNTIFS('سجل الأكشنات'!$B$2:$B$933,$B266,'سجل الأكشنات'!$D$2:$D$933,$C266)</f>
        <v>12</v>
      </c>
      <c r="G266" s="13" t="n">
        <f aca="false">COUNTIFS('سجل الأكشنات'!$B$2:$B$933,$B266,'سجل الأكشنات'!$D$2:$D$933,$C266,'سجل الأكشنات'!$H$2:$H$933,"تفصيلي")</f>
        <v>6</v>
      </c>
      <c r="H266" s="13" t="n">
        <f aca="false">F266-G266</f>
        <v>6</v>
      </c>
      <c r="I266" s="13" t="str">
        <f aca="false">IF($B266&gt;"2026-09-30","لا توجد بيانات بعد",IF(AND(D266=0,F266=0),"بدون نشاط","نشِط"))</f>
        <v>نشِط</v>
      </c>
    </row>
    <row r="267" customFormat="false" ht="15" hidden="false" customHeight="false" outlineLevel="0" collapsed="false">
      <c r="A267" s="13" t="s">
        <v>53</v>
      </c>
      <c r="B267" s="13" t="s">
        <v>87</v>
      </c>
      <c r="C267" s="14" t="s">
        <v>22</v>
      </c>
      <c r="D267" s="15" t="n">
        <f aca="false">COUNTIFS('تفاصيل الفرص'!$B$2:$B$372,$B267,'تفاصيل الفرص'!$D$2:$D$372,$C267)</f>
        <v>0</v>
      </c>
      <c r="E267" s="13" t="n">
        <f aca="false">COUNTIFS('تفاصيل الفرص'!$B$2:$B$372,$B267,'تفاصيل الفرص'!$D$2:$D$372,$C267,'تفاصيل الفرص'!$X$2:$X$372,0)</f>
        <v>0</v>
      </c>
      <c r="F267" s="13" t="n">
        <f aca="false">COUNTIFS('سجل الأكشنات'!$B$2:$B$933,$B267,'سجل الأكشنات'!$D$2:$D$933,$C267)</f>
        <v>0</v>
      </c>
      <c r="G267" s="13" t="n">
        <f aca="false">COUNTIFS('سجل الأكشنات'!$B$2:$B$933,$B267,'سجل الأكشنات'!$D$2:$D$933,$C267,'سجل الأكشنات'!$H$2:$H$933,"تفصيلي")</f>
        <v>0</v>
      </c>
      <c r="H267" s="13" t="n">
        <f aca="false">F267-G267</f>
        <v>0</v>
      </c>
      <c r="I267" s="13" t="str">
        <f aca="false">IF($B267&gt;"2026-09-30","لا توجد بيانات بعد",IF(AND(D267=0,F267=0),"بدون نشاط","نشِط"))</f>
        <v>بدون نشاط</v>
      </c>
    </row>
    <row r="268" customFormat="false" ht="15" hidden="false" customHeight="false" outlineLevel="0" collapsed="false">
      <c r="A268" s="13" t="s">
        <v>53</v>
      </c>
      <c r="B268" s="13" t="s">
        <v>87</v>
      </c>
      <c r="C268" s="14" t="s">
        <v>24</v>
      </c>
      <c r="D268" s="15" t="n">
        <f aca="false">COUNTIFS('تفاصيل الفرص'!$B$2:$B$372,$B268,'تفاصيل الفرص'!$D$2:$D$372,$C268)</f>
        <v>1</v>
      </c>
      <c r="E268" s="13" t="n">
        <f aca="false">COUNTIFS('تفاصيل الفرص'!$B$2:$B$372,$B268,'تفاصيل الفرص'!$D$2:$D$372,$C268,'تفاصيل الفرص'!$X$2:$X$372,0)</f>
        <v>0</v>
      </c>
      <c r="F268" s="13" t="n">
        <f aca="false">COUNTIFS('سجل الأكشنات'!$B$2:$B$933,$B268,'سجل الأكشنات'!$D$2:$D$933,$C268)</f>
        <v>1</v>
      </c>
      <c r="G268" s="13" t="n">
        <f aca="false">COUNTIFS('سجل الأكشنات'!$B$2:$B$933,$B268,'سجل الأكشنات'!$D$2:$D$933,$C268,'سجل الأكشنات'!$H$2:$H$933,"تفصيلي")</f>
        <v>1</v>
      </c>
      <c r="H268" s="13" t="n">
        <f aca="false">F268-G268</f>
        <v>0</v>
      </c>
      <c r="I268" s="13" t="str">
        <f aca="false">IF($B268&gt;"2026-09-30","لا توجد بيانات بعد",IF(AND(D268=0,F268=0),"بدون نشاط","نشِط"))</f>
        <v>نشِط</v>
      </c>
    </row>
    <row r="269" customFormat="false" ht="15" hidden="false" customHeight="false" outlineLevel="0" collapsed="false">
      <c r="A269" s="13" t="s">
        <v>53</v>
      </c>
      <c r="B269" s="13" t="s">
        <v>87</v>
      </c>
      <c r="C269" s="14" t="s">
        <v>26</v>
      </c>
      <c r="D269" s="15" t="n">
        <f aca="false">COUNTIFS('تفاصيل الفرص'!$B$2:$B$372,$B269,'تفاصيل الفرص'!$D$2:$D$372,$C269)</f>
        <v>0</v>
      </c>
      <c r="E269" s="13" t="n">
        <f aca="false">COUNTIFS('تفاصيل الفرص'!$B$2:$B$372,$B269,'تفاصيل الفرص'!$D$2:$D$372,$C269,'تفاصيل الفرص'!$X$2:$X$372,0)</f>
        <v>0</v>
      </c>
      <c r="F269" s="13" t="n">
        <f aca="false">COUNTIFS('سجل الأكشنات'!$B$2:$B$933,$B269,'سجل الأكشنات'!$D$2:$D$933,$C269)</f>
        <v>0</v>
      </c>
      <c r="G269" s="13" t="n">
        <f aca="false">COUNTIFS('سجل الأكشنات'!$B$2:$B$933,$B269,'سجل الأكشنات'!$D$2:$D$933,$C269,'سجل الأكشنات'!$H$2:$H$933,"تفصيلي")</f>
        <v>0</v>
      </c>
      <c r="H269" s="13" t="n">
        <f aca="false">F269-G269</f>
        <v>0</v>
      </c>
      <c r="I269" s="13" t="str">
        <f aca="false">IF($B269&gt;"2026-09-30","لا توجد بيانات بعد",IF(AND(D269=0,F269=0),"بدون نشاط","نشِط"))</f>
        <v>بدون نشاط</v>
      </c>
    </row>
    <row r="270" customFormat="false" ht="15" hidden="false" customHeight="false" outlineLevel="0" collapsed="false">
      <c r="A270" s="13" t="s">
        <v>53</v>
      </c>
      <c r="B270" s="13" t="s">
        <v>87</v>
      </c>
      <c r="C270" s="14" t="s">
        <v>28</v>
      </c>
      <c r="D270" s="15" t="n">
        <f aca="false">COUNTIFS('تفاصيل الفرص'!$B$2:$B$372,$B270,'تفاصيل الفرص'!$D$2:$D$372,$C270)</f>
        <v>0</v>
      </c>
      <c r="E270" s="13" t="n">
        <f aca="false">COUNTIFS('تفاصيل الفرص'!$B$2:$B$372,$B270,'تفاصيل الفرص'!$D$2:$D$372,$C270,'تفاصيل الفرص'!$X$2:$X$372,0)</f>
        <v>0</v>
      </c>
      <c r="F270" s="13" t="n">
        <f aca="false">COUNTIFS('سجل الأكشنات'!$B$2:$B$933,$B270,'سجل الأكشنات'!$D$2:$D$933,$C270)</f>
        <v>1</v>
      </c>
      <c r="G270" s="13" t="n">
        <f aca="false">COUNTIFS('سجل الأكشنات'!$B$2:$B$933,$B270,'سجل الأكشنات'!$D$2:$D$933,$C270,'سجل الأكشنات'!$H$2:$H$933,"تفصيلي")</f>
        <v>1</v>
      </c>
      <c r="H270" s="13" t="n">
        <f aca="false">F270-G270</f>
        <v>0</v>
      </c>
      <c r="I270" s="13" t="str">
        <f aca="false">IF($B270&gt;"2026-09-30","لا توجد بيانات بعد",IF(AND(D270=0,F270=0),"بدون نشاط","نشِط"))</f>
        <v>نشِط</v>
      </c>
    </row>
    <row r="271" customFormat="false" ht="15" hidden="false" customHeight="false" outlineLevel="0" collapsed="false">
      <c r="A271" s="13" t="s">
        <v>53</v>
      </c>
      <c r="B271" s="13" t="s">
        <v>87</v>
      </c>
      <c r="C271" s="14" t="s">
        <v>30</v>
      </c>
      <c r="D271" s="15" t="n">
        <f aca="false">COUNTIFS('تفاصيل الفرص'!$B$2:$B$372,$B271,'تفاصيل الفرص'!$D$2:$D$372,$C271)</f>
        <v>0</v>
      </c>
      <c r="E271" s="13" t="n">
        <f aca="false">COUNTIFS('تفاصيل الفرص'!$B$2:$B$372,$B271,'تفاصيل الفرص'!$D$2:$D$372,$C271,'تفاصيل الفرص'!$X$2:$X$372,0)</f>
        <v>0</v>
      </c>
      <c r="F271" s="13" t="n">
        <f aca="false">COUNTIFS('سجل الأكشنات'!$B$2:$B$933,$B271,'سجل الأكشنات'!$D$2:$D$933,$C271)</f>
        <v>0</v>
      </c>
      <c r="G271" s="13" t="n">
        <f aca="false">COUNTIFS('سجل الأكشنات'!$B$2:$B$933,$B271,'سجل الأكشنات'!$D$2:$D$933,$C271,'سجل الأكشنات'!$H$2:$H$933,"تفصيلي")</f>
        <v>0</v>
      </c>
      <c r="H271" s="13" t="n">
        <f aca="false">F271-G271</f>
        <v>0</v>
      </c>
      <c r="I271" s="13" t="str">
        <f aca="false">IF($B271&gt;"2026-09-30","لا توجد بيانات بعد",IF(AND(D271=0,F271=0),"بدون نشاط","نشِط"))</f>
        <v>بدون نشاط</v>
      </c>
    </row>
    <row r="272" customFormat="false" ht="15" hidden="false" customHeight="false" outlineLevel="0" collapsed="false">
      <c r="A272" s="13" t="s">
        <v>53</v>
      </c>
      <c r="B272" s="13" t="s">
        <v>87</v>
      </c>
      <c r="C272" s="14" t="s">
        <v>32</v>
      </c>
      <c r="D272" s="15" t="n">
        <f aca="false">COUNTIFS('تفاصيل الفرص'!$B$2:$B$372,$B272,'تفاصيل الفرص'!$D$2:$D$372,$C272)</f>
        <v>0</v>
      </c>
      <c r="E272" s="13" t="n">
        <f aca="false">COUNTIFS('تفاصيل الفرص'!$B$2:$B$372,$B272,'تفاصيل الفرص'!$D$2:$D$372,$C272,'تفاصيل الفرص'!$X$2:$X$372,0)</f>
        <v>0</v>
      </c>
      <c r="F272" s="13" t="n">
        <f aca="false">COUNTIFS('سجل الأكشنات'!$B$2:$B$933,$B272,'سجل الأكشنات'!$D$2:$D$933,$C272)</f>
        <v>1</v>
      </c>
      <c r="G272" s="13" t="n">
        <f aca="false">COUNTIFS('سجل الأكشنات'!$B$2:$B$933,$B272,'سجل الأكشنات'!$D$2:$D$933,$C272,'سجل الأكشنات'!$H$2:$H$933,"تفصيلي")</f>
        <v>0</v>
      </c>
      <c r="H272" s="13" t="n">
        <f aca="false">F272-G272</f>
        <v>1</v>
      </c>
      <c r="I272" s="13" t="str">
        <f aca="false">IF($B272&gt;"2026-09-30","لا توجد بيانات بعد",IF(AND(D272=0,F272=0),"بدون نشاط","نشِط"))</f>
        <v>نشِط</v>
      </c>
    </row>
    <row r="273" customFormat="false" ht="15" hidden="false" customHeight="false" outlineLevel="0" collapsed="false">
      <c r="A273" s="13" t="s">
        <v>53</v>
      </c>
      <c r="B273" s="13" t="s">
        <v>87</v>
      </c>
      <c r="C273" s="14" t="s">
        <v>34</v>
      </c>
      <c r="D273" s="15" t="n">
        <f aca="false">COUNTIFS('تفاصيل الفرص'!$B$2:$B$372,$B273,'تفاصيل الفرص'!$D$2:$D$372,$C273)</f>
        <v>0</v>
      </c>
      <c r="E273" s="13" t="n">
        <f aca="false">COUNTIFS('تفاصيل الفرص'!$B$2:$B$372,$B273,'تفاصيل الفرص'!$D$2:$D$372,$C273,'تفاصيل الفرص'!$X$2:$X$372,0)</f>
        <v>0</v>
      </c>
      <c r="F273" s="13" t="n">
        <f aca="false">COUNTIFS('سجل الأكشنات'!$B$2:$B$933,$B273,'سجل الأكشنات'!$D$2:$D$933,$C273)</f>
        <v>1</v>
      </c>
      <c r="G273" s="13" t="n">
        <f aca="false">COUNTIFS('سجل الأكشنات'!$B$2:$B$933,$B273,'سجل الأكشنات'!$D$2:$D$933,$C273,'سجل الأكشنات'!$H$2:$H$933,"تفصيلي")</f>
        <v>1</v>
      </c>
      <c r="H273" s="13" t="n">
        <f aca="false">F273-G273</f>
        <v>0</v>
      </c>
      <c r="I273" s="13" t="str">
        <f aca="false">IF($B273&gt;"2026-09-30","لا توجد بيانات بعد",IF(AND(D273=0,F273=0),"بدون نشاط","نشِط"))</f>
        <v>نشِط</v>
      </c>
    </row>
  </sheetData>
  <autoFilter ref="A3:I273"/>
  <mergeCells count="1">
    <mergeCell ref="A1:F1"/>
  </mergeCells>
  <conditionalFormatting sqref="I4:I273">
    <cfRule type="cellIs" priority="2" operator="equal" aboveAverage="0" equalAverage="0" bottom="0" percent="0" rank="0" text="" dxfId="0">
      <formula>"بدون نشاط"</formula>
    </cfRule>
    <cfRule type="cellIs" priority="3" operator="equal" aboveAverage="0" equalAverage="0" bottom="0" percent="0" rank="0" text="" dxfId="1">
      <formula>"نشِط"</formula>
    </cfRule>
  </conditionalFormatting>
  <conditionalFormatting sqref="D4:D273">
    <cfRule type="cellIs" priority="4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14" min="7" style="0" width="16"/>
  </cols>
  <sheetData>
    <row r="1" customFormat="false" ht="17.35" hidden="false" customHeight="false" outlineLevel="0" collapsed="false">
      <c r="A1" s="16" t="s">
        <v>88</v>
      </c>
    </row>
    <row r="2" customFormat="false" ht="15" hidden="false" customHeight="false" outlineLevel="0" collapsed="false">
      <c r="A2" s="17" t="s">
        <v>89</v>
      </c>
    </row>
    <row r="4" customFormat="false" ht="15" hidden="false" customHeight="false" outlineLevel="0" collapsed="false">
      <c r="A4" s="18" t="s">
        <v>90</v>
      </c>
    </row>
    <row r="5" customFormat="false" ht="51.75" hidden="false" customHeight="true" outlineLevel="0" collapsed="false">
      <c r="A5" s="3" t="s">
        <v>91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96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28</v>
      </c>
      <c r="L5" s="3" t="s">
        <v>30</v>
      </c>
      <c r="M5" s="3" t="s">
        <v>32</v>
      </c>
      <c r="N5" s="3" t="s">
        <v>34</v>
      </c>
    </row>
    <row r="6" customFormat="false" ht="15" hidden="false" customHeight="false" outlineLevel="0" collapsed="false">
      <c r="A6" s="4" t="s">
        <v>97</v>
      </c>
      <c r="B6" s="4" t="s">
        <v>98</v>
      </c>
      <c r="C6" s="5" t="n">
        <f aca="false">COUNTIF('تفاصيل الفرص'!$I$2:$I$372,"لا")</f>
        <v>79</v>
      </c>
      <c r="D6" s="6" t="n">
        <f aca="false">IF(371=0,0,C6/371)</f>
        <v>0.212938005390836</v>
      </c>
      <c r="E6" s="5" t="n">
        <v>5</v>
      </c>
      <c r="F6" s="4" t="s">
        <v>99</v>
      </c>
      <c r="G6" s="5" t="n">
        <f aca="false">COUNTIFS('تفاصيل الفرص'!$D$2:$D$372,G$5,'تفاصيل الفرص'!$I$2:$I$372,"لا")</f>
        <v>0</v>
      </c>
      <c r="H6" s="5" t="n">
        <f aca="false">COUNTIFS('تفاصيل الفرص'!$D$2:$D$372,H$5,'تفاصيل الفرص'!$I$2:$I$372,"لا")</f>
        <v>43</v>
      </c>
      <c r="I6" s="5" t="n">
        <f aca="false">COUNTIFS('تفاصيل الفرص'!$D$2:$D$372,I$5,'تفاصيل الفرص'!$I$2:$I$372,"لا")</f>
        <v>0</v>
      </c>
      <c r="J6" s="5" t="n">
        <f aca="false">COUNTIFS('تفاصيل الفرص'!$D$2:$D$372,J$5,'تفاصيل الفرص'!$I$2:$I$372,"لا")</f>
        <v>21</v>
      </c>
      <c r="K6" s="5" t="n">
        <f aca="false">COUNTIFS('تفاصيل الفرص'!$D$2:$D$372,K$5,'تفاصيل الفرص'!$I$2:$I$372,"لا")</f>
        <v>13</v>
      </c>
      <c r="L6" s="5" t="n">
        <f aca="false">COUNTIFS('تفاصيل الفرص'!$D$2:$D$372,L$5,'تفاصيل الفرص'!$I$2:$I$372,"لا")</f>
        <v>1</v>
      </c>
      <c r="M6" s="5" t="n">
        <f aca="false">COUNTIFS('تفاصيل الفرص'!$D$2:$D$372,M$5,'تفاصيل الفرص'!$I$2:$I$372,"لا")</f>
        <v>0</v>
      </c>
      <c r="N6" s="5" t="n">
        <f aca="false">COUNTIFS('تفاصيل الفرص'!$D$2:$D$372,N$5,'تفاصيل الفرص'!$I$2:$I$372,"لا")</f>
        <v>1</v>
      </c>
    </row>
    <row r="7" customFormat="false" ht="15" hidden="false" customHeight="false" outlineLevel="0" collapsed="false">
      <c r="A7" s="4" t="s">
        <v>100</v>
      </c>
      <c r="B7" s="4" t="s">
        <v>5</v>
      </c>
      <c r="C7" s="5" t="n">
        <f aca="false">COUNTIF('تفاصيل الفرص'!$K$2:$K$372,"لا")</f>
        <v>352</v>
      </c>
      <c r="D7" s="6" t="n">
        <f aca="false">IF(371=0,0,C7/371)</f>
        <v>0.948787061994609</v>
      </c>
      <c r="E7" s="5" t="n">
        <v>8</v>
      </c>
      <c r="F7" s="4" t="s">
        <v>101</v>
      </c>
      <c r="G7" s="5" t="n">
        <f aca="false">COUNTIFS('تفاصيل الفرص'!$D$2:$D$372,G$5,'تفاصيل الفرص'!$K$2:$K$372,"لا")</f>
        <v>46</v>
      </c>
      <c r="H7" s="5" t="n">
        <f aca="false">COUNTIFS('تفاصيل الفرص'!$D$2:$D$372,H$5,'تفاصيل الفرص'!$K$2:$K$372,"لا")</f>
        <v>45</v>
      </c>
      <c r="I7" s="5" t="n">
        <f aca="false">COUNTIFS('تفاصيل الفرص'!$D$2:$D$372,I$5,'تفاصيل الفرص'!$K$2:$K$372,"لا")</f>
        <v>30</v>
      </c>
      <c r="J7" s="5" t="n">
        <f aca="false">COUNTIFS('تفاصيل الفرص'!$D$2:$D$372,J$5,'تفاصيل الفرص'!$K$2:$K$372,"لا")</f>
        <v>17</v>
      </c>
      <c r="K7" s="5" t="n">
        <f aca="false">COUNTIFS('تفاصيل الفرص'!$D$2:$D$372,K$5,'تفاصيل الفرص'!$K$2:$K$372,"لا")</f>
        <v>13</v>
      </c>
      <c r="L7" s="5" t="n">
        <f aca="false">COUNTIFS('تفاصيل الفرص'!$D$2:$D$372,L$5,'تفاصيل الفرص'!$K$2:$K$372,"لا")</f>
        <v>96</v>
      </c>
      <c r="M7" s="5" t="n">
        <f aca="false">COUNTIFS('تفاصيل الفرص'!$D$2:$D$372,M$5,'تفاصيل الفرص'!$K$2:$K$372,"لا")</f>
        <v>31</v>
      </c>
      <c r="N7" s="5" t="n">
        <f aca="false">COUNTIFS('تفاصيل الفرص'!$D$2:$D$372,N$5,'تفاصيل الفرص'!$K$2:$K$372,"لا")</f>
        <v>74</v>
      </c>
    </row>
    <row r="8" customFormat="false" ht="15" hidden="false" customHeight="false" outlineLevel="0" collapsed="false">
      <c r="A8" s="4" t="s">
        <v>102</v>
      </c>
      <c r="B8" s="4" t="s">
        <v>6</v>
      </c>
      <c r="C8" s="5" t="n">
        <f aca="false">COUNTIF('تفاصيل الفرص'!$M$2:$M$372,"لا")</f>
        <v>205</v>
      </c>
      <c r="D8" s="6" t="n">
        <f aca="false">IF(371=0,0,C8/371)</f>
        <v>0.55256064690027</v>
      </c>
      <c r="E8" s="5" t="n">
        <v>8</v>
      </c>
      <c r="F8" s="4" t="s">
        <v>103</v>
      </c>
      <c r="G8" s="5" t="n">
        <f aca="false">COUNTIFS('تفاصيل الفرص'!$D$2:$D$372,G$5,'تفاصيل الفرص'!$M$2:$M$372,"لا")</f>
        <v>26</v>
      </c>
      <c r="H8" s="5" t="n">
        <f aca="false">COUNTIFS('تفاصيل الفرص'!$D$2:$D$372,H$5,'تفاصيل الفرص'!$M$2:$M$372,"لا")</f>
        <v>43</v>
      </c>
      <c r="I8" s="5" t="n">
        <f aca="false">COUNTIFS('تفاصيل الفرص'!$D$2:$D$372,I$5,'تفاصيل الفرص'!$M$2:$M$372,"لا")</f>
        <v>11</v>
      </c>
      <c r="J8" s="5" t="n">
        <f aca="false">COUNTIFS('تفاصيل الفرص'!$D$2:$D$372,J$5,'تفاصيل الفرص'!$M$2:$M$372,"لا")</f>
        <v>10</v>
      </c>
      <c r="K8" s="5" t="n">
        <f aca="false">COUNTIFS('تفاصيل الفرص'!$D$2:$D$372,K$5,'تفاصيل الفرص'!$M$2:$M$372,"لا")</f>
        <v>10</v>
      </c>
      <c r="L8" s="5" t="n">
        <f aca="false">COUNTIFS('تفاصيل الفرص'!$D$2:$D$372,L$5,'تفاصيل الفرص'!$M$2:$M$372,"لا")</f>
        <v>76</v>
      </c>
      <c r="M8" s="5" t="n">
        <f aca="false">COUNTIFS('تفاصيل الفرص'!$D$2:$D$372,M$5,'تفاصيل الفرص'!$M$2:$M$372,"لا")</f>
        <v>23</v>
      </c>
      <c r="N8" s="5" t="n">
        <f aca="false">COUNTIFS('تفاصيل الفرص'!$D$2:$D$372,N$5,'تفاصيل الفرص'!$M$2:$M$372,"لا")</f>
        <v>6</v>
      </c>
    </row>
    <row r="9" customFormat="false" ht="15" hidden="false" customHeight="false" outlineLevel="0" collapsed="false">
      <c r="A9" s="4" t="s">
        <v>104</v>
      </c>
      <c r="B9" s="4" t="s">
        <v>7</v>
      </c>
      <c r="C9" s="5" t="n">
        <f aca="false">COUNTIF('تفاصيل الفرص'!$O$2:$O$372,"لا")</f>
        <v>227</v>
      </c>
      <c r="D9" s="6" t="n">
        <f aca="false">IF(371=0,0,C9/371)</f>
        <v>0.611859838274933</v>
      </c>
      <c r="E9" s="5" t="n">
        <v>8</v>
      </c>
      <c r="F9" s="4" t="s">
        <v>105</v>
      </c>
      <c r="G9" s="5" t="n">
        <f aca="false">COUNTIFS('تفاصيل الفرص'!$D$2:$D$372,G$5,'تفاصيل الفرص'!$O$2:$O$372,"لا")</f>
        <v>27</v>
      </c>
      <c r="H9" s="5" t="n">
        <f aca="false">COUNTIFS('تفاصيل الفرص'!$D$2:$D$372,H$5,'تفاصيل الفرص'!$O$2:$O$372,"لا")</f>
        <v>43</v>
      </c>
      <c r="I9" s="5" t="n">
        <f aca="false">COUNTIFS('تفاصيل الفرص'!$D$2:$D$372,I$5,'تفاصيل الفرص'!$O$2:$O$372,"لا")</f>
        <v>12</v>
      </c>
      <c r="J9" s="5" t="n">
        <f aca="false">COUNTIFS('تفاصيل الفرص'!$D$2:$D$372,J$5,'تفاصيل الفرص'!$O$2:$O$372,"لا")</f>
        <v>11</v>
      </c>
      <c r="K9" s="5" t="n">
        <f aca="false">COUNTIFS('تفاصيل الفرص'!$D$2:$D$372,K$5,'تفاصيل الفرص'!$O$2:$O$372,"لا")</f>
        <v>11</v>
      </c>
      <c r="L9" s="5" t="n">
        <f aca="false">COUNTIFS('تفاصيل الفرص'!$D$2:$D$372,L$5,'تفاصيل الفرص'!$O$2:$O$372,"لا")</f>
        <v>93</v>
      </c>
      <c r="M9" s="5" t="n">
        <f aca="false">COUNTIFS('تفاصيل الفرص'!$D$2:$D$372,M$5,'تفاصيل الفرص'!$O$2:$O$372,"لا")</f>
        <v>25</v>
      </c>
      <c r="N9" s="5" t="n">
        <f aca="false">COUNTIFS('تفاصيل الفرص'!$D$2:$D$372,N$5,'تفاصيل الفرص'!$O$2:$O$372,"لا")</f>
        <v>5</v>
      </c>
    </row>
    <row r="10" customFormat="false" ht="15" hidden="false" customHeight="false" outlineLevel="0" collapsed="false">
      <c r="A10" s="4" t="s">
        <v>106</v>
      </c>
      <c r="B10" s="4" t="s">
        <v>8</v>
      </c>
      <c r="C10" s="5" t="n">
        <f aca="false">COUNTIF('تفاصيل الفرص'!$Q$2:$Q$372,"لا")</f>
        <v>102</v>
      </c>
      <c r="D10" s="6" t="n">
        <f aca="false">IF(371=0,0,C10/371)</f>
        <v>0.274932614555256</v>
      </c>
      <c r="E10" s="5" t="n">
        <v>8</v>
      </c>
      <c r="F10" s="4" t="s">
        <v>107</v>
      </c>
      <c r="G10" s="5" t="n">
        <f aca="false">COUNTIFS('تفاصيل الفرص'!$D$2:$D$372,G$5,'تفاصيل الفرص'!$Q$2:$Q$372,"لا")</f>
        <v>4</v>
      </c>
      <c r="H10" s="5" t="n">
        <f aca="false">COUNTIFS('تفاصيل الفرص'!$D$2:$D$372,H$5,'تفاصيل الفرص'!$Q$2:$Q$372,"لا")</f>
        <v>42</v>
      </c>
      <c r="I10" s="5" t="n">
        <f aca="false">COUNTIFS('تفاصيل الفرص'!$D$2:$D$372,I$5,'تفاصيل الفرص'!$Q$2:$Q$372,"لا")</f>
        <v>1</v>
      </c>
      <c r="J10" s="5" t="n">
        <f aca="false">COUNTIFS('تفاصيل الفرص'!$D$2:$D$372,J$5,'تفاصيل الفرص'!$Q$2:$Q$372,"لا")</f>
        <v>11</v>
      </c>
      <c r="K10" s="5" t="n">
        <f aca="false">COUNTIFS('تفاصيل الفرص'!$D$2:$D$372,K$5,'تفاصيل الفرص'!$Q$2:$Q$372,"لا")</f>
        <v>11</v>
      </c>
      <c r="L10" s="5" t="n">
        <f aca="false">COUNTIFS('تفاصيل الفرص'!$D$2:$D$372,L$5,'تفاصيل الفرص'!$Q$2:$Q$372,"لا")</f>
        <v>5</v>
      </c>
      <c r="M10" s="5" t="n">
        <f aca="false">COUNTIFS('تفاصيل الفرص'!$D$2:$D$372,M$5,'تفاصيل الفرص'!$Q$2:$Q$372,"لا")</f>
        <v>27</v>
      </c>
      <c r="N10" s="5" t="n">
        <f aca="false">COUNTIFS('تفاصيل الفرص'!$D$2:$D$372,N$5,'تفاصيل الفرص'!$Q$2:$Q$372,"لا")</f>
        <v>1</v>
      </c>
    </row>
    <row r="11" customFormat="false" ht="15" hidden="false" customHeight="false" outlineLevel="0" collapsed="false">
      <c r="A11" s="4" t="s">
        <v>108</v>
      </c>
      <c r="B11" s="4" t="s">
        <v>9</v>
      </c>
      <c r="C11" s="5" t="n">
        <f aca="false">COUNTIF('تفاصيل الفرص'!$S$2:$S$372,"لا")</f>
        <v>371</v>
      </c>
      <c r="D11" s="6" t="n">
        <f aca="false">IF(371=0,0,C11/371)</f>
        <v>1</v>
      </c>
      <c r="E11" s="5" t="n">
        <v>8</v>
      </c>
      <c r="F11" s="4" t="s">
        <v>109</v>
      </c>
      <c r="G11" s="5" t="n">
        <f aca="false">COUNTIFS('تفاصيل الفرص'!$D$2:$D$372,G$5,'تفاصيل الفرص'!$S$2:$S$372,"لا")</f>
        <v>51</v>
      </c>
      <c r="H11" s="5" t="n">
        <f aca="false">COUNTIFS('تفاصيل الفرص'!$D$2:$D$372,H$5,'تفاصيل الفرص'!$S$2:$S$372,"لا")</f>
        <v>47</v>
      </c>
      <c r="I11" s="5" t="n">
        <f aca="false">COUNTIFS('تفاصيل الفرص'!$D$2:$D$372,I$5,'تفاصيل الفرص'!$S$2:$S$372,"لا")</f>
        <v>30</v>
      </c>
      <c r="J11" s="5" t="n">
        <f aca="false">COUNTIFS('تفاصيل الفرص'!$D$2:$D$372,J$5,'تفاصيل الفرص'!$S$2:$S$372,"لا")</f>
        <v>23</v>
      </c>
      <c r="K11" s="5" t="n">
        <f aca="false">COUNTIFS('تفاصيل الفرص'!$D$2:$D$372,K$5,'تفاصيل الفرص'!$S$2:$S$372,"لا")</f>
        <v>13</v>
      </c>
      <c r="L11" s="5" t="n">
        <f aca="false">COUNTIFS('تفاصيل الفرص'!$D$2:$D$372,L$5,'تفاصيل الفرص'!$S$2:$S$372,"لا")</f>
        <v>97</v>
      </c>
      <c r="M11" s="5" t="n">
        <f aca="false">COUNTIFS('تفاصيل الفرص'!$D$2:$D$372,M$5,'تفاصيل الفرص'!$S$2:$S$372,"لا")</f>
        <v>34</v>
      </c>
      <c r="N11" s="5" t="n">
        <f aca="false">COUNTIFS('تفاصيل الفرص'!$D$2:$D$372,N$5,'تفاصيل الفرص'!$S$2:$S$372,"لا")</f>
        <v>76</v>
      </c>
    </row>
    <row r="12" customFormat="false" ht="15" hidden="false" customHeight="false" outlineLevel="0" collapsed="false">
      <c r="A12" s="4" t="s">
        <v>110</v>
      </c>
      <c r="B12" s="4" t="s">
        <v>10</v>
      </c>
      <c r="C12" s="5" t="n">
        <f aca="false">COUNTIF('تفاصيل الفرص'!$U$2:$U$372,"لا")</f>
        <v>190</v>
      </c>
      <c r="D12" s="6" t="n">
        <f aca="false">IF(371=0,0,C12/371)</f>
        <v>0.512129380053908</v>
      </c>
      <c r="E12" s="5" t="n">
        <v>7</v>
      </c>
      <c r="F12" s="4" t="s">
        <v>111</v>
      </c>
      <c r="G12" s="5" t="n">
        <f aca="false">COUNTIFS('تفاصيل الفرص'!$D$2:$D$372,G$5,'تفاصيل الفرص'!$U$2:$U$372,"لا")</f>
        <v>51</v>
      </c>
      <c r="H12" s="5" t="n">
        <f aca="false">COUNTIFS('تفاصيل الفرص'!$D$2:$D$372,H$5,'تفاصيل الفرص'!$U$2:$U$372,"لا")</f>
        <v>42</v>
      </c>
      <c r="I12" s="5" t="n">
        <f aca="false">COUNTIFS('تفاصيل الفرص'!$D$2:$D$372,I$5,'تفاصيل الفرص'!$U$2:$U$372,"لا")</f>
        <v>21</v>
      </c>
      <c r="J12" s="5" t="n">
        <f aca="false">COUNTIFS('تفاصيل الفرص'!$D$2:$D$372,J$5,'تفاصيل الفرص'!$U$2:$U$372,"لا")</f>
        <v>23</v>
      </c>
      <c r="K12" s="5" t="n">
        <f aca="false">COUNTIFS('تفاصيل الفرص'!$D$2:$D$372,K$5,'تفاصيل الفرص'!$U$2:$U$372,"لا")</f>
        <v>12</v>
      </c>
      <c r="L12" s="5" t="n">
        <f aca="false">COUNTIFS('تفاصيل الفرص'!$D$2:$D$372,L$5,'تفاصيل الفرص'!$U$2:$U$372,"لا")</f>
        <v>14</v>
      </c>
      <c r="M12" s="5" t="n">
        <f aca="false">COUNTIFS('تفاصيل الفرص'!$D$2:$D$372,M$5,'تفاصيل الفرص'!$U$2:$U$372,"لا")</f>
        <v>27</v>
      </c>
      <c r="N12" s="5" t="n">
        <f aca="false">COUNTIFS('تفاصيل الفرص'!$D$2:$D$372,N$5,'تفاصيل الفرص'!$U$2:$U$372,"لا")</f>
        <v>0</v>
      </c>
    </row>
    <row r="13" customFormat="false" ht="15" hidden="false" customHeight="false" outlineLevel="0" collapsed="false">
      <c r="A13" s="4" t="s">
        <v>112</v>
      </c>
      <c r="B13" s="4" t="s">
        <v>11</v>
      </c>
      <c r="C13" s="5" t="n">
        <f aca="false">COUNTIF('تفاصيل الفرص'!$W$2:$W$372,"لا")</f>
        <v>362</v>
      </c>
      <c r="D13" s="6" t="n">
        <f aca="false">IF(371=0,0,C13/371)</f>
        <v>0.975741239892183</v>
      </c>
      <c r="E13" s="5" t="n">
        <v>8</v>
      </c>
      <c r="F13" s="4" t="s">
        <v>109</v>
      </c>
      <c r="G13" s="5" t="n">
        <f aca="false">COUNTIFS('تفاصيل الفرص'!$D$2:$D$372,G$5,'تفاصيل الفرص'!$W$2:$W$372,"لا")</f>
        <v>46</v>
      </c>
      <c r="H13" s="5" t="n">
        <f aca="false">COUNTIFS('تفاصيل الفرص'!$D$2:$D$372,H$5,'تفاصيل الفرص'!$W$2:$W$372,"لا")</f>
        <v>47</v>
      </c>
      <c r="I13" s="5" t="n">
        <f aca="false">COUNTIFS('تفاصيل الفرص'!$D$2:$D$372,I$5,'تفاصيل الفرص'!$W$2:$W$372,"لا")</f>
        <v>26</v>
      </c>
      <c r="J13" s="5" t="n">
        <f aca="false">COUNTIFS('تفاصيل الفرص'!$D$2:$D$372,J$5,'تفاصيل الفرص'!$W$2:$W$372,"لا")</f>
        <v>23</v>
      </c>
      <c r="K13" s="5" t="n">
        <f aca="false">COUNTIFS('تفاصيل الفرص'!$D$2:$D$372,K$5,'تفاصيل الفرص'!$W$2:$W$372,"لا")</f>
        <v>13</v>
      </c>
      <c r="L13" s="5" t="n">
        <f aca="false">COUNTIFS('تفاصيل الفرص'!$D$2:$D$372,L$5,'تفاصيل الفرص'!$W$2:$W$372,"لا")</f>
        <v>97</v>
      </c>
      <c r="M13" s="5" t="n">
        <f aca="false">COUNTIFS('تفاصيل الفرص'!$D$2:$D$372,M$5,'تفاصيل الفرص'!$W$2:$W$372,"لا")</f>
        <v>34</v>
      </c>
      <c r="N13" s="5" t="n">
        <f aca="false">COUNTIFS('تفاصيل الفرص'!$D$2:$D$372,N$5,'تفاصيل الفرص'!$W$2:$W$372,"لا")</f>
        <v>76</v>
      </c>
    </row>
    <row r="16" customFormat="false" ht="15" hidden="false" customHeight="false" outlineLevel="0" collapsed="false">
      <c r="A16" s="18" t="s">
        <v>113</v>
      </c>
    </row>
    <row r="17" customFormat="false" ht="31.5" hidden="false" customHeight="true" outlineLevel="0" collapsed="false">
      <c r="A17" s="3" t="s">
        <v>114</v>
      </c>
      <c r="B17" s="3" t="s">
        <v>3</v>
      </c>
      <c r="C17" s="3" t="s">
        <v>115</v>
      </c>
    </row>
    <row r="18" customFormat="false" ht="15" hidden="false" customHeight="false" outlineLevel="0" collapsed="false">
      <c r="A18" s="4" t="s">
        <v>116</v>
      </c>
      <c r="B18" s="5" t="n">
        <v>74</v>
      </c>
      <c r="C18" s="6" t="n">
        <f aca="false">IF(371=0,0,B18/371)</f>
        <v>0.199460916442049</v>
      </c>
    </row>
    <row r="19" customFormat="false" ht="15" hidden="false" customHeight="false" outlineLevel="0" collapsed="false">
      <c r="A19" s="4" t="s">
        <v>117</v>
      </c>
      <c r="B19" s="5" t="n">
        <v>67</v>
      </c>
      <c r="C19" s="6" t="n">
        <f aca="false">IF(371=0,0,B19/371)</f>
        <v>0.180592991913747</v>
      </c>
    </row>
    <row r="20" customFormat="false" ht="23.85" hidden="false" customHeight="false" outlineLevel="0" collapsed="false">
      <c r="A20" s="4" t="s">
        <v>118</v>
      </c>
      <c r="B20" s="5" t="n">
        <v>56</v>
      </c>
      <c r="C20" s="6" t="n">
        <f aca="false">IF(371=0,0,B20/371)</f>
        <v>0.150943396226415</v>
      </c>
    </row>
    <row r="21" customFormat="false" ht="23.85" hidden="false" customHeight="false" outlineLevel="0" collapsed="false">
      <c r="A21" s="4" t="s">
        <v>119</v>
      </c>
      <c r="B21" s="5" t="n">
        <v>30</v>
      </c>
      <c r="C21" s="6" t="n">
        <f aca="false">IF(371=0,0,B21/371)</f>
        <v>0.0808625336927224</v>
      </c>
    </row>
    <row r="22" customFormat="false" ht="15" hidden="false" customHeight="false" outlineLevel="0" collapsed="false">
      <c r="A22" s="4" t="s">
        <v>120</v>
      </c>
      <c r="B22" s="5" t="n">
        <v>21</v>
      </c>
      <c r="C22" s="6" t="n">
        <f aca="false">IF(371=0,0,B22/371)</f>
        <v>0.0566037735849057</v>
      </c>
    </row>
    <row r="23" customFormat="false" ht="15" hidden="false" customHeight="false" outlineLevel="0" collapsed="false">
      <c r="A23" s="4" t="s">
        <v>121</v>
      </c>
      <c r="B23" s="5" t="n">
        <v>21</v>
      </c>
      <c r="C23" s="6" t="n">
        <f aca="false">IF(371=0,0,B23/371)</f>
        <v>0.0566037735849057</v>
      </c>
    </row>
    <row r="24" customFormat="false" ht="15" hidden="false" customHeight="false" outlineLevel="0" collapsed="false">
      <c r="A24" s="4" t="s">
        <v>122</v>
      </c>
      <c r="B24" s="5" t="n">
        <v>19</v>
      </c>
      <c r="C24" s="6" t="n">
        <f aca="false">IF(371=0,0,B24/371)</f>
        <v>0.0512129380053908</v>
      </c>
    </row>
    <row r="25" customFormat="false" ht="15" hidden="false" customHeight="false" outlineLevel="0" collapsed="false">
      <c r="A25" s="4" t="s">
        <v>123</v>
      </c>
      <c r="B25" s="5" t="n">
        <v>15</v>
      </c>
      <c r="C25" s="6" t="n">
        <f aca="false">IF(371=0,0,B25/371)</f>
        <v>0.0404312668463612</v>
      </c>
    </row>
    <row r="26" customFormat="false" ht="15" hidden="false" customHeight="false" outlineLevel="0" collapsed="false">
      <c r="A26" s="4" t="s">
        <v>124</v>
      </c>
      <c r="B26" s="5" t="n">
        <v>10</v>
      </c>
      <c r="C26" s="6" t="n">
        <f aca="false">IF(371=0,0,B26/371)</f>
        <v>0.0269541778975741</v>
      </c>
    </row>
    <row r="27" customFormat="false" ht="15" hidden="false" customHeight="false" outlineLevel="0" collapsed="false">
      <c r="A27" s="4" t="s">
        <v>125</v>
      </c>
      <c r="B27" s="5" t="n">
        <v>7</v>
      </c>
      <c r="C27" s="6" t="n">
        <f aca="false">IF(371=0,0,B27/371)</f>
        <v>0.0188679245283019</v>
      </c>
    </row>
    <row r="28" customFormat="false" ht="15" hidden="false" customHeight="false" outlineLevel="0" collapsed="false">
      <c r="A28" s="4" t="s">
        <v>126</v>
      </c>
      <c r="B28" s="5" t="n">
        <v>5</v>
      </c>
      <c r="C28" s="6" t="n">
        <f aca="false">IF(371=0,0,B28/371)</f>
        <v>0.0134770889487871</v>
      </c>
    </row>
    <row r="29" customFormat="false" ht="15" hidden="false" customHeight="false" outlineLevel="0" collapsed="false">
      <c r="A29" s="4" t="s">
        <v>127</v>
      </c>
      <c r="B29" s="5" t="n">
        <v>4</v>
      </c>
      <c r="C29" s="6" t="n">
        <f aca="false">IF(371=0,0,B29/371)</f>
        <v>0.0107816711590297</v>
      </c>
    </row>
    <row r="32" customFormat="false" ht="15" hidden="false" customHeight="false" outlineLevel="0" collapsed="false">
      <c r="A32" s="18" t="s">
        <v>128</v>
      </c>
    </row>
    <row r="33" customFormat="false" ht="51.75" hidden="false" customHeight="true" outlineLevel="0" collapsed="false">
      <c r="A33" s="3" t="s">
        <v>129</v>
      </c>
      <c r="B33" s="3" t="s">
        <v>13</v>
      </c>
      <c r="C33" s="3" t="s">
        <v>130</v>
      </c>
      <c r="D33" s="3" t="s">
        <v>18</v>
      </c>
      <c r="E33" s="3" t="s">
        <v>20</v>
      </c>
      <c r="F33" s="3" t="s">
        <v>22</v>
      </c>
      <c r="G33" s="3" t="s">
        <v>24</v>
      </c>
      <c r="H33" s="3" t="s">
        <v>28</v>
      </c>
      <c r="I33" s="3" t="s">
        <v>30</v>
      </c>
      <c r="J33" s="3" t="s">
        <v>32</v>
      </c>
      <c r="K33" s="3" t="s">
        <v>34</v>
      </c>
    </row>
    <row r="34" customFormat="false" ht="15" hidden="false" customHeight="false" outlineLevel="0" collapsed="false">
      <c r="A34" s="4" t="s">
        <v>131</v>
      </c>
      <c r="B34" s="5" t="n">
        <f aca="false">COUNTIF('سجل الأكشنات'!$J$2:$J$933,$A34)</f>
        <v>816</v>
      </c>
      <c r="C34" s="6" t="n">
        <f aca="false">IF(932=0,0,B34/932)</f>
        <v>0.875536480686695</v>
      </c>
      <c r="D34" s="5" t="n">
        <f aca="false">COUNTIFS('سجل الأكشنات'!$D$2:$D$933,D$33,'سجل الأكشنات'!$J$2:$J$933,$A34)</f>
        <v>125</v>
      </c>
      <c r="E34" s="5" t="n">
        <f aca="false">COUNTIFS('سجل الأكشنات'!$D$2:$D$933,E$33,'سجل الأكشنات'!$J$2:$J$933,$A34)</f>
        <v>107</v>
      </c>
      <c r="F34" s="5" t="n">
        <f aca="false">COUNTIFS('سجل الأكشنات'!$D$2:$D$933,F$33,'سجل الأكشنات'!$J$2:$J$933,$A34)</f>
        <v>48</v>
      </c>
      <c r="G34" s="5" t="n">
        <f aca="false">COUNTIFS('سجل الأكشنات'!$D$2:$D$933,G$33,'سجل الأكشنات'!$J$2:$J$933,$A34)</f>
        <v>78</v>
      </c>
      <c r="H34" s="5" t="n">
        <f aca="false">COUNTIFS('سجل الأكشنات'!$D$2:$D$933,H$33,'سجل الأكشنات'!$J$2:$J$933,$A34)</f>
        <v>71</v>
      </c>
      <c r="I34" s="5" t="n">
        <f aca="false">COUNTIFS('سجل الأكشنات'!$D$2:$D$933,I$33,'سجل الأكشنات'!$J$2:$J$933,$A34)</f>
        <v>88</v>
      </c>
      <c r="J34" s="5" t="n">
        <f aca="false">COUNTIFS('سجل الأكشنات'!$D$2:$D$933,J$33,'سجل الأكشنات'!$J$2:$J$933,$A34)</f>
        <v>70</v>
      </c>
      <c r="K34" s="5" t="n">
        <f aca="false">COUNTIFS('سجل الأكشنات'!$D$2:$D$933,K$33,'سجل الأكشنات'!$J$2:$J$933,$A34)</f>
        <v>213</v>
      </c>
    </row>
    <row r="35" customFormat="false" ht="15" hidden="false" customHeight="false" outlineLevel="0" collapsed="false">
      <c r="A35" s="4" t="s">
        <v>132</v>
      </c>
      <c r="B35" s="5" t="n">
        <f aca="false">COUNTIF('سجل الأكشنات'!$J$2:$J$933,$A35)</f>
        <v>57</v>
      </c>
      <c r="C35" s="6" t="n">
        <f aca="false">IF(932=0,0,B35/932)</f>
        <v>0.0611587982832618</v>
      </c>
      <c r="D35" s="5" t="n">
        <f aca="false">COUNTIFS('سجل الأكشنات'!$D$2:$D$933,D$33,'سجل الأكشنات'!$J$2:$J$933,$A35)</f>
        <v>6</v>
      </c>
      <c r="E35" s="5" t="n">
        <f aca="false">COUNTIFS('سجل الأكشنات'!$D$2:$D$933,E$33,'سجل الأكشنات'!$J$2:$J$933,$A35)</f>
        <v>3</v>
      </c>
      <c r="F35" s="5" t="n">
        <f aca="false">COUNTIFS('سجل الأكشنات'!$D$2:$D$933,F$33,'سجل الأكشنات'!$J$2:$J$933,$A35)</f>
        <v>22</v>
      </c>
      <c r="G35" s="5" t="n">
        <f aca="false">COUNTIFS('سجل الأكشنات'!$D$2:$D$933,G$33,'سجل الأكشنات'!$J$2:$J$933,$A35)</f>
        <v>1</v>
      </c>
      <c r="H35" s="5" t="n">
        <f aca="false">COUNTIFS('سجل الأكشنات'!$D$2:$D$933,H$33,'سجل الأكشنات'!$J$2:$J$933,$A35)</f>
        <v>2</v>
      </c>
      <c r="I35" s="5" t="n">
        <f aca="false">COUNTIFS('سجل الأكشنات'!$D$2:$D$933,I$33,'سجل الأكشنات'!$J$2:$J$933,$A35)</f>
        <v>7</v>
      </c>
      <c r="J35" s="5" t="n">
        <f aca="false">COUNTIFS('سجل الأكشنات'!$D$2:$D$933,J$33,'سجل الأكشنات'!$J$2:$J$933,$A35)</f>
        <v>16</v>
      </c>
      <c r="K35" s="5" t="n">
        <f aca="false">COUNTIFS('سجل الأكشنات'!$D$2:$D$933,K$33,'سجل الأكشنات'!$J$2:$J$933,$A35)</f>
        <v>0</v>
      </c>
    </row>
    <row r="36" customFormat="false" ht="15" hidden="false" customHeight="false" outlineLevel="0" collapsed="false">
      <c r="A36" s="4" t="s">
        <v>133</v>
      </c>
      <c r="B36" s="5" t="n">
        <f aca="false">COUNTIF('سجل الأكشنات'!$J$2:$J$933,$A36)</f>
        <v>42</v>
      </c>
      <c r="C36" s="6" t="n">
        <f aca="false">IF(932=0,0,B36/932)</f>
        <v>0.0450643776824034</v>
      </c>
      <c r="D36" s="5" t="n">
        <f aca="false">COUNTIFS('سجل الأكشنات'!$D$2:$D$933,D$33,'سجل الأكشنات'!$J$2:$J$933,$A36)</f>
        <v>0</v>
      </c>
      <c r="E36" s="5" t="n">
        <f aca="false">COUNTIFS('سجل الأكشنات'!$D$2:$D$933,E$33,'سجل الأكشنات'!$J$2:$J$933,$A36)</f>
        <v>8</v>
      </c>
      <c r="F36" s="5" t="n">
        <f aca="false">COUNTIFS('سجل الأكشنات'!$D$2:$D$933,F$33,'سجل الأكشنات'!$J$2:$J$933,$A36)</f>
        <v>3</v>
      </c>
      <c r="G36" s="5" t="n">
        <f aca="false">COUNTIFS('سجل الأكشنات'!$D$2:$D$933,G$33,'سجل الأكشنات'!$J$2:$J$933,$A36)</f>
        <v>1</v>
      </c>
      <c r="H36" s="5" t="n">
        <f aca="false">COUNTIFS('سجل الأكشنات'!$D$2:$D$933,H$33,'سجل الأكشنات'!$J$2:$J$933,$A36)</f>
        <v>0</v>
      </c>
      <c r="I36" s="5" t="n">
        <f aca="false">COUNTIFS('سجل الأكشنات'!$D$2:$D$933,I$33,'سجل الأكشنات'!$J$2:$J$933,$A36)</f>
        <v>6</v>
      </c>
      <c r="J36" s="5" t="n">
        <f aca="false">COUNTIFS('سجل الأكشنات'!$D$2:$D$933,J$33,'سجل الأكشنات'!$J$2:$J$933,$A36)</f>
        <v>9</v>
      </c>
      <c r="K36" s="5" t="n">
        <f aca="false">COUNTIFS('سجل الأكشنات'!$D$2:$D$933,K$33,'سجل الأكشنات'!$J$2:$J$933,$A36)</f>
        <v>15</v>
      </c>
    </row>
    <row r="37" customFormat="false" ht="15" hidden="false" customHeight="false" outlineLevel="0" collapsed="false">
      <c r="A37" s="4" t="s">
        <v>134</v>
      </c>
      <c r="B37" s="5" t="n">
        <f aca="false">COUNTIF('سجل الأكشنات'!$J$2:$J$933,$A37)</f>
        <v>17</v>
      </c>
      <c r="C37" s="6" t="n">
        <f aca="false">IF(932=0,0,B37/932)</f>
        <v>0.0182403433476395</v>
      </c>
      <c r="D37" s="5" t="n">
        <f aca="false">COUNTIFS('سجل الأكشنات'!$D$2:$D$933,D$33,'سجل الأكشنات'!$J$2:$J$933,$A37)</f>
        <v>1</v>
      </c>
      <c r="E37" s="5" t="n">
        <f aca="false">COUNTIFS('سجل الأكشنات'!$D$2:$D$933,E$33,'سجل الأكشنات'!$J$2:$J$933,$A37)</f>
        <v>6</v>
      </c>
      <c r="F37" s="5" t="n">
        <f aca="false">COUNTIFS('سجل الأكشنات'!$D$2:$D$933,F$33,'سجل الأكشنات'!$J$2:$J$933,$A37)</f>
        <v>0</v>
      </c>
      <c r="G37" s="5" t="n">
        <f aca="false">COUNTIFS('سجل الأكشنات'!$D$2:$D$933,G$33,'سجل الأكشنات'!$J$2:$J$933,$A37)</f>
        <v>0</v>
      </c>
      <c r="H37" s="5" t="n">
        <f aca="false">COUNTIFS('سجل الأكشنات'!$D$2:$D$933,H$33,'سجل الأكشنات'!$J$2:$J$933,$A37)</f>
        <v>0</v>
      </c>
      <c r="I37" s="5" t="n">
        <f aca="false">COUNTIFS('سجل الأكشنات'!$D$2:$D$933,I$33,'سجل الأكشنات'!$J$2:$J$933,$A37)</f>
        <v>0</v>
      </c>
      <c r="J37" s="5" t="n">
        <f aca="false">COUNTIFS('سجل الأكشنات'!$D$2:$D$933,J$33,'سجل الأكشنات'!$J$2:$J$933,$A37)</f>
        <v>0</v>
      </c>
      <c r="K37" s="5" t="n">
        <f aca="false">COUNTIFS('سجل الأكشنات'!$D$2:$D$933,K$33,'سجل الأكشنات'!$J$2:$J$933,$A37)</f>
        <v>10</v>
      </c>
    </row>
    <row r="40" customFormat="false" ht="15" hidden="false" customHeight="false" outlineLevel="0" collapsed="false">
      <c r="A40" s="18" t="s">
        <v>135</v>
      </c>
    </row>
    <row r="41" customFormat="false" ht="31.5" hidden="false" customHeight="true" outlineLevel="0" collapsed="false">
      <c r="A41" s="3" t="s">
        <v>2</v>
      </c>
      <c r="B41" s="3" t="s">
        <v>3</v>
      </c>
      <c r="C41" s="3" t="s">
        <v>13</v>
      </c>
      <c r="D41" s="3" t="s">
        <v>136</v>
      </c>
      <c r="E41" s="3"/>
      <c r="F41" s="3"/>
      <c r="G41" s="3"/>
      <c r="H41" s="3"/>
      <c r="I41" s="3"/>
      <c r="J41" s="3"/>
    </row>
    <row r="42" customFormat="false" ht="45.75" hidden="false" customHeight="true" outlineLevel="0" collapsed="false">
      <c r="A42" s="4" t="s">
        <v>18</v>
      </c>
      <c r="B42" s="5" t="n">
        <v>51</v>
      </c>
      <c r="C42" s="5" t="n">
        <v>132</v>
      </c>
      <c r="D42" s="4"/>
      <c r="E42" s="4"/>
      <c r="F42" s="4"/>
      <c r="G42" s="4"/>
      <c r="H42" s="4"/>
      <c r="I42" s="4"/>
      <c r="J42" s="4"/>
    </row>
    <row r="43" customFormat="false" ht="45.75" hidden="false" customHeight="true" outlineLevel="0" collapsed="false">
      <c r="A43" s="4" t="s">
        <v>20</v>
      </c>
      <c r="B43" s="5" t="n">
        <v>47</v>
      </c>
      <c r="C43" s="5" t="n">
        <v>124</v>
      </c>
      <c r="D43" s="4"/>
      <c r="E43" s="4"/>
      <c r="F43" s="4"/>
      <c r="G43" s="4"/>
      <c r="H43" s="4"/>
      <c r="I43" s="4"/>
      <c r="J43" s="4"/>
    </row>
    <row r="44" customFormat="false" ht="45.75" hidden="false" customHeight="true" outlineLevel="0" collapsed="false">
      <c r="A44" s="4" t="s">
        <v>22</v>
      </c>
      <c r="B44" s="5" t="n">
        <v>30</v>
      </c>
      <c r="C44" s="5" t="n">
        <v>73</v>
      </c>
      <c r="D44" s="4"/>
      <c r="E44" s="4"/>
      <c r="F44" s="4"/>
      <c r="G44" s="4"/>
      <c r="H44" s="4"/>
      <c r="I44" s="4"/>
      <c r="J44" s="4"/>
    </row>
    <row r="45" customFormat="false" ht="45.75" hidden="false" customHeight="true" outlineLevel="0" collapsed="false">
      <c r="A45" s="4" t="s">
        <v>24</v>
      </c>
      <c r="B45" s="5" t="n">
        <v>23</v>
      </c>
      <c r="C45" s="5" t="n">
        <v>80</v>
      </c>
      <c r="D45" s="4"/>
      <c r="E45" s="4"/>
      <c r="F45" s="4"/>
      <c r="G45" s="4"/>
      <c r="H45" s="4"/>
      <c r="I45" s="4"/>
      <c r="J45" s="4"/>
    </row>
    <row r="46" customFormat="false" ht="45.75" hidden="false" customHeight="true" outlineLevel="0" collapsed="false">
      <c r="A46" s="4" t="s">
        <v>26</v>
      </c>
      <c r="B46" s="5" t="n">
        <v>0</v>
      </c>
      <c r="C46" s="5" t="n">
        <v>16</v>
      </c>
      <c r="D46" s="4"/>
      <c r="E46" s="4"/>
      <c r="F46" s="4"/>
      <c r="G46" s="4"/>
      <c r="H46" s="4"/>
      <c r="I46" s="4"/>
      <c r="J46" s="4"/>
    </row>
    <row r="47" customFormat="false" ht="45.75" hidden="false" customHeight="true" outlineLevel="0" collapsed="false">
      <c r="A47" s="4" t="s">
        <v>28</v>
      </c>
      <c r="B47" s="5" t="n">
        <v>13</v>
      </c>
      <c r="C47" s="5" t="n">
        <v>73</v>
      </c>
      <c r="D47" s="4"/>
      <c r="E47" s="4"/>
      <c r="F47" s="4"/>
      <c r="G47" s="4"/>
      <c r="H47" s="4"/>
      <c r="I47" s="4"/>
      <c r="J47" s="4"/>
    </row>
    <row r="48" customFormat="false" ht="45.75" hidden="false" customHeight="true" outlineLevel="0" collapsed="false">
      <c r="A48" s="4" t="s">
        <v>30</v>
      </c>
      <c r="B48" s="5" t="n">
        <v>97</v>
      </c>
      <c r="C48" s="5" t="n">
        <v>101</v>
      </c>
      <c r="D48" s="4"/>
      <c r="E48" s="4"/>
      <c r="F48" s="4"/>
      <c r="G48" s="4"/>
      <c r="H48" s="4"/>
      <c r="I48" s="4"/>
      <c r="J48" s="4"/>
    </row>
    <row r="49" customFormat="false" ht="45.75" hidden="false" customHeight="true" outlineLevel="0" collapsed="false">
      <c r="A49" s="4" t="s">
        <v>32</v>
      </c>
      <c r="B49" s="5" t="n">
        <v>34</v>
      </c>
      <c r="C49" s="5" t="n">
        <v>95</v>
      </c>
      <c r="D49" s="4"/>
      <c r="E49" s="4"/>
      <c r="F49" s="4"/>
      <c r="G49" s="4"/>
      <c r="H49" s="4"/>
      <c r="I49" s="4"/>
      <c r="J49" s="4"/>
    </row>
    <row r="50" customFormat="false" ht="45.75" hidden="false" customHeight="true" outlineLevel="0" collapsed="false">
      <c r="A50" s="4" t="s">
        <v>34</v>
      </c>
      <c r="B50" s="5" t="n">
        <v>76</v>
      </c>
      <c r="C50" s="5" t="n">
        <v>238</v>
      </c>
      <c r="D50" s="4"/>
      <c r="E50" s="4"/>
      <c r="F50" s="4"/>
      <c r="G50" s="4"/>
      <c r="H50" s="4"/>
      <c r="I50" s="4"/>
      <c r="J50" s="4"/>
    </row>
  </sheetData>
  <mergeCells count="10">
    <mergeCell ref="D41:J41"/>
    <mergeCell ref="D42:J42"/>
    <mergeCell ref="D43:J43"/>
    <mergeCell ref="D44:J44"/>
    <mergeCell ref="D45:J45"/>
    <mergeCell ref="D46:J46"/>
    <mergeCell ref="D47:J47"/>
    <mergeCell ref="D48:J48"/>
    <mergeCell ref="D49:J49"/>
    <mergeCell ref="D50:J50"/>
  </mergeCells>
  <conditionalFormatting sqref="D6:D13">
    <cfRule type="cellIs" priority="2" operator="greaterThanOrEqual" aboveAverage="0" equalAverage="0" bottom="0" percent="0" rank="0" text="" dxfId="0">
      <formula>0.8</formula>
    </cfRule>
    <cfRule type="cellIs" priority="3" operator="between" aboveAverage="0" equalAverage="0" bottom="0" percent="0" rank="0" text="" dxfId="2">
      <formula>0.4</formula>
      <formula>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10"/>
    <col collapsed="false" customWidth="true" hidden="false" outlineLevel="0" max="16" min="16" style="0" width="22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0" min="20" style="0" width="12"/>
    <col collapsed="false" customWidth="true" hidden="false" outlineLevel="0" max="23" min="21" style="0" width="10"/>
    <col collapsed="false" customWidth="true" hidden="false" outlineLevel="0" max="24" min="24" style="0" width="9"/>
    <col collapsed="false" customWidth="true" hidden="false" outlineLevel="0" max="25" min="25" style="0" width="42"/>
  </cols>
  <sheetData>
    <row r="1" customFormat="false" ht="31.5" hidden="false" customHeight="true" outlineLevel="0" collapsed="false">
      <c r="A1" s="3" t="s">
        <v>137</v>
      </c>
      <c r="B1" s="3" t="s">
        <v>47</v>
      </c>
      <c r="C1" s="3" t="s">
        <v>138</v>
      </c>
      <c r="D1" s="3" t="s">
        <v>2</v>
      </c>
      <c r="E1" s="3" t="s">
        <v>139</v>
      </c>
      <c r="F1" s="3" t="s">
        <v>140</v>
      </c>
      <c r="G1" s="3" t="s">
        <v>141</v>
      </c>
      <c r="H1" s="3" t="s">
        <v>98</v>
      </c>
      <c r="I1" s="3" t="s">
        <v>142</v>
      </c>
      <c r="J1" s="3" t="s">
        <v>5</v>
      </c>
      <c r="K1" s="3" t="s">
        <v>143</v>
      </c>
      <c r="L1" s="3" t="s">
        <v>6</v>
      </c>
      <c r="M1" s="3" t="s">
        <v>144</v>
      </c>
      <c r="N1" s="3" t="s">
        <v>7</v>
      </c>
      <c r="O1" s="3" t="s">
        <v>145</v>
      </c>
      <c r="P1" s="3" t="s">
        <v>8</v>
      </c>
      <c r="Q1" s="3" t="s">
        <v>146</v>
      </c>
      <c r="R1" s="3" t="s">
        <v>147</v>
      </c>
      <c r="S1" s="3" t="s">
        <v>148</v>
      </c>
      <c r="T1" s="3" t="s">
        <v>10</v>
      </c>
      <c r="U1" s="3" t="s">
        <v>149</v>
      </c>
      <c r="V1" s="3" t="s">
        <v>150</v>
      </c>
      <c r="W1" s="3" t="s">
        <v>151</v>
      </c>
      <c r="X1" s="3" t="s">
        <v>152</v>
      </c>
      <c r="Y1" s="3" t="s">
        <v>136</v>
      </c>
    </row>
    <row r="2" customFormat="false" ht="23.85" hidden="false" customHeight="false" outlineLevel="0" collapsed="false">
      <c r="A2" s="5" t="n">
        <v>43054</v>
      </c>
      <c r="B2" s="5" t="s">
        <v>52</v>
      </c>
      <c r="C2" s="5" t="s">
        <v>153</v>
      </c>
      <c r="D2" s="4" t="s">
        <v>34</v>
      </c>
      <c r="E2" s="4" t="s">
        <v>154</v>
      </c>
      <c r="F2" s="4" t="s">
        <v>155</v>
      </c>
      <c r="G2" s="4" t="s">
        <v>156</v>
      </c>
      <c r="H2" s="4" t="s">
        <v>157</v>
      </c>
      <c r="I2" s="12" t="s">
        <v>158</v>
      </c>
      <c r="J2" s="4"/>
      <c r="K2" s="5" t="s">
        <v>159</v>
      </c>
      <c r="L2" s="4" t="s">
        <v>160</v>
      </c>
      <c r="M2" s="12" t="s">
        <v>158</v>
      </c>
      <c r="N2" s="4" t="s">
        <v>161</v>
      </c>
      <c r="O2" s="12" t="s">
        <v>158</v>
      </c>
      <c r="P2" s="4" t="s">
        <v>162</v>
      </c>
      <c r="Q2" s="12" t="s">
        <v>158</v>
      </c>
      <c r="R2" s="5" t="n">
        <v>0</v>
      </c>
      <c r="S2" s="12" t="s">
        <v>159</v>
      </c>
      <c r="T2" s="4" t="s">
        <v>163</v>
      </c>
      <c r="U2" s="12" t="s">
        <v>158</v>
      </c>
      <c r="V2" s="5" t="n">
        <v>0</v>
      </c>
      <c r="W2" s="12" t="s">
        <v>159</v>
      </c>
      <c r="X2" s="12" t="n">
        <v>3</v>
      </c>
      <c r="Y2" s="4" t="s">
        <v>164</v>
      </c>
    </row>
    <row r="3" customFormat="false" ht="23.85" hidden="false" customHeight="false" outlineLevel="0" collapsed="false">
      <c r="A3" s="5" t="n">
        <v>43060</v>
      </c>
      <c r="B3" s="5" t="s">
        <v>52</v>
      </c>
      <c r="C3" s="5" t="s">
        <v>165</v>
      </c>
      <c r="D3" s="4" t="s">
        <v>34</v>
      </c>
      <c r="E3" s="4" t="s">
        <v>154</v>
      </c>
      <c r="F3" s="4" t="s">
        <v>166</v>
      </c>
      <c r="G3" s="4" t="s">
        <v>167</v>
      </c>
      <c r="H3" s="4" t="s">
        <v>167</v>
      </c>
      <c r="I3" s="12" t="s">
        <v>158</v>
      </c>
      <c r="J3" s="4"/>
      <c r="K3" s="5" t="s">
        <v>159</v>
      </c>
      <c r="L3" s="4" t="s">
        <v>168</v>
      </c>
      <c r="M3" s="12" t="s">
        <v>158</v>
      </c>
      <c r="N3" s="4" t="s">
        <v>167</v>
      </c>
      <c r="O3" s="12" t="s">
        <v>158</v>
      </c>
      <c r="P3" s="4" t="s">
        <v>169</v>
      </c>
      <c r="Q3" s="12" t="s">
        <v>158</v>
      </c>
      <c r="R3" s="5" t="n">
        <v>0</v>
      </c>
      <c r="S3" s="12" t="s">
        <v>159</v>
      </c>
      <c r="T3" s="4" t="s">
        <v>163</v>
      </c>
      <c r="U3" s="12" t="s">
        <v>158</v>
      </c>
      <c r="V3" s="5" t="n">
        <v>0</v>
      </c>
      <c r="W3" s="12" t="s">
        <v>159</v>
      </c>
      <c r="X3" s="12" t="n">
        <v>3</v>
      </c>
      <c r="Y3" s="4" t="s">
        <v>164</v>
      </c>
    </row>
    <row r="4" customFormat="false" ht="23.85" hidden="false" customHeight="false" outlineLevel="0" collapsed="false">
      <c r="A4" s="5" t="n">
        <v>43066</v>
      </c>
      <c r="B4" s="5" t="s">
        <v>52</v>
      </c>
      <c r="C4" s="5" t="s">
        <v>170</v>
      </c>
      <c r="D4" s="4" t="s">
        <v>30</v>
      </c>
      <c r="E4" s="4" t="s">
        <v>171</v>
      </c>
      <c r="F4" s="4" t="s">
        <v>166</v>
      </c>
      <c r="G4" s="4" t="s">
        <v>172</v>
      </c>
      <c r="H4" s="4" t="s">
        <v>173</v>
      </c>
      <c r="I4" s="12" t="s">
        <v>158</v>
      </c>
      <c r="J4" s="4"/>
      <c r="K4" s="5" t="s">
        <v>159</v>
      </c>
      <c r="L4" s="4"/>
      <c r="M4" s="12" t="s">
        <v>159</v>
      </c>
      <c r="N4" s="4"/>
      <c r="O4" s="12" t="s">
        <v>159</v>
      </c>
      <c r="P4" s="4"/>
      <c r="Q4" s="12" t="s">
        <v>159</v>
      </c>
      <c r="R4" s="5" t="n">
        <v>0</v>
      </c>
      <c r="S4" s="12" t="s">
        <v>159</v>
      </c>
      <c r="T4" s="4"/>
      <c r="U4" s="12" t="s">
        <v>159</v>
      </c>
      <c r="V4" s="5" t="n">
        <v>0</v>
      </c>
      <c r="W4" s="12" t="s">
        <v>159</v>
      </c>
      <c r="X4" s="12" t="n">
        <v>7</v>
      </c>
      <c r="Y4" s="4" t="s">
        <v>174</v>
      </c>
    </row>
    <row r="5" customFormat="false" ht="23.85" hidden="false" customHeight="false" outlineLevel="0" collapsed="false">
      <c r="A5" s="5" t="n">
        <v>43067</v>
      </c>
      <c r="B5" s="5" t="s">
        <v>52</v>
      </c>
      <c r="C5" s="5" t="s">
        <v>175</v>
      </c>
      <c r="D5" s="4" t="s">
        <v>22</v>
      </c>
      <c r="E5" s="4" t="s">
        <v>176</v>
      </c>
      <c r="F5" s="4" t="s">
        <v>166</v>
      </c>
      <c r="G5" s="4" t="s">
        <v>177</v>
      </c>
      <c r="H5" s="4" t="s">
        <v>178</v>
      </c>
      <c r="I5" s="12" t="s">
        <v>158</v>
      </c>
      <c r="J5" s="4"/>
      <c r="K5" s="5" t="s">
        <v>159</v>
      </c>
      <c r="L5" s="4" t="s">
        <v>179</v>
      </c>
      <c r="M5" s="12" t="s">
        <v>158</v>
      </c>
      <c r="N5" s="4" t="s">
        <v>180</v>
      </c>
      <c r="O5" s="12" t="s">
        <v>158</v>
      </c>
      <c r="P5" s="4" t="s">
        <v>181</v>
      </c>
      <c r="Q5" s="12" t="s">
        <v>158</v>
      </c>
      <c r="R5" s="5" t="n">
        <v>0</v>
      </c>
      <c r="S5" s="12" t="s">
        <v>159</v>
      </c>
      <c r="T5" s="4"/>
      <c r="U5" s="12" t="s">
        <v>159</v>
      </c>
      <c r="V5" s="5" t="n">
        <v>0</v>
      </c>
      <c r="W5" s="12" t="s">
        <v>159</v>
      </c>
      <c r="X5" s="12" t="n">
        <v>4</v>
      </c>
      <c r="Y5" s="4" t="s">
        <v>182</v>
      </c>
    </row>
    <row r="6" customFormat="false" ht="23.85" hidden="false" customHeight="false" outlineLevel="0" collapsed="false">
      <c r="A6" s="5" t="n">
        <v>43070</v>
      </c>
      <c r="B6" s="5" t="s">
        <v>54</v>
      </c>
      <c r="C6" s="5" t="s">
        <v>183</v>
      </c>
      <c r="D6" s="4" t="s">
        <v>34</v>
      </c>
      <c r="E6" s="4" t="s">
        <v>154</v>
      </c>
      <c r="F6" s="4" t="s">
        <v>166</v>
      </c>
      <c r="G6" s="4" t="s">
        <v>184</v>
      </c>
      <c r="H6" s="4" t="s">
        <v>185</v>
      </c>
      <c r="I6" s="12" t="s">
        <v>158</v>
      </c>
      <c r="J6" s="4"/>
      <c r="K6" s="5" t="s">
        <v>159</v>
      </c>
      <c r="L6" s="4" t="s">
        <v>186</v>
      </c>
      <c r="M6" s="12" t="s">
        <v>158</v>
      </c>
      <c r="N6" s="4" t="s">
        <v>187</v>
      </c>
      <c r="O6" s="12" t="s">
        <v>158</v>
      </c>
      <c r="P6" s="4" t="s">
        <v>163</v>
      </c>
      <c r="Q6" s="12" t="s">
        <v>158</v>
      </c>
      <c r="R6" s="5" t="n">
        <v>0</v>
      </c>
      <c r="S6" s="12" t="s">
        <v>159</v>
      </c>
      <c r="T6" s="4" t="s">
        <v>188</v>
      </c>
      <c r="U6" s="12" t="s">
        <v>158</v>
      </c>
      <c r="V6" s="5" t="n">
        <v>0</v>
      </c>
      <c r="W6" s="12" t="s">
        <v>159</v>
      </c>
      <c r="X6" s="12" t="n">
        <v>3</v>
      </c>
      <c r="Y6" s="4" t="s">
        <v>164</v>
      </c>
    </row>
    <row r="7" customFormat="false" ht="23.85" hidden="false" customHeight="false" outlineLevel="0" collapsed="false">
      <c r="A7" s="5" t="n">
        <v>43074</v>
      </c>
      <c r="B7" s="5" t="s">
        <v>54</v>
      </c>
      <c r="C7" s="5" t="s">
        <v>189</v>
      </c>
      <c r="D7" s="4" t="s">
        <v>18</v>
      </c>
      <c r="E7" s="4" t="s">
        <v>154</v>
      </c>
      <c r="F7" s="4" t="s">
        <v>166</v>
      </c>
      <c r="G7" s="4" t="s">
        <v>190</v>
      </c>
      <c r="H7" s="4" t="s">
        <v>191</v>
      </c>
      <c r="I7" s="12" t="s">
        <v>158</v>
      </c>
      <c r="J7" s="4"/>
      <c r="K7" s="5" t="s">
        <v>159</v>
      </c>
      <c r="L7" s="4"/>
      <c r="M7" s="12" t="s">
        <v>159</v>
      </c>
      <c r="N7" s="4"/>
      <c r="O7" s="12" t="s">
        <v>159</v>
      </c>
      <c r="P7" s="4" t="s">
        <v>192</v>
      </c>
      <c r="Q7" s="12" t="s">
        <v>158</v>
      </c>
      <c r="R7" s="5" t="n">
        <v>0</v>
      </c>
      <c r="S7" s="12" t="s">
        <v>159</v>
      </c>
      <c r="T7" s="4"/>
      <c r="U7" s="12" t="s">
        <v>159</v>
      </c>
      <c r="V7" s="5" t="n">
        <v>24</v>
      </c>
      <c r="W7" s="12" t="s">
        <v>158</v>
      </c>
      <c r="X7" s="12" t="n">
        <v>5</v>
      </c>
      <c r="Y7" s="4" t="s">
        <v>193</v>
      </c>
    </row>
    <row r="8" customFormat="false" ht="23.85" hidden="false" customHeight="false" outlineLevel="0" collapsed="false">
      <c r="A8" s="5" t="n">
        <v>43075</v>
      </c>
      <c r="B8" s="5" t="s">
        <v>54</v>
      </c>
      <c r="C8" s="5" t="s">
        <v>194</v>
      </c>
      <c r="D8" s="4" t="s">
        <v>18</v>
      </c>
      <c r="E8" s="4" t="s">
        <v>154</v>
      </c>
      <c r="F8" s="4" t="s">
        <v>166</v>
      </c>
      <c r="G8" s="4" t="s">
        <v>195</v>
      </c>
      <c r="H8" s="4" t="s">
        <v>196</v>
      </c>
      <c r="I8" s="12" t="s">
        <v>158</v>
      </c>
      <c r="J8" s="4"/>
      <c r="K8" s="5" t="s">
        <v>159</v>
      </c>
      <c r="L8" s="4"/>
      <c r="M8" s="12" t="s">
        <v>159</v>
      </c>
      <c r="N8" s="4"/>
      <c r="O8" s="12" t="s">
        <v>159</v>
      </c>
      <c r="P8" s="4"/>
      <c r="Q8" s="12" t="s">
        <v>159</v>
      </c>
      <c r="R8" s="5" t="n">
        <v>0</v>
      </c>
      <c r="S8" s="12" t="s">
        <v>159</v>
      </c>
      <c r="T8" s="4"/>
      <c r="U8" s="12" t="s">
        <v>159</v>
      </c>
      <c r="V8" s="5" t="n">
        <v>0</v>
      </c>
      <c r="W8" s="12" t="s">
        <v>159</v>
      </c>
      <c r="X8" s="12" t="n">
        <v>7</v>
      </c>
      <c r="Y8" s="4" t="s">
        <v>174</v>
      </c>
    </row>
    <row r="9" customFormat="false" ht="23.85" hidden="false" customHeight="false" outlineLevel="0" collapsed="false">
      <c r="A9" s="5" t="n">
        <v>43076</v>
      </c>
      <c r="B9" s="5" t="s">
        <v>54</v>
      </c>
      <c r="C9" s="5" t="s">
        <v>197</v>
      </c>
      <c r="D9" s="4" t="s">
        <v>18</v>
      </c>
      <c r="E9" s="4" t="s">
        <v>154</v>
      </c>
      <c r="F9" s="4" t="s">
        <v>166</v>
      </c>
      <c r="G9" s="4" t="s">
        <v>198</v>
      </c>
      <c r="H9" s="4" t="s">
        <v>199</v>
      </c>
      <c r="I9" s="12" t="s">
        <v>158</v>
      </c>
      <c r="J9" s="4"/>
      <c r="K9" s="5" t="s">
        <v>159</v>
      </c>
      <c r="L9" s="4" t="s">
        <v>200</v>
      </c>
      <c r="M9" s="12" t="s">
        <v>158</v>
      </c>
      <c r="N9" s="4" t="s">
        <v>201</v>
      </c>
      <c r="O9" s="12" t="s">
        <v>158</v>
      </c>
      <c r="P9" s="4" t="s">
        <v>192</v>
      </c>
      <c r="Q9" s="12" t="s">
        <v>158</v>
      </c>
      <c r="R9" s="5" t="n">
        <v>0</v>
      </c>
      <c r="S9" s="12" t="s">
        <v>159</v>
      </c>
      <c r="T9" s="4"/>
      <c r="U9" s="12" t="s">
        <v>159</v>
      </c>
      <c r="V9" s="5" t="n">
        <v>0</v>
      </c>
      <c r="W9" s="12" t="s">
        <v>159</v>
      </c>
      <c r="X9" s="12" t="n">
        <v>4</v>
      </c>
      <c r="Y9" s="4" t="s">
        <v>182</v>
      </c>
    </row>
    <row r="10" customFormat="false" ht="23.85" hidden="false" customHeight="false" outlineLevel="0" collapsed="false">
      <c r="A10" s="5" t="n">
        <v>43077</v>
      </c>
      <c r="B10" s="5" t="s">
        <v>54</v>
      </c>
      <c r="C10" s="5" t="s">
        <v>202</v>
      </c>
      <c r="D10" s="4" t="s">
        <v>22</v>
      </c>
      <c r="E10" s="4" t="s">
        <v>176</v>
      </c>
      <c r="F10" s="4" t="s">
        <v>166</v>
      </c>
      <c r="G10" s="4" t="s">
        <v>203</v>
      </c>
      <c r="H10" s="4" t="s">
        <v>204</v>
      </c>
      <c r="I10" s="12" t="s">
        <v>158</v>
      </c>
      <c r="J10" s="4"/>
      <c r="K10" s="5" t="s">
        <v>159</v>
      </c>
      <c r="L10" s="4"/>
      <c r="M10" s="12" t="s">
        <v>159</v>
      </c>
      <c r="N10" s="4"/>
      <c r="O10" s="12" t="s">
        <v>159</v>
      </c>
      <c r="P10" s="4" t="s">
        <v>205</v>
      </c>
      <c r="Q10" s="12" t="s">
        <v>158</v>
      </c>
      <c r="R10" s="5" t="n">
        <v>0</v>
      </c>
      <c r="S10" s="12" t="s">
        <v>159</v>
      </c>
      <c r="T10" s="4"/>
      <c r="U10" s="12" t="s">
        <v>159</v>
      </c>
      <c r="V10" s="5" t="n">
        <v>37</v>
      </c>
      <c r="W10" s="12" t="s">
        <v>158</v>
      </c>
      <c r="X10" s="12" t="n">
        <v>5</v>
      </c>
      <c r="Y10" s="4" t="s">
        <v>193</v>
      </c>
    </row>
    <row r="11" customFormat="false" ht="23.85" hidden="false" customHeight="false" outlineLevel="0" collapsed="false">
      <c r="A11" s="5" t="n">
        <v>43078</v>
      </c>
      <c r="B11" s="5" t="s">
        <v>54</v>
      </c>
      <c r="C11" s="5" t="s">
        <v>206</v>
      </c>
      <c r="D11" s="4" t="s">
        <v>34</v>
      </c>
      <c r="E11" s="4" t="s">
        <v>154</v>
      </c>
      <c r="F11" s="4" t="s">
        <v>166</v>
      </c>
      <c r="G11" s="4" t="s">
        <v>207</v>
      </c>
      <c r="H11" s="4" t="s">
        <v>208</v>
      </c>
      <c r="I11" s="12" t="s">
        <v>158</v>
      </c>
      <c r="J11" s="4"/>
      <c r="K11" s="5" t="s">
        <v>159</v>
      </c>
      <c r="L11" s="4" t="s">
        <v>209</v>
      </c>
      <c r="M11" s="12" t="s">
        <v>158</v>
      </c>
      <c r="N11" s="4" t="s">
        <v>210</v>
      </c>
      <c r="O11" s="12" t="s">
        <v>158</v>
      </c>
      <c r="P11" s="4" t="s">
        <v>211</v>
      </c>
      <c r="Q11" s="12" t="s">
        <v>158</v>
      </c>
      <c r="R11" s="5" t="n">
        <v>0</v>
      </c>
      <c r="S11" s="12" t="s">
        <v>159</v>
      </c>
      <c r="T11" s="4" t="s">
        <v>188</v>
      </c>
      <c r="U11" s="12" t="s">
        <v>158</v>
      </c>
      <c r="V11" s="5" t="n">
        <v>0</v>
      </c>
      <c r="W11" s="12" t="s">
        <v>159</v>
      </c>
      <c r="X11" s="12" t="n">
        <v>3</v>
      </c>
      <c r="Y11" s="4" t="s">
        <v>164</v>
      </c>
    </row>
    <row r="12" customFormat="false" ht="23.85" hidden="false" customHeight="false" outlineLevel="0" collapsed="false">
      <c r="A12" s="5" t="n">
        <v>43081</v>
      </c>
      <c r="B12" s="5" t="s">
        <v>54</v>
      </c>
      <c r="C12" s="5" t="s">
        <v>212</v>
      </c>
      <c r="D12" s="4" t="s">
        <v>30</v>
      </c>
      <c r="E12" s="4" t="s">
        <v>171</v>
      </c>
      <c r="F12" s="4" t="s">
        <v>166</v>
      </c>
      <c r="G12" s="4" t="s">
        <v>213</v>
      </c>
      <c r="H12" s="4" t="s">
        <v>214</v>
      </c>
      <c r="I12" s="12" t="s">
        <v>158</v>
      </c>
      <c r="J12" s="4"/>
      <c r="K12" s="5" t="s">
        <v>159</v>
      </c>
      <c r="L12" s="4" t="s">
        <v>215</v>
      </c>
      <c r="M12" s="12" t="s">
        <v>158</v>
      </c>
      <c r="N12" s="4"/>
      <c r="O12" s="12" t="s">
        <v>159</v>
      </c>
      <c r="P12" s="4" t="s">
        <v>163</v>
      </c>
      <c r="Q12" s="12" t="s">
        <v>158</v>
      </c>
      <c r="R12" s="5" t="n">
        <v>0</v>
      </c>
      <c r="S12" s="12" t="s">
        <v>159</v>
      </c>
      <c r="T12" s="4" t="s">
        <v>163</v>
      </c>
      <c r="U12" s="12" t="s">
        <v>158</v>
      </c>
      <c r="V12" s="5" t="n">
        <v>0</v>
      </c>
      <c r="W12" s="12" t="s">
        <v>159</v>
      </c>
      <c r="X12" s="12" t="n">
        <v>4</v>
      </c>
      <c r="Y12" s="4" t="s">
        <v>216</v>
      </c>
    </row>
    <row r="13" customFormat="false" ht="23.85" hidden="false" customHeight="false" outlineLevel="0" collapsed="false">
      <c r="A13" s="5" t="n">
        <v>43082</v>
      </c>
      <c r="B13" s="5" t="s">
        <v>54</v>
      </c>
      <c r="C13" s="5" t="s">
        <v>217</v>
      </c>
      <c r="D13" s="4" t="s">
        <v>30</v>
      </c>
      <c r="E13" s="4" t="s">
        <v>171</v>
      </c>
      <c r="F13" s="4" t="s">
        <v>166</v>
      </c>
      <c r="G13" s="4" t="s">
        <v>218</v>
      </c>
      <c r="H13" s="4" t="s">
        <v>219</v>
      </c>
      <c r="I13" s="12" t="s">
        <v>158</v>
      </c>
      <c r="J13" s="4"/>
      <c r="K13" s="5" t="s">
        <v>159</v>
      </c>
      <c r="L13" s="4" t="s">
        <v>220</v>
      </c>
      <c r="M13" s="12" t="s">
        <v>158</v>
      </c>
      <c r="N13" s="4"/>
      <c r="O13" s="12" t="s">
        <v>159</v>
      </c>
      <c r="P13" s="4" t="s">
        <v>163</v>
      </c>
      <c r="Q13" s="12" t="s">
        <v>158</v>
      </c>
      <c r="R13" s="5" t="n">
        <v>0</v>
      </c>
      <c r="S13" s="12" t="s">
        <v>159</v>
      </c>
      <c r="T13" s="4" t="s">
        <v>163</v>
      </c>
      <c r="U13" s="12" t="s">
        <v>158</v>
      </c>
      <c r="V13" s="5" t="n">
        <v>0</v>
      </c>
      <c r="W13" s="12" t="s">
        <v>159</v>
      </c>
      <c r="X13" s="12" t="n">
        <v>4</v>
      </c>
      <c r="Y13" s="4" t="s">
        <v>216</v>
      </c>
    </row>
    <row r="14" customFormat="false" ht="23.85" hidden="false" customHeight="false" outlineLevel="0" collapsed="false">
      <c r="A14" s="5" t="n">
        <v>43083</v>
      </c>
      <c r="B14" s="5" t="s">
        <v>54</v>
      </c>
      <c r="C14" s="5" t="s">
        <v>221</v>
      </c>
      <c r="D14" s="4" t="s">
        <v>30</v>
      </c>
      <c r="E14" s="4" t="s">
        <v>171</v>
      </c>
      <c r="F14" s="4" t="s">
        <v>166</v>
      </c>
      <c r="G14" s="4" t="s">
        <v>222</v>
      </c>
      <c r="H14" s="4" t="s">
        <v>223</v>
      </c>
      <c r="I14" s="12" t="s">
        <v>158</v>
      </c>
      <c r="J14" s="4"/>
      <c r="K14" s="5" t="s">
        <v>159</v>
      </c>
      <c r="L14" s="4" t="s">
        <v>224</v>
      </c>
      <c r="M14" s="12" t="s">
        <v>158</v>
      </c>
      <c r="N14" s="4"/>
      <c r="O14" s="12" t="s">
        <v>159</v>
      </c>
      <c r="P14" s="4" t="s">
        <v>163</v>
      </c>
      <c r="Q14" s="12" t="s">
        <v>158</v>
      </c>
      <c r="R14" s="5" t="n">
        <v>0</v>
      </c>
      <c r="S14" s="12" t="s">
        <v>159</v>
      </c>
      <c r="T14" s="4" t="s">
        <v>163</v>
      </c>
      <c r="U14" s="12" t="s">
        <v>158</v>
      </c>
      <c r="V14" s="5" t="n">
        <v>0</v>
      </c>
      <c r="W14" s="12" t="s">
        <v>159</v>
      </c>
      <c r="X14" s="12" t="n">
        <v>4</v>
      </c>
      <c r="Y14" s="4" t="s">
        <v>216</v>
      </c>
    </row>
    <row r="15" customFormat="false" ht="23.85" hidden="false" customHeight="false" outlineLevel="0" collapsed="false">
      <c r="A15" s="5" t="n">
        <v>43084</v>
      </c>
      <c r="B15" s="5" t="s">
        <v>54</v>
      </c>
      <c r="C15" s="5" t="s">
        <v>225</v>
      </c>
      <c r="D15" s="4" t="s">
        <v>30</v>
      </c>
      <c r="E15" s="4" t="s">
        <v>171</v>
      </c>
      <c r="F15" s="4" t="s">
        <v>166</v>
      </c>
      <c r="G15" s="4" t="s">
        <v>226</v>
      </c>
      <c r="H15" s="4" t="s">
        <v>227</v>
      </c>
      <c r="I15" s="12" t="s">
        <v>158</v>
      </c>
      <c r="J15" s="4"/>
      <c r="K15" s="5" t="s">
        <v>159</v>
      </c>
      <c r="L15" s="4"/>
      <c r="M15" s="12" t="s">
        <v>159</v>
      </c>
      <c r="N15" s="4"/>
      <c r="O15" s="12" t="s">
        <v>159</v>
      </c>
      <c r="P15" s="4"/>
      <c r="Q15" s="12" t="s">
        <v>159</v>
      </c>
      <c r="R15" s="5" t="n">
        <v>0</v>
      </c>
      <c r="S15" s="12" t="s">
        <v>159</v>
      </c>
      <c r="T15" s="4"/>
      <c r="U15" s="12" t="s">
        <v>159</v>
      </c>
      <c r="V15" s="5" t="n">
        <v>0</v>
      </c>
      <c r="W15" s="12" t="s">
        <v>159</v>
      </c>
      <c r="X15" s="12" t="n">
        <v>7</v>
      </c>
      <c r="Y15" s="4" t="s">
        <v>174</v>
      </c>
    </row>
    <row r="16" customFormat="false" ht="23.85" hidden="false" customHeight="false" outlineLevel="0" collapsed="false">
      <c r="A16" s="5" t="n">
        <v>43088</v>
      </c>
      <c r="B16" s="5" t="s">
        <v>56</v>
      </c>
      <c r="C16" s="5" t="s">
        <v>228</v>
      </c>
      <c r="D16" s="4" t="s">
        <v>34</v>
      </c>
      <c r="E16" s="4" t="s">
        <v>154</v>
      </c>
      <c r="F16" s="4" t="s">
        <v>155</v>
      </c>
      <c r="G16" s="4" t="s">
        <v>229</v>
      </c>
      <c r="H16" s="4" t="s">
        <v>230</v>
      </c>
      <c r="I16" s="12" t="s">
        <v>158</v>
      </c>
      <c r="J16" s="4"/>
      <c r="K16" s="5" t="s">
        <v>159</v>
      </c>
      <c r="L16" s="4" t="s">
        <v>231</v>
      </c>
      <c r="M16" s="12" t="s">
        <v>158</v>
      </c>
      <c r="N16" s="4" t="s">
        <v>232</v>
      </c>
      <c r="O16" s="12" t="s">
        <v>158</v>
      </c>
      <c r="P16" s="4" t="s">
        <v>211</v>
      </c>
      <c r="Q16" s="12" t="s">
        <v>158</v>
      </c>
      <c r="R16" s="5" t="n">
        <v>0</v>
      </c>
      <c r="S16" s="12" t="s">
        <v>159</v>
      </c>
      <c r="T16" s="4" t="s">
        <v>188</v>
      </c>
      <c r="U16" s="12" t="s">
        <v>158</v>
      </c>
      <c r="V16" s="5" t="n">
        <v>0</v>
      </c>
      <c r="W16" s="12" t="s">
        <v>159</v>
      </c>
      <c r="X16" s="12" t="n">
        <v>3</v>
      </c>
      <c r="Y16" s="4" t="s">
        <v>164</v>
      </c>
    </row>
    <row r="17" customFormat="false" ht="23.85" hidden="false" customHeight="false" outlineLevel="0" collapsed="false">
      <c r="A17" s="5" t="n">
        <v>43099</v>
      </c>
      <c r="B17" s="5" t="s">
        <v>56</v>
      </c>
      <c r="C17" s="5" t="s">
        <v>233</v>
      </c>
      <c r="D17" s="4" t="s">
        <v>30</v>
      </c>
      <c r="E17" s="4" t="s">
        <v>171</v>
      </c>
      <c r="F17" s="4" t="s">
        <v>166</v>
      </c>
      <c r="G17" s="4" t="s">
        <v>226</v>
      </c>
      <c r="H17" s="4" t="s">
        <v>227</v>
      </c>
      <c r="I17" s="12" t="s">
        <v>158</v>
      </c>
      <c r="J17" s="4"/>
      <c r="K17" s="5" t="s">
        <v>159</v>
      </c>
      <c r="L17" s="4"/>
      <c r="M17" s="12" t="s">
        <v>159</v>
      </c>
      <c r="N17" s="4"/>
      <c r="O17" s="12" t="s">
        <v>159</v>
      </c>
      <c r="P17" s="4" t="s">
        <v>163</v>
      </c>
      <c r="Q17" s="12" t="s">
        <v>158</v>
      </c>
      <c r="R17" s="5" t="n">
        <v>0</v>
      </c>
      <c r="S17" s="12" t="s">
        <v>159</v>
      </c>
      <c r="T17" s="4" t="s">
        <v>234</v>
      </c>
      <c r="U17" s="12" t="s">
        <v>158</v>
      </c>
      <c r="V17" s="5" t="n">
        <v>0</v>
      </c>
      <c r="W17" s="12" t="s">
        <v>159</v>
      </c>
      <c r="X17" s="12" t="n">
        <v>5</v>
      </c>
      <c r="Y17" s="4" t="s">
        <v>235</v>
      </c>
    </row>
    <row r="18" customFormat="false" ht="23.85" hidden="false" customHeight="false" outlineLevel="0" collapsed="false">
      <c r="A18" s="5" t="n">
        <v>43100</v>
      </c>
      <c r="B18" s="5" t="s">
        <v>56</v>
      </c>
      <c r="C18" s="5" t="s">
        <v>236</v>
      </c>
      <c r="D18" s="4" t="s">
        <v>22</v>
      </c>
      <c r="E18" s="4" t="s">
        <v>176</v>
      </c>
      <c r="F18" s="4" t="s">
        <v>166</v>
      </c>
      <c r="G18" s="4" t="s">
        <v>237</v>
      </c>
      <c r="H18" s="4" t="s">
        <v>238</v>
      </c>
      <c r="I18" s="12" t="s">
        <v>158</v>
      </c>
      <c r="J18" s="4"/>
      <c r="K18" s="5" t="s">
        <v>159</v>
      </c>
      <c r="L18" s="4"/>
      <c r="M18" s="12" t="s">
        <v>159</v>
      </c>
      <c r="N18" s="4" t="s">
        <v>239</v>
      </c>
      <c r="O18" s="12" t="s">
        <v>158</v>
      </c>
      <c r="P18" s="4" t="s">
        <v>205</v>
      </c>
      <c r="Q18" s="12" t="s">
        <v>158</v>
      </c>
      <c r="R18" s="5" t="n">
        <v>0</v>
      </c>
      <c r="S18" s="12" t="s">
        <v>159</v>
      </c>
      <c r="T18" s="4"/>
      <c r="U18" s="12" t="s">
        <v>159</v>
      </c>
      <c r="V18" s="5" t="n">
        <v>0</v>
      </c>
      <c r="W18" s="12" t="s">
        <v>159</v>
      </c>
      <c r="X18" s="12" t="n">
        <v>5</v>
      </c>
      <c r="Y18" s="4" t="s">
        <v>240</v>
      </c>
    </row>
    <row r="19" customFormat="false" ht="23.85" hidden="false" customHeight="false" outlineLevel="0" collapsed="false">
      <c r="A19" s="5" t="n">
        <v>43101</v>
      </c>
      <c r="B19" s="5" t="s">
        <v>56</v>
      </c>
      <c r="C19" s="5" t="s">
        <v>241</v>
      </c>
      <c r="D19" s="4" t="s">
        <v>22</v>
      </c>
      <c r="E19" s="4" t="s">
        <v>176</v>
      </c>
      <c r="F19" s="4" t="s">
        <v>166</v>
      </c>
      <c r="G19" s="4" t="s">
        <v>242</v>
      </c>
      <c r="H19" s="4" t="s">
        <v>243</v>
      </c>
      <c r="I19" s="12" t="s">
        <v>158</v>
      </c>
      <c r="J19" s="4"/>
      <c r="K19" s="5" t="s">
        <v>159</v>
      </c>
      <c r="L19" s="4"/>
      <c r="M19" s="12" t="s">
        <v>159</v>
      </c>
      <c r="N19" s="4" t="s">
        <v>244</v>
      </c>
      <c r="O19" s="12" t="s">
        <v>158</v>
      </c>
      <c r="P19" s="4" t="s">
        <v>205</v>
      </c>
      <c r="Q19" s="12" t="s">
        <v>158</v>
      </c>
      <c r="R19" s="5" t="n">
        <v>0</v>
      </c>
      <c r="S19" s="12" t="s">
        <v>159</v>
      </c>
      <c r="T19" s="4"/>
      <c r="U19" s="12" t="s">
        <v>159</v>
      </c>
      <c r="V19" s="5" t="n">
        <v>0</v>
      </c>
      <c r="W19" s="12" t="s">
        <v>159</v>
      </c>
      <c r="X19" s="12" t="n">
        <v>5</v>
      </c>
      <c r="Y19" s="4" t="s">
        <v>240</v>
      </c>
    </row>
    <row r="20" customFormat="false" ht="23.85" hidden="false" customHeight="false" outlineLevel="0" collapsed="false">
      <c r="A20" s="5" t="n">
        <v>43102</v>
      </c>
      <c r="B20" s="5" t="s">
        <v>56</v>
      </c>
      <c r="C20" s="5" t="s">
        <v>245</v>
      </c>
      <c r="D20" s="4" t="s">
        <v>22</v>
      </c>
      <c r="E20" s="4" t="s">
        <v>176</v>
      </c>
      <c r="F20" s="4" t="s">
        <v>166</v>
      </c>
      <c r="G20" s="4" t="s">
        <v>246</v>
      </c>
      <c r="H20" s="4" t="s">
        <v>247</v>
      </c>
      <c r="I20" s="12" t="s">
        <v>158</v>
      </c>
      <c r="J20" s="4"/>
      <c r="K20" s="5" t="s">
        <v>159</v>
      </c>
      <c r="L20" s="4" t="s">
        <v>248</v>
      </c>
      <c r="M20" s="12" t="s">
        <v>158</v>
      </c>
      <c r="N20" s="4" t="s">
        <v>249</v>
      </c>
      <c r="O20" s="12" t="s">
        <v>158</v>
      </c>
      <c r="P20" s="4" t="s">
        <v>181</v>
      </c>
      <c r="Q20" s="12" t="s">
        <v>158</v>
      </c>
      <c r="R20" s="5" t="n">
        <v>0</v>
      </c>
      <c r="S20" s="12" t="s">
        <v>159</v>
      </c>
      <c r="T20" s="4"/>
      <c r="U20" s="12" t="s">
        <v>159</v>
      </c>
      <c r="V20" s="5" t="n">
        <v>23</v>
      </c>
      <c r="W20" s="12" t="s">
        <v>158</v>
      </c>
      <c r="X20" s="12" t="n">
        <v>3</v>
      </c>
      <c r="Y20" s="4" t="s">
        <v>250</v>
      </c>
    </row>
    <row r="21" customFormat="false" ht="23.85" hidden="false" customHeight="false" outlineLevel="0" collapsed="false">
      <c r="A21" s="5" t="n">
        <v>43103</v>
      </c>
      <c r="B21" s="5" t="s">
        <v>56</v>
      </c>
      <c r="C21" s="5" t="s">
        <v>251</v>
      </c>
      <c r="D21" s="4" t="s">
        <v>22</v>
      </c>
      <c r="E21" s="4" t="s">
        <v>176</v>
      </c>
      <c r="F21" s="4" t="s">
        <v>166</v>
      </c>
      <c r="G21" s="4" t="s">
        <v>252</v>
      </c>
      <c r="H21" s="4" t="s">
        <v>253</v>
      </c>
      <c r="I21" s="12" t="s">
        <v>158</v>
      </c>
      <c r="J21" s="4"/>
      <c r="K21" s="5" t="s">
        <v>159</v>
      </c>
      <c r="L21" s="4"/>
      <c r="M21" s="12" t="s">
        <v>159</v>
      </c>
      <c r="N21" s="4" t="s">
        <v>254</v>
      </c>
      <c r="O21" s="12" t="s">
        <v>158</v>
      </c>
      <c r="P21" s="4" t="s">
        <v>205</v>
      </c>
      <c r="Q21" s="12" t="s">
        <v>158</v>
      </c>
      <c r="R21" s="5" t="n">
        <v>0</v>
      </c>
      <c r="S21" s="12" t="s">
        <v>159</v>
      </c>
      <c r="T21" s="4"/>
      <c r="U21" s="12" t="s">
        <v>159</v>
      </c>
      <c r="V21" s="5" t="n">
        <v>36</v>
      </c>
      <c r="W21" s="12" t="s">
        <v>158</v>
      </c>
      <c r="X21" s="12" t="n">
        <v>4</v>
      </c>
      <c r="Y21" s="4" t="s">
        <v>255</v>
      </c>
    </row>
    <row r="22" customFormat="false" ht="15" hidden="false" customHeight="false" outlineLevel="0" collapsed="false">
      <c r="A22" s="5" t="n">
        <v>43104</v>
      </c>
      <c r="B22" s="5" t="s">
        <v>58</v>
      </c>
      <c r="C22" s="5" t="s">
        <v>256</v>
      </c>
      <c r="D22" s="4" t="s">
        <v>18</v>
      </c>
      <c r="E22" s="4" t="s">
        <v>154</v>
      </c>
      <c r="F22" s="4" t="s">
        <v>257</v>
      </c>
      <c r="G22" s="4" t="s">
        <v>258</v>
      </c>
      <c r="H22" s="4" t="s">
        <v>259</v>
      </c>
      <c r="I22" s="12" t="s">
        <v>158</v>
      </c>
      <c r="J22" s="4" t="s">
        <v>260</v>
      </c>
      <c r="K22" s="5" t="s">
        <v>158</v>
      </c>
      <c r="L22" s="4" t="s">
        <v>261</v>
      </c>
      <c r="M22" s="12" t="s">
        <v>158</v>
      </c>
      <c r="N22" s="4" t="s">
        <v>262</v>
      </c>
      <c r="O22" s="12" t="s">
        <v>158</v>
      </c>
      <c r="P22" s="4" t="s">
        <v>263</v>
      </c>
      <c r="Q22" s="12" t="s">
        <v>158</v>
      </c>
      <c r="R22" s="5" t="n">
        <v>0</v>
      </c>
      <c r="S22" s="12" t="s">
        <v>159</v>
      </c>
      <c r="T22" s="4"/>
      <c r="U22" s="12" t="s">
        <v>159</v>
      </c>
      <c r="V22" s="5" t="n">
        <v>0</v>
      </c>
      <c r="W22" s="12" t="s">
        <v>159</v>
      </c>
      <c r="X22" s="12" t="n">
        <v>3</v>
      </c>
      <c r="Y22" s="4" t="s">
        <v>264</v>
      </c>
    </row>
    <row r="23" customFormat="false" ht="23.85" hidden="false" customHeight="false" outlineLevel="0" collapsed="false">
      <c r="A23" s="5" t="n">
        <v>43105</v>
      </c>
      <c r="B23" s="5" t="s">
        <v>58</v>
      </c>
      <c r="C23" s="5" t="s">
        <v>265</v>
      </c>
      <c r="D23" s="4" t="s">
        <v>18</v>
      </c>
      <c r="E23" s="4" t="s">
        <v>154</v>
      </c>
      <c r="F23" s="4" t="s">
        <v>166</v>
      </c>
      <c r="G23" s="4" t="s">
        <v>266</v>
      </c>
      <c r="H23" s="4" t="s">
        <v>266</v>
      </c>
      <c r="I23" s="12" t="s">
        <v>158</v>
      </c>
      <c r="J23" s="4"/>
      <c r="K23" s="5" t="s">
        <v>159</v>
      </c>
      <c r="L23" s="4"/>
      <c r="M23" s="12" t="s">
        <v>159</v>
      </c>
      <c r="N23" s="4"/>
      <c r="O23" s="12" t="s">
        <v>159</v>
      </c>
      <c r="P23" s="4" t="s">
        <v>192</v>
      </c>
      <c r="Q23" s="12" t="s">
        <v>158</v>
      </c>
      <c r="R23" s="5" t="n">
        <v>0</v>
      </c>
      <c r="S23" s="12" t="s">
        <v>159</v>
      </c>
      <c r="T23" s="4"/>
      <c r="U23" s="12" t="s">
        <v>159</v>
      </c>
      <c r="V23" s="5" t="n">
        <v>0</v>
      </c>
      <c r="W23" s="12" t="s">
        <v>159</v>
      </c>
      <c r="X23" s="12" t="n">
        <v>6</v>
      </c>
      <c r="Y23" s="4" t="s">
        <v>267</v>
      </c>
    </row>
    <row r="24" customFormat="false" ht="23.85" hidden="false" customHeight="false" outlineLevel="0" collapsed="false">
      <c r="A24" s="5" t="n">
        <v>43106</v>
      </c>
      <c r="B24" s="5" t="s">
        <v>60</v>
      </c>
      <c r="C24" s="5" t="s">
        <v>268</v>
      </c>
      <c r="D24" s="4" t="s">
        <v>34</v>
      </c>
      <c r="E24" s="4" t="s">
        <v>154</v>
      </c>
      <c r="F24" s="4" t="s">
        <v>166</v>
      </c>
      <c r="G24" s="4" t="s">
        <v>269</v>
      </c>
      <c r="H24" s="4" t="s">
        <v>270</v>
      </c>
      <c r="I24" s="12" t="s">
        <v>158</v>
      </c>
      <c r="J24" s="4"/>
      <c r="K24" s="5" t="s">
        <v>159</v>
      </c>
      <c r="L24" s="4" t="s">
        <v>271</v>
      </c>
      <c r="M24" s="12" t="s">
        <v>158</v>
      </c>
      <c r="N24" s="4" t="s">
        <v>270</v>
      </c>
      <c r="O24" s="12" t="s">
        <v>158</v>
      </c>
      <c r="P24" s="4" t="s">
        <v>272</v>
      </c>
      <c r="Q24" s="12" t="s">
        <v>158</v>
      </c>
      <c r="R24" s="5" t="n">
        <v>0</v>
      </c>
      <c r="S24" s="12" t="s">
        <v>159</v>
      </c>
      <c r="T24" s="4" t="s">
        <v>163</v>
      </c>
      <c r="U24" s="12" t="s">
        <v>158</v>
      </c>
      <c r="V24" s="5" t="n">
        <v>0</v>
      </c>
      <c r="W24" s="12" t="s">
        <v>159</v>
      </c>
      <c r="X24" s="12" t="n">
        <v>3</v>
      </c>
      <c r="Y24" s="4" t="s">
        <v>164</v>
      </c>
    </row>
    <row r="25" customFormat="false" ht="23.85" hidden="false" customHeight="false" outlineLevel="0" collapsed="false">
      <c r="A25" s="5" t="n">
        <v>43107</v>
      </c>
      <c r="B25" s="5" t="s">
        <v>60</v>
      </c>
      <c r="C25" s="5" t="s">
        <v>273</v>
      </c>
      <c r="D25" s="4" t="s">
        <v>34</v>
      </c>
      <c r="E25" s="4" t="s">
        <v>154</v>
      </c>
      <c r="F25" s="4" t="s">
        <v>166</v>
      </c>
      <c r="G25" s="4" t="s">
        <v>274</v>
      </c>
      <c r="H25" s="4" t="s">
        <v>275</v>
      </c>
      <c r="I25" s="12" t="s">
        <v>158</v>
      </c>
      <c r="J25" s="4"/>
      <c r="K25" s="5" t="s">
        <v>159</v>
      </c>
      <c r="L25" s="4" t="s">
        <v>276</v>
      </c>
      <c r="M25" s="12" t="s">
        <v>158</v>
      </c>
      <c r="N25" s="4" t="s">
        <v>277</v>
      </c>
      <c r="O25" s="12" t="s">
        <v>158</v>
      </c>
      <c r="P25" s="4" t="s">
        <v>169</v>
      </c>
      <c r="Q25" s="12" t="s">
        <v>158</v>
      </c>
      <c r="R25" s="5" t="n">
        <v>0</v>
      </c>
      <c r="S25" s="12" t="s">
        <v>159</v>
      </c>
      <c r="T25" s="4" t="s">
        <v>163</v>
      </c>
      <c r="U25" s="12" t="s">
        <v>158</v>
      </c>
      <c r="V25" s="5" t="n">
        <v>0</v>
      </c>
      <c r="W25" s="12" t="s">
        <v>159</v>
      </c>
      <c r="X25" s="12" t="n">
        <v>3</v>
      </c>
      <c r="Y25" s="4" t="s">
        <v>164</v>
      </c>
    </row>
    <row r="26" customFormat="false" ht="23.85" hidden="false" customHeight="false" outlineLevel="0" collapsed="false">
      <c r="A26" s="5" t="n">
        <v>43108</v>
      </c>
      <c r="B26" s="5" t="s">
        <v>60</v>
      </c>
      <c r="C26" s="5" t="s">
        <v>278</v>
      </c>
      <c r="D26" s="4" t="s">
        <v>34</v>
      </c>
      <c r="E26" s="4" t="s">
        <v>154</v>
      </c>
      <c r="F26" s="4" t="s">
        <v>166</v>
      </c>
      <c r="G26" s="4" t="s">
        <v>279</v>
      </c>
      <c r="H26" s="4" t="s">
        <v>280</v>
      </c>
      <c r="I26" s="12" t="s">
        <v>158</v>
      </c>
      <c r="J26" s="4"/>
      <c r="K26" s="5" t="s">
        <v>159</v>
      </c>
      <c r="L26" s="4" t="s">
        <v>281</v>
      </c>
      <c r="M26" s="12" t="s">
        <v>158</v>
      </c>
      <c r="N26" s="4" t="s">
        <v>282</v>
      </c>
      <c r="O26" s="12" t="s">
        <v>158</v>
      </c>
      <c r="P26" s="4"/>
      <c r="Q26" s="12" t="s">
        <v>159</v>
      </c>
      <c r="R26" s="5" t="n">
        <v>0</v>
      </c>
      <c r="S26" s="12" t="s">
        <v>159</v>
      </c>
      <c r="T26" s="4" t="s">
        <v>163</v>
      </c>
      <c r="U26" s="12" t="s">
        <v>158</v>
      </c>
      <c r="V26" s="5" t="n">
        <v>0</v>
      </c>
      <c r="W26" s="12" t="s">
        <v>159</v>
      </c>
      <c r="X26" s="12" t="n">
        <v>4</v>
      </c>
      <c r="Y26" s="4" t="s">
        <v>283</v>
      </c>
    </row>
    <row r="27" customFormat="false" ht="23.85" hidden="false" customHeight="false" outlineLevel="0" collapsed="false">
      <c r="A27" s="5" t="n">
        <v>43116</v>
      </c>
      <c r="B27" s="5" t="s">
        <v>60</v>
      </c>
      <c r="C27" s="5" t="s">
        <v>206</v>
      </c>
      <c r="D27" s="4" t="s">
        <v>24</v>
      </c>
      <c r="E27" s="4" t="s">
        <v>154</v>
      </c>
      <c r="F27" s="4" t="s">
        <v>166</v>
      </c>
      <c r="G27" s="4" t="s">
        <v>284</v>
      </c>
      <c r="H27" s="4"/>
      <c r="I27" s="12" t="s">
        <v>159</v>
      </c>
      <c r="J27" s="4"/>
      <c r="K27" s="5" t="s">
        <v>159</v>
      </c>
      <c r="L27" s="4"/>
      <c r="M27" s="12" t="s">
        <v>159</v>
      </c>
      <c r="N27" s="4"/>
      <c r="O27" s="12" t="s">
        <v>159</v>
      </c>
      <c r="P27" s="4"/>
      <c r="Q27" s="12" t="s">
        <v>159</v>
      </c>
      <c r="R27" s="5" t="n">
        <v>0</v>
      </c>
      <c r="S27" s="12" t="s">
        <v>159</v>
      </c>
      <c r="T27" s="4"/>
      <c r="U27" s="12" t="s">
        <v>159</v>
      </c>
      <c r="V27" s="5" t="n">
        <v>0</v>
      </c>
      <c r="W27" s="12" t="s">
        <v>159</v>
      </c>
      <c r="X27" s="12" t="n">
        <v>8</v>
      </c>
      <c r="Y27" s="4" t="s">
        <v>285</v>
      </c>
    </row>
    <row r="28" customFormat="false" ht="23.85" hidden="false" customHeight="false" outlineLevel="0" collapsed="false">
      <c r="A28" s="5" t="n">
        <v>43118</v>
      </c>
      <c r="B28" s="5" t="s">
        <v>60</v>
      </c>
      <c r="C28" s="5" t="s">
        <v>286</v>
      </c>
      <c r="D28" s="4" t="s">
        <v>22</v>
      </c>
      <c r="E28" s="4" t="s">
        <v>176</v>
      </c>
      <c r="F28" s="4" t="s">
        <v>166</v>
      </c>
      <c r="G28" s="4" t="s">
        <v>287</v>
      </c>
      <c r="H28" s="4" t="s">
        <v>288</v>
      </c>
      <c r="I28" s="12" t="s">
        <v>158</v>
      </c>
      <c r="J28" s="4"/>
      <c r="K28" s="5" t="s">
        <v>159</v>
      </c>
      <c r="L28" s="4"/>
      <c r="M28" s="12" t="s">
        <v>159</v>
      </c>
      <c r="N28" s="4" t="s">
        <v>289</v>
      </c>
      <c r="O28" s="12" t="s">
        <v>158</v>
      </c>
      <c r="P28" s="4" t="s">
        <v>205</v>
      </c>
      <c r="Q28" s="12" t="s">
        <v>158</v>
      </c>
      <c r="R28" s="5" t="n">
        <v>0</v>
      </c>
      <c r="S28" s="12" t="s">
        <v>159</v>
      </c>
      <c r="T28" s="4"/>
      <c r="U28" s="12" t="s">
        <v>159</v>
      </c>
      <c r="V28" s="5" t="n">
        <v>0</v>
      </c>
      <c r="W28" s="12" t="s">
        <v>159</v>
      </c>
      <c r="X28" s="12" t="n">
        <v>5</v>
      </c>
      <c r="Y28" s="4" t="s">
        <v>240</v>
      </c>
    </row>
    <row r="29" customFormat="false" ht="23.85" hidden="false" customHeight="false" outlineLevel="0" collapsed="false">
      <c r="A29" s="5" t="n">
        <v>43119</v>
      </c>
      <c r="B29" s="5" t="s">
        <v>60</v>
      </c>
      <c r="C29" s="5" t="s">
        <v>290</v>
      </c>
      <c r="D29" s="4" t="s">
        <v>30</v>
      </c>
      <c r="E29" s="4" t="s">
        <v>171</v>
      </c>
      <c r="F29" s="4" t="s">
        <v>166</v>
      </c>
      <c r="G29" s="4" t="s">
        <v>291</v>
      </c>
      <c r="H29" s="4" t="s">
        <v>292</v>
      </c>
      <c r="I29" s="12" t="s">
        <v>158</v>
      </c>
      <c r="J29" s="4"/>
      <c r="K29" s="5" t="s">
        <v>159</v>
      </c>
      <c r="L29" s="4" t="s">
        <v>293</v>
      </c>
      <c r="M29" s="12" t="s">
        <v>158</v>
      </c>
      <c r="N29" s="4" t="s">
        <v>292</v>
      </c>
      <c r="O29" s="12" t="s">
        <v>158</v>
      </c>
      <c r="P29" s="4" t="s">
        <v>163</v>
      </c>
      <c r="Q29" s="12" t="s">
        <v>158</v>
      </c>
      <c r="R29" s="5" t="n">
        <v>0</v>
      </c>
      <c r="S29" s="12" t="s">
        <v>159</v>
      </c>
      <c r="T29" s="4" t="s">
        <v>163</v>
      </c>
      <c r="U29" s="12" t="s">
        <v>158</v>
      </c>
      <c r="V29" s="5" t="n">
        <v>0</v>
      </c>
      <c r="W29" s="12" t="s">
        <v>159</v>
      </c>
      <c r="X29" s="12" t="n">
        <v>3</v>
      </c>
      <c r="Y29" s="4" t="s">
        <v>164</v>
      </c>
    </row>
    <row r="30" customFormat="false" ht="23.85" hidden="false" customHeight="false" outlineLevel="0" collapsed="false">
      <c r="A30" s="5" t="n">
        <v>43120</v>
      </c>
      <c r="B30" s="5" t="s">
        <v>60</v>
      </c>
      <c r="C30" s="5" t="s">
        <v>294</v>
      </c>
      <c r="D30" s="4" t="s">
        <v>30</v>
      </c>
      <c r="E30" s="4" t="s">
        <v>171</v>
      </c>
      <c r="F30" s="4" t="s">
        <v>166</v>
      </c>
      <c r="G30" s="4" t="s">
        <v>295</v>
      </c>
      <c r="H30" s="4" t="s">
        <v>296</v>
      </c>
      <c r="I30" s="12" t="s">
        <v>158</v>
      </c>
      <c r="J30" s="4"/>
      <c r="K30" s="5" t="s">
        <v>159</v>
      </c>
      <c r="L30" s="4"/>
      <c r="M30" s="12" t="s">
        <v>159</v>
      </c>
      <c r="N30" s="4"/>
      <c r="O30" s="12" t="s">
        <v>159</v>
      </c>
      <c r="P30" s="4" t="s">
        <v>163</v>
      </c>
      <c r="Q30" s="12" t="s">
        <v>158</v>
      </c>
      <c r="R30" s="5" t="n">
        <v>0</v>
      </c>
      <c r="S30" s="12" t="s">
        <v>159</v>
      </c>
      <c r="T30" s="4" t="s">
        <v>163</v>
      </c>
      <c r="U30" s="12" t="s">
        <v>158</v>
      </c>
      <c r="V30" s="5" t="n">
        <v>0</v>
      </c>
      <c r="W30" s="12" t="s">
        <v>159</v>
      </c>
      <c r="X30" s="12" t="n">
        <v>5</v>
      </c>
      <c r="Y30" s="4" t="s">
        <v>235</v>
      </c>
    </row>
    <row r="31" customFormat="false" ht="23.85" hidden="false" customHeight="false" outlineLevel="0" collapsed="false">
      <c r="A31" s="5" t="n">
        <v>43121</v>
      </c>
      <c r="B31" s="5" t="s">
        <v>60</v>
      </c>
      <c r="C31" s="5" t="s">
        <v>297</v>
      </c>
      <c r="D31" s="4" t="s">
        <v>30</v>
      </c>
      <c r="E31" s="4" t="s">
        <v>171</v>
      </c>
      <c r="F31" s="4" t="s">
        <v>166</v>
      </c>
      <c r="G31" s="4" t="s">
        <v>298</v>
      </c>
      <c r="H31" s="4" t="s">
        <v>299</v>
      </c>
      <c r="I31" s="12" t="s">
        <v>158</v>
      </c>
      <c r="J31" s="4"/>
      <c r="K31" s="5" t="s">
        <v>159</v>
      </c>
      <c r="L31" s="4"/>
      <c r="M31" s="12" t="s">
        <v>159</v>
      </c>
      <c r="N31" s="4"/>
      <c r="O31" s="12" t="s">
        <v>159</v>
      </c>
      <c r="P31" s="4"/>
      <c r="Q31" s="12" t="s">
        <v>159</v>
      </c>
      <c r="R31" s="5" t="n">
        <v>0</v>
      </c>
      <c r="S31" s="12" t="s">
        <v>159</v>
      </c>
      <c r="T31" s="4"/>
      <c r="U31" s="12" t="s">
        <v>159</v>
      </c>
      <c r="V31" s="5" t="n">
        <v>0</v>
      </c>
      <c r="W31" s="12" t="s">
        <v>159</v>
      </c>
      <c r="X31" s="12" t="n">
        <v>7</v>
      </c>
      <c r="Y31" s="4" t="s">
        <v>174</v>
      </c>
    </row>
    <row r="32" customFormat="false" ht="23.85" hidden="false" customHeight="false" outlineLevel="0" collapsed="false">
      <c r="A32" s="5" t="n">
        <v>43122</v>
      </c>
      <c r="B32" s="5" t="s">
        <v>60</v>
      </c>
      <c r="C32" s="5" t="s">
        <v>297</v>
      </c>
      <c r="D32" s="4" t="s">
        <v>30</v>
      </c>
      <c r="E32" s="4" t="s">
        <v>171</v>
      </c>
      <c r="F32" s="4" t="s">
        <v>166</v>
      </c>
      <c r="G32" s="4" t="s">
        <v>298</v>
      </c>
      <c r="H32" s="4" t="s">
        <v>299</v>
      </c>
      <c r="I32" s="12" t="s">
        <v>158</v>
      </c>
      <c r="J32" s="4"/>
      <c r="K32" s="5" t="s">
        <v>159</v>
      </c>
      <c r="L32" s="4" t="s">
        <v>300</v>
      </c>
      <c r="M32" s="12" t="s">
        <v>158</v>
      </c>
      <c r="N32" s="4"/>
      <c r="O32" s="12" t="s">
        <v>159</v>
      </c>
      <c r="P32" s="4" t="s">
        <v>163</v>
      </c>
      <c r="Q32" s="12" t="s">
        <v>158</v>
      </c>
      <c r="R32" s="5" t="n">
        <v>0</v>
      </c>
      <c r="S32" s="12" t="s">
        <v>159</v>
      </c>
      <c r="T32" s="4" t="s">
        <v>163</v>
      </c>
      <c r="U32" s="12" t="s">
        <v>158</v>
      </c>
      <c r="V32" s="5" t="n">
        <v>0</v>
      </c>
      <c r="W32" s="12" t="s">
        <v>159</v>
      </c>
      <c r="X32" s="12" t="n">
        <v>4</v>
      </c>
      <c r="Y32" s="4" t="s">
        <v>216</v>
      </c>
    </row>
    <row r="33" customFormat="false" ht="23.85" hidden="false" customHeight="false" outlineLevel="0" collapsed="false">
      <c r="A33" s="5" t="n">
        <v>43123</v>
      </c>
      <c r="B33" s="5" t="s">
        <v>60</v>
      </c>
      <c r="C33" s="5" t="s">
        <v>301</v>
      </c>
      <c r="D33" s="4" t="s">
        <v>30</v>
      </c>
      <c r="E33" s="4" t="s">
        <v>171</v>
      </c>
      <c r="F33" s="4" t="s">
        <v>166</v>
      </c>
      <c r="G33" s="4" t="s">
        <v>302</v>
      </c>
      <c r="H33" s="4" t="s">
        <v>303</v>
      </c>
      <c r="I33" s="12" t="s">
        <v>158</v>
      </c>
      <c r="J33" s="4"/>
      <c r="K33" s="5" t="s">
        <v>159</v>
      </c>
      <c r="L33" s="4" t="s">
        <v>304</v>
      </c>
      <c r="M33" s="12" t="s">
        <v>158</v>
      </c>
      <c r="N33" s="4" t="s">
        <v>305</v>
      </c>
      <c r="O33" s="12" t="s">
        <v>158</v>
      </c>
      <c r="P33" s="4" t="s">
        <v>163</v>
      </c>
      <c r="Q33" s="12" t="s">
        <v>158</v>
      </c>
      <c r="R33" s="5" t="n">
        <v>0</v>
      </c>
      <c r="S33" s="12" t="s">
        <v>159</v>
      </c>
      <c r="T33" s="4" t="s">
        <v>163</v>
      </c>
      <c r="U33" s="12" t="s">
        <v>158</v>
      </c>
      <c r="V33" s="5" t="n">
        <v>0</v>
      </c>
      <c r="W33" s="12" t="s">
        <v>159</v>
      </c>
      <c r="X33" s="12" t="n">
        <v>3</v>
      </c>
      <c r="Y33" s="4" t="s">
        <v>164</v>
      </c>
    </row>
    <row r="34" customFormat="false" ht="23.85" hidden="false" customHeight="false" outlineLevel="0" collapsed="false">
      <c r="A34" s="5" t="n">
        <v>43124</v>
      </c>
      <c r="B34" s="5" t="s">
        <v>60</v>
      </c>
      <c r="C34" s="5" t="s">
        <v>306</v>
      </c>
      <c r="D34" s="4" t="s">
        <v>18</v>
      </c>
      <c r="E34" s="4" t="s">
        <v>154</v>
      </c>
      <c r="F34" s="4" t="s">
        <v>166</v>
      </c>
      <c r="G34" s="4" t="s">
        <v>307</v>
      </c>
      <c r="H34" s="4" t="s">
        <v>307</v>
      </c>
      <c r="I34" s="12" t="s">
        <v>158</v>
      </c>
      <c r="J34" s="4"/>
      <c r="K34" s="5" t="s">
        <v>159</v>
      </c>
      <c r="L34" s="4" t="s">
        <v>308</v>
      </c>
      <c r="M34" s="12" t="s">
        <v>158</v>
      </c>
      <c r="N34" s="4"/>
      <c r="O34" s="12" t="s">
        <v>159</v>
      </c>
      <c r="P34" s="4" t="s">
        <v>309</v>
      </c>
      <c r="Q34" s="12" t="s">
        <v>158</v>
      </c>
      <c r="R34" s="5" t="n">
        <v>0</v>
      </c>
      <c r="S34" s="12" t="s">
        <v>159</v>
      </c>
      <c r="T34" s="4"/>
      <c r="U34" s="12" t="s">
        <v>159</v>
      </c>
      <c r="V34" s="5" t="n">
        <v>0</v>
      </c>
      <c r="W34" s="12" t="s">
        <v>159</v>
      </c>
      <c r="X34" s="12" t="n">
        <v>5</v>
      </c>
      <c r="Y34" s="4" t="s">
        <v>310</v>
      </c>
    </row>
    <row r="35" customFormat="false" ht="23.85" hidden="false" customHeight="false" outlineLevel="0" collapsed="false">
      <c r="A35" s="5" t="n">
        <v>43126</v>
      </c>
      <c r="B35" s="5" t="s">
        <v>60</v>
      </c>
      <c r="C35" s="5" t="s">
        <v>311</v>
      </c>
      <c r="D35" s="4" t="s">
        <v>32</v>
      </c>
      <c r="E35" s="4" t="s">
        <v>171</v>
      </c>
      <c r="F35" s="4" t="s">
        <v>166</v>
      </c>
      <c r="G35" s="4" t="s">
        <v>312</v>
      </c>
      <c r="H35" s="4" t="s">
        <v>313</v>
      </c>
      <c r="I35" s="12" t="s">
        <v>158</v>
      </c>
      <c r="J35" s="4"/>
      <c r="K35" s="5" t="s">
        <v>159</v>
      </c>
      <c r="L35" s="4"/>
      <c r="M35" s="12" t="s">
        <v>159</v>
      </c>
      <c r="N35" s="4"/>
      <c r="O35" s="12" t="s">
        <v>159</v>
      </c>
      <c r="P35" s="4"/>
      <c r="Q35" s="12" t="s">
        <v>159</v>
      </c>
      <c r="R35" s="5" t="n">
        <v>0</v>
      </c>
      <c r="S35" s="12" t="s">
        <v>159</v>
      </c>
      <c r="T35" s="4"/>
      <c r="U35" s="12" t="s">
        <v>159</v>
      </c>
      <c r="V35" s="5" t="n">
        <v>0</v>
      </c>
      <c r="W35" s="12" t="s">
        <v>159</v>
      </c>
      <c r="X35" s="12" t="n">
        <v>7</v>
      </c>
      <c r="Y35" s="4" t="s">
        <v>174</v>
      </c>
    </row>
    <row r="36" customFormat="false" ht="23.85" hidden="false" customHeight="false" outlineLevel="0" collapsed="false">
      <c r="A36" s="5" t="n">
        <v>43127</v>
      </c>
      <c r="B36" s="5" t="s">
        <v>60</v>
      </c>
      <c r="C36" s="5" t="s">
        <v>314</v>
      </c>
      <c r="D36" s="4" t="s">
        <v>32</v>
      </c>
      <c r="E36" s="4" t="s">
        <v>171</v>
      </c>
      <c r="F36" s="4" t="s">
        <v>166</v>
      </c>
      <c r="G36" s="4" t="s">
        <v>315</v>
      </c>
      <c r="H36" s="4" t="s">
        <v>316</v>
      </c>
      <c r="I36" s="12" t="s">
        <v>158</v>
      </c>
      <c r="J36" s="4"/>
      <c r="K36" s="5" t="s">
        <v>159</v>
      </c>
      <c r="L36" s="4"/>
      <c r="M36" s="12" t="s">
        <v>159</v>
      </c>
      <c r="N36" s="4"/>
      <c r="O36" s="12" t="s">
        <v>159</v>
      </c>
      <c r="P36" s="4"/>
      <c r="Q36" s="12" t="s">
        <v>159</v>
      </c>
      <c r="R36" s="5" t="n">
        <v>0</v>
      </c>
      <c r="S36" s="12" t="s">
        <v>159</v>
      </c>
      <c r="T36" s="4"/>
      <c r="U36" s="12" t="s">
        <v>159</v>
      </c>
      <c r="V36" s="5" t="n">
        <v>0</v>
      </c>
      <c r="W36" s="12" t="s">
        <v>159</v>
      </c>
      <c r="X36" s="12" t="n">
        <v>7</v>
      </c>
      <c r="Y36" s="4" t="s">
        <v>174</v>
      </c>
    </row>
    <row r="37" customFormat="false" ht="23.85" hidden="false" customHeight="false" outlineLevel="0" collapsed="false">
      <c r="A37" s="5" t="n">
        <v>43129</v>
      </c>
      <c r="B37" s="5" t="s">
        <v>60</v>
      </c>
      <c r="C37" s="5" t="s">
        <v>317</v>
      </c>
      <c r="D37" s="4" t="s">
        <v>34</v>
      </c>
      <c r="E37" s="4" t="s">
        <v>154</v>
      </c>
      <c r="F37" s="4" t="s">
        <v>155</v>
      </c>
      <c r="G37" s="4" t="s">
        <v>318</v>
      </c>
      <c r="H37" s="4" t="s">
        <v>319</v>
      </c>
      <c r="I37" s="12" t="s">
        <v>158</v>
      </c>
      <c r="J37" s="4"/>
      <c r="K37" s="5" t="s">
        <v>159</v>
      </c>
      <c r="L37" s="4"/>
      <c r="M37" s="12" t="s">
        <v>159</v>
      </c>
      <c r="N37" s="4" t="s">
        <v>319</v>
      </c>
      <c r="O37" s="12" t="s">
        <v>158</v>
      </c>
      <c r="P37" s="4" t="s">
        <v>320</v>
      </c>
      <c r="Q37" s="12" t="s">
        <v>158</v>
      </c>
      <c r="R37" s="5" t="n">
        <v>0</v>
      </c>
      <c r="S37" s="12" t="s">
        <v>159</v>
      </c>
      <c r="T37" s="4" t="s">
        <v>163</v>
      </c>
      <c r="U37" s="12" t="s">
        <v>158</v>
      </c>
      <c r="V37" s="5" t="n">
        <v>0</v>
      </c>
      <c r="W37" s="12" t="s">
        <v>159</v>
      </c>
      <c r="X37" s="12" t="n">
        <v>4</v>
      </c>
      <c r="Y37" s="4" t="s">
        <v>321</v>
      </c>
    </row>
    <row r="38" customFormat="false" ht="23.85" hidden="false" customHeight="false" outlineLevel="0" collapsed="false">
      <c r="A38" s="5" t="n">
        <v>43130</v>
      </c>
      <c r="B38" s="5" t="s">
        <v>60</v>
      </c>
      <c r="C38" s="5" t="s">
        <v>322</v>
      </c>
      <c r="D38" s="4" t="s">
        <v>22</v>
      </c>
      <c r="E38" s="4" t="s">
        <v>176</v>
      </c>
      <c r="F38" s="4" t="s">
        <v>166</v>
      </c>
      <c r="G38" s="4" t="s">
        <v>323</v>
      </c>
      <c r="H38" s="4" t="s">
        <v>324</v>
      </c>
      <c r="I38" s="12" t="s">
        <v>158</v>
      </c>
      <c r="J38" s="4"/>
      <c r="K38" s="5" t="s">
        <v>159</v>
      </c>
      <c r="L38" s="4"/>
      <c r="M38" s="12" t="s">
        <v>159</v>
      </c>
      <c r="N38" s="4" t="s">
        <v>325</v>
      </c>
      <c r="O38" s="12" t="s">
        <v>158</v>
      </c>
      <c r="P38" s="4" t="s">
        <v>205</v>
      </c>
      <c r="Q38" s="12" t="s">
        <v>158</v>
      </c>
      <c r="R38" s="5" t="n">
        <v>0</v>
      </c>
      <c r="S38" s="12" t="s">
        <v>159</v>
      </c>
      <c r="T38" s="4"/>
      <c r="U38" s="12" t="s">
        <v>159</v>
      </c>
      <c r="V38" s="5" t="n">
        <v>0</v>
      </c>
      <c r="W38" s="12" t="s">
        <v>159</v>
      </c>
      <c r="X38" s="12" t="n">
        <v>5</v>
      </c>
      <c r="Y38" s="4" t="s">
        <v>240</v>
      </c>
    </row>
    <row r="39" customFormat="false" ht="23.85" hidden="false" customHeight="false" outlineLevel="0" collapsed="false">
      <c r="A39" s="5" t="n">
        <v>43155</v>
      </c>
      <c r="B39" s="5" t="s">
        <v>62</v>
      </c>
      <c r="C39" s="5" t="s">
        <v>326</v>
      </c>
      <c r="D39" s="4" t="s">
        <v>30</v>
      </c>
      <c r="E39" s="4" t="s">
        <v>171</v>
      </c>
      <c r="F39" s="4" t="s">
        <v>166</v>
      </c>
      <c r="G39" s="4" t="s">
        <v>173</v>
      </c>
      <c r="H39" s="4"/>
      <c r="I39" s="12" t="s">
        <v>159</v>
      </c>
      <c r="J39" s="4"/>
      <c r="K39" s="5" t="s">
        <v>159</v>
      </c>
      <c r="L39" s="4"/>
      <c r="M39" s="12" t="s">
        <v>159</v>
      </c>
      <c r="N39" s="4"/>
      <c r="O39" s="12" t="s">
        <v>159</v>
      </c>
      <c r="P39" s="4" t="s">
        <v>327</v>
      </c>
      <c r="Q39" s="12" t="s">
        <v>158</v>
      </c>
      <c r="R39" s="5" t="n">
        <v>0</v>
      </c>
      <c r="S39" s="12" t="s">
        <v>159</v>
      </c>
      <c r="T39" s="4"/>
      <c r="U39" s="12" t="s">
        <v>159</v>
      </c>
      <c r="V39" s="5" t="n">
        <v>0</v>
      </c>
      <c r="W39" s="12" t="s">
        <v>159</v>
      </c>
      <c r="X39" s="12" t="n">
        <v>7</v>
      </c>
      <c r="Y39" s="4" t="s">
        <v>328</v>
      </c>
    </row>
    <row r="40" customFormat="false" ht="23.85" hidden="false" customHeight="false" outlineLevel="0" collapsed="false">
      <c r="A40" s="5" t="n">
        <v>43167</v>
      </c>
      <c r="B40" s="5" t="s">
        <v>64</v>
      </c>
      <c r="C40" s="5" t="s">
        <v>329</v>
      </c>
      <c r="D40" s="4" t="s">
        <v>28</v>
      </c>
      <c r="E40" s="4" t="s">
        <v>171</v>
      </c>
      <c r="F40" s="4" t="s">
        <v>166</v>
      </c>
      <c r="G40" s="4" t="s">
        <v>330</v>
      </c>
      <c r="H40" s="4"/>
      <c r="I40" s="12" t="s">
        <v>159</v>
      </c>
      <c r="J40" s="4"/>
      <c r="K40" s="5" t="s">
        <v>159</v>
      </c>
      <c r="L40" s="4"/>
      <c r="M40" s="12" t="s">
        <v>159</v>
      </c>
      <c r="N40" s="4"/>
      <c r="O40" s="12" t="s">
        <v>159</v>
      </c>
      <c r="P40" s="4"/>
      <c r="Q40" s="12" t="s">
        <v>159</v>
      </c>
      <c r="R40" s="5" t="n">
        <v>0</v>
      </c>
      <c r="S40" s="12" t="s">
        <v>159</v>
      </c>
      <c r="T40" s="4"/>
      <c r="U40" s="12" t="s">
        <v>159</v>
      </c>
      <c r="V40" s="5" t="n">
        <v>0</v>
      </c>
      <c r="W40" s="12" t="s">
        <v>159</v>
      </c>
      <c r="X40" s="12" t="n">
        <v>8</v>
      </c>
      <c r="Y40" s="4" t="s">
        <v>285</v>
      </c>
    </row>
    <row r="41" customFormat="false" ht="23.85" hidden="false" customHeight="false" outlineLevel="0" collapsed="false">
      <c r="A41" s="5" t="n">
        <v>43189</v>
      </c>
      <c r="B41" s="5" t="s">
        <v>64</v>
      </c>
      <c r="C41" s="5" t="s">
        <v>331</v>
      </c>
      <c r="D41" s="4" t="s">
        <v>34</v>
      </c>
      <c r="E41" s="4" t="s">
        <v>154</v>
      </c>
      <c r="F41" s="4" t="s">
        <v>166</v>
      </c>
      <c r="G41" s="4" t="s">
        <v>332</v>
      </c>
      <c r="H41" s="4" t="s">
        <v>333</v>
      </c>
      <c r="I41" s="12" t="s">
        <v>158</v>
      </c>
      <c r="J41" s="4"/>
      <c r="K41" s="5" t="s">
        <v>159</v>
      </c>
      <c r="L41" s="4" t="s">
        <v>168</v>
      </c>
      <c r="M41" s="12" t="s">
        <v>158</v>
      </c>
      <c r="N41" s="4" t="s">
        <v>334</v>
      </c>
      <c r="O41" s="12" t="s">
        <v>158</v>
      </c>
      <c r="P41" s="4" t="s">
        <v>320</v>
      </c>
      <c r="Q41" s="12" t="s">
        <v>158</v>
      </c>
      <c r="R41" s="5" t="n">
        <v>0</v>
      </c>
      <c r="S41" s="12" t="s">
        <v>159</v>
      </c>
      <c r="T41" s="4" t="s">
        <v>188</v>
      </c>
      <c r="U41" s="12" t="s">
        <v>158</v>
      </c>
      <c r="V41" s="5" t="n">
        <v>0</v>
      </c>
      <c r="W41" s="12" t="s">
        <v>159</v>
      </c>
      <c r="X41" s="12" t="n">
        <v>3</v>
      </c>
      <c r="Y41" s="4" t="s">
        <v>164</v>
      </c>
    </row>
    <row r="42" customFormat="false" ht="23.85" hidden="false" customHeight="false" outlineLevel="0" collapsed="false">
      <c r="A42" s="5" t="n">
        <v>43190</v>
      </c>
      <c r="B42" s="5" t="s">
        <v>64</v>
      </c>
      <c r="C42" s="5" t="s">
        <v>335</v>
      </c>
      <c r="D42" s="4" t="s">
        <v>34</v>
      </c>
      <c r="E42" s="4" t="s">
        <v>154</v>
      </c>
      <c r="F42" s="4" t="s">
        <v>166</v>
      </c>
      <c r="G42" s="4" t="s">
        <v>336</v>
      </c>
      <c r="H42" s="4" t="s">
        <v>337</v>
      </c>
      <c r="I42" s="12" t="s">
        <v>158</v>
      </c>
      <c r="J42" s="4"/>
      <c r="K42" s="5" t="s">
        <v>159</v>
      </c>
      <c r="L42" s="4" t="s">
        <v>338</v>
      </c>
      <c r="M42" s="12" t="s">
        <v>158</v>
      </c>
      <c r="N42" s="4" t="s">
        <v>337</v>
      </c>
      <c r="O42" s="12" t="s">
        <v>158</v>
      </c>
      <c r="P42" s="4" t="s">
        <v>211</v>
      </c>
      <c r="Q42" s="12" t="s">
        <v>158</v>
      </c>
      <c r="R42" s="5" t="n">
        <v>0</v>
      </c>
      <c r="S42" s="12" t="s">
        <v>159</v>
      </c>
      <c r="T42" s="4" t="s">
        <v>188</v>
      </c>
      <c r="U42" s="12" t="s">
        <v>158</v>
      </c>
      <c r="V42" s="5" t="n">
        <v>0</v>
      </c>
      <c r="W42" s="12" t="s">
        <v>159</v>
      </c>
      <c r="X42" s="12" t="n">
        <v>3</v>
      </c>
      <c r="Y42" s="4" t="s">
        <v>164</v>
      </c>
    </row>
    <row r="43" customFormat="false" ht="23.85" hidden="false" customHeight="false" outlineLevel="0" collapsed="false">
      <c r="A43" s="5" t="n">
        <v>43191</v>
      </c>
      <c r="B43" s="5" t="s">
        <v>64</v>
      </c>
      <c r="C43" s="5" t="s">
        <v>339</v>
      </c>
      <c r="D43" s="4" t="s">
        <v>34</v>
      </c>
      <c r="E43" s="4" t="s">
        <v>154</v>
      </c>
      <c r="F43" s="4" t="s">
        <v>166</v>
      </c>
      <c r="G43" s="4" t="s">
        <v>340</v>
      </c>
      <c r="H43" s="4" t="s">
        <v>341</v>
      </c>
      <c r="I43" s="12" t="s">
        <v>158</v>
      </c>
      <c r="J43" s="4"/>
      <c r="K43" s="5" t="s">
        <v>159</v>
      </c>
      <c r="L43" s="4" t="s">
        <v>342</v>
      </c>
      <c r="M43" s="12" t="s">
        <v>158</v>
      </c>
      <c r="N43" s="4" t="s">
        <v>341</v>
      </c>
      <c r="O43" s="12" t="s">
        <v>158</v>
      </c>
      <c r="P43" s="4" t="s">
        <v>169</v>
      </c>
      <c r="Q43" s="12" t="s">
        <v>158</v>
      </c>
      <c r="R43" s="5" t="n">
        <v>0</v>
      </c>
      <c r="S43" s="12" t="s">
        <v>159</v>
      </c>
      <c r="T43" s="4" t="s">
        <v>163</v>
      </c>
      <c r="U43" s="12" t="s">
        <v>158</v>
      </c>
      <c r="V43" s="5" t="n">
        <v>0</v>
      </c>
      <c r="W43" s="12" t="s">
        <v>159</v>
      </c>
      <c r="X43" s="12" t="n">
        <v>3</v>
      </c>
      <c r="Y43" s="4" t="s">
        <v>164</v>
      </c>
    </row>
    <row r="44" customFormat="false" ht="23.85" hidden="false" customHeight="false" outlineLevel="0" collapsed="false">
      <c r="A44" s="5" t="n">
        <v>43192</v>
      </c>
      <c r="B44" s="5" t="s">
        <v>64</v>
      </c>
      <c r="C44" s="5" t="s">
        <v>343</v>
      </c>
      <c r="D44" s="4" t="s">
        <v>30</v>
      </c>
      <c r="E44" s="4" t="s">
        <v>171</v>
      </c>
      <c r="F44" s="4" t="s">
        <v>166</v>
      </c>
      <c r="G44" s="4" t="s">
        <v>344</v>
      </c>
      <c r="H44" s="4" t="s">
        <v>345</v>
      </c>
      <c r="I44" s="12" t="s">
        <v>158</v>
      </c>
      <c r="J44" s="4"/>
      <c r="K44" s="5" t="s">
        <v>159</v>
      </c>
      <c r="L44" s="4"/>
      <c r="M44" s="12" t="s">
        <v>159</v>
      </c>
      <c r="N44" s="4"/>
      <c r="O44" s="12" t="s">
        <v>159</v>
      </c>
      <c r="P44" s="4"/>
      <c r="Q44" s="12" t="s">
        <v>159</v>
      </c>
      <c r="R44" s="5" t="n">
        <v>0</v>
      </c>
      <c r="S44" s="12" t="s">
        <v>159</v>
      </c>
      <c r="T44" s="4"/>
      <c r="U44" s="12" t="s">
        <v>159</v>
      </c>
      <c r="V44" s="5" t="n">
        <v>0</v>
      </c>
      <c r="W44" s="12" t="s">
        <v>159</v>
      </c>
      <c r="X44" s="12" t="n">
        <v>7</v>
      </c>
      <c r="Y44" s="4" t="s">
        <v>174</v>
      </c>
    </row>
    <row r="45" customFormat="false" ht="23.85" hidden="false" customHeight="false" outlineLevel="0" collapsed="false">
      <c r="A45" s="5" t="n">
        <v>43193</v>
      </c>
      <c r="B45" s="5" t="s">
        <v>64</v>
      </c>
      <c r="C45" s="5" t="s">
        <v>346</v>
      </c>
      <c r="D45" s="4" t="s">
        <v>32</v>
      </c>
      <c r="E45" s="4" t="s">
        <v>171</v>
      </c>
      <c r="F45" s="4" t="s">
        <v>166</v>
      </c>
      <c r="G45" s="4" t="s">
        <v>347</v>
      </c>
      <c r="H45" s="4" t="s">
        <v>347</v>
      </c>
      <c r="I45" s="12" t="s">
        <v>158</v>
      </c>
      <c r="J45" s="4"/>
      <c r="K45" s="5" t="s">
        <v>159</v>
      </c>
      <c r="L45" s="4" t="s">
        <v>348</v>
      </c>
      <c r="M45" s="12" t="s">
        <v>158</v>
      </c>
      <c r="N45" s="4" t="s">
        <v>349</v>
      </c>
      <c r="O45" s="12" t="s">
        <v>158</v>
      </c>
      <c r="P45" s="4" t="s">
        <v>350</v>
      </c>
      <c r="Q45" s="12" t="s">
        <v>158</v>
      </c>
      <c r="R45" s="5" t="n">
        <v>0</v>
      </c>
      <c r="S45" s="12" t="s">
        <v>159</v>
      </c>
      <c r="T45" s="4" t="s">
        <v>188</v>
      </c>
      <c r="U45" s="12" t="s">
        <v>158</v>
      </c>
      <c r="V45" s="5" t="n">
        <v>0</v>
      </c>
      <c r="W45" s="12" t="s">
        <v>159</v>
      </c>
      <c r="X45" s="12" t="n">
        <v>3</v>
      </c>
      <c r="Y45" s="4" t="s">
        <v>164</v>
      </c>
    </row>
    <row r="46" customFormat="false" ht="23.85" hidden="false" customHeight="false" outlineLevel="0" collapsed="false">
      <c r="A46" s="5" t="n">
        <v>43194</v>
      </c>
      <c r="B46" s="5" t="s">
        <v>64</v>
      </c>
      <c r="C46" s="5" t="s">
        <v>351</v>
      </c>
      <c r="D46" s="4" t="s">
        <v>32</v>
      </c>
      <c r="E46" s="4" t="s">
        <v>171</v>
      </c>
      <c r="F46" s="4" t="s">
        <v>352</v>
      </c>
      <c r="G46" s="4" t="s">
        <v>353</v>
      </c>
      <c r="H46" s="4" t="s">
        <v>354</v>
      </c>
      <c r="I46" s="12" t="s">
        <v>158</v>
      </c>
      <c r="J46" s="4"/>
      <c r="K46" s="5" t="s">
        <v>159</v>
      </c>
      <c r="L46" s="4"/>
      <c r="M46" s="12" t="s">
        <v>159</v>
      </c>
      <c r="N46" s="4"/>
      <c r="O46" s="12" t="s">
        <v>159</v>
      </c>
      <c r="P46" s="4"/>
      <c r="Q46" s="12" t="s">
        <v>159</v>
      </c>
      <c r="R46" s="5" t="n">
        <v>0</v>
      </c>
      <c r="S46" s="12" t="s">
        <v>159</v>
      </c>
      <c r="T46" s="4"/>
      <c r="U46" s="12" t="s">
        <v>159</v>
      </c>
      <c r="V46" s="5" t="n">
        <v>0</v>
      </c>
      <c r="W46" s="12" t="s">
        <v>159</v>
      </c>
      <c r="X46" s="12" t="n">
        <v>7</v>
      </c>
      <c r="Y46" s="4" t="s">
        <v>174</v>
      </c>
    </row>
    <row r="47" customFormat="false" ht="23.85" hidden="false" customHeight="false" outlineLevel="0" collapsed="false">
      <c r="A47" s="5" t="n">
        <v>43195</v>
      </c>
      <c r="B47" s="5" t="s">
        <v>64</v>
      </c>
      <c r="C47" s="5" t="s">
        <v>355</v>
      </c>
      <c r="D47" s="4" t="s">
        <v>32</v>
      </c>
      <c r="E47" s="4" t="s">
        <v>171</v>
      </c>
      <c r="F47" s="4" t="s">
        <v>352</v>
      </c>
      <c r="G47" s="4" t="s">
        <v>356</v>
      </c>
      <c r="H47" s="4" t="s">
        <v>357</v>
      </c>
      <c r="I47" s="12" t="s">
        <v>158</v>
      </c>
      <c r="J47" s="4"/>
      <c r="K47" s="5" t="s">
        <v>159</v>
      </c>
      <c r="L47" s="4" t="s">
        <v>358</v>
      </c>
      <c r="M47" s="12" t="s">
        <v>158</v>
      </c>
      <c r="N47" s="4" t="s">
        <v>359</v>
      </c>
      <c r="O47" s="12" t="s">
        <v>158</v>
      </c>
      <c r="P47" s="4"/>
      <c r="Q47" s="12" t="s">
        <v>159</v>
      </c>
      <c r="R47" s="5" t="n">
        <v>0</v>
      </c>
      <c r="S47" s="12" t="s">
        <v>159</v>
      </c>
      <c r="T47" s="4"/>
      <c r="U47" s="12" t="s">
        <v>159</v>
      </c>
      <c r="V47" s="5" t="n">
        <v>0</v>
      </c>
      <c r="W47" s="12" t="s">
        <v>159</v>
      </c>
      <c r="X47" s="12" t="n">
        <v>5</v>
      </c>
      <c r="Y47" s="4" t="s">
        <v>360</v>
      </c>
    </row>
    <row r="48" customFormat="false" ht="23.85" hidden="false" customHeight="false" outlineLevel="0" collapsed="false">
      <c r="A48" s="5" t="n">
        <v>43196</v>
      </c>
      <c r="B48" s="5" t="s">
        <v>64</v>
      </c>
      <c r="C48" s="5" t="s">
        <v>361</v>
      </c>
      <c r="D48" s="4" t="s">
        <v>32</v>
      </c>
      <c r="E48" s="4" t="s">
        <v>171</v>
      </c>
      <c r="F48" s="4" t="s">
        <v>166</v>
      </c>
      <c r="G48" s="4" t="s">
        <v>362</v>
      </c>
      <c r="H48" s="4" t="s">
        <v>363</v>
      </c>
      <c r="I48" s="12" t="s">
        <v>158</v>
      </c>
      <c r="J48" s="4"/>
      <c r="K48" s="5" t="s">
        <v>159</v>
      </c>
      <c r="L48" s="4" t="s">
        <v>358</v>
      </c>
      <c r="M48" s="12" t="s">
        <v>158</v>
      </c>
      <c r="N48" s="4" t="s">
        <v>359</v>
      </c>
      <c r="O48" s="12" t="s">
        <v>158</v>
      </c>
      <c r="P48" s="4"/>
      <c r="Q48" s="12" t="s">
        <v>159</v>
      </c>
      <c r="R48" s="5" t="n">
        <v>0</v>
      </c>
      <c r="S48" s="12" t="s">
        <v>159</v>
      </c>
      <c r="T48" s="4"/>
      <c r="U48" s="12" t="s">
        <v>159</v>
      </c>
      <c r="V48" s="5" t="n">
        <v>0</v>
      </c>
      <c r="W48" s="12" t="s">
        <v>159</v>
      </c>
      <c r="X48" s="12" t="n">
        <v>5</v>
      </c>
      <c r="Y48" s="4" t="s">
        <v>360</v>
      </c>
    </row>
    <row r="49" customFormat="false" ht="23.85" hidden="false" customHeight="false" outlineLevel="0" collapsed="false">
      <c r="A49" s="5" t="n">
        <v>43197</v>
      </c>
      <c r="B49" s="5" t="s">
        <v>64</v>
      </c>
      <c r="C49" s="5" t="s">
        <v>364</v>
      </c>
      <c r="D49" s="4" t="s">
        <v>18</v>
      </c>
      <c r="E49" s="4" t="s">
        <v>154</v>
      </c>
      <c r="F49" s="4" t="s">
        <v>166</v>
      </c>
      <c r="G49" s="4" t="s">
        <v>365</v>
      </c>
      <c r="H49" s="4" t="s">
        <v>366</v>
      </c>
      <c r="I49" s="12" t="s">
        <v>158</v>
      </c>
      <c r="J49" s="4"/>
      <c r="K49" s="5" t="s">
        <v>159</v>
      </c>
      <c r="L49" s="4"/>
      <c r="M49" s="12" t="s">
        <v>159</v>
      </c>
      <c r="N49" s="4"/>
      <c r="O49" s="12" t="s">
        <v>159</v>
      </c>
      <c r="P49" s="4"/>
      <c r="Q49" s="12" t="s">
        <v>159</v>
      </c>
      <c r="R49" s="5" t="n">
        <v>0</v>
      </c>
      <c r="S49" s="12" t="s">
        <v>159</v>
      </c>
      <c r="T49" s="4"/>
      <c r="U49" s="12" t="s">
        <v>159</v>
      </c>
      <c r="V49" s="5" t="n">
        <v>0</v>
      </c>
      <c r="W49" s="12" t="s">
        <v>159</v>
      </c>
      <c r="X49" s="12" t="n">
        <v>7</v>
      </c>
      <c r="Y49" s="4" t="s">
        <v>174</v>
      </c>
    </row>
    <row r="50" customFormat="false" ht="23.85" hidden="false" customHeight="false" outlineLevel="0" collapsed="false">
      <c r="A50" s="5" t="n">
        <v>43200</v>
      </c>
      <c r="B50" s="5" t="s">
        <v>64</v>
      </c>
      <c r="C50" s="5" t="s">
        <v>367</v>
      </c>
      <c r="D50" s="4" t="s">
        <v>24</v>
      </c>
      <c r="E50" s="4" t="s">
        <v>154</v>
      </c>
      <c r="F50" s="4" t="s">
        <v>257</v>
      </c>
      <c r="G50" s="4" t="s">
        <v>368</v>
      </c>
      <c r="H50" s="4"/>
      <c r="I50" s="12" t="s">
        <v>159</v>
      </c>
      <c r="J50" s="4" t="s">
        <v>369</v>
      </c>
      <c r="K50" s="5" t="s">
        <v>158</v>
      </c>
      <c r="L50" s="4" t="s">
        <v>370</v>
      </c>
      <c r="M50" s="12" t="s">
        <v>158</v>
      </c>
      <c r="N50" s="4"/>
      <c r="O50" s="12" t="s">
        <v>159</v>
      </c>
      <c r="P50" s="4" t="s">
        <v>371</v>
      </c>
      <c r="Q50" s="12" t="s">
        <v>158</v>
      </c>
      <c r="R50" s="5" t="n">
        <v>0</v>
      </c>
      <c r="S50" s="12" t="s">
        <v>159</v>
      </c>
      <c r="T50" s="4"/>
      <c r="U50" s="12" t="s">
        <v>159</v>
      </c>
      <c r="V50" s="5" t="n">
        <v>0</v>
      </c>
      <c r="W50" s="12" t="s">
        <v>159</v>
      </c>
      <c r="X50" s="12" t="n">
        <v>5</v>
      </c>
      <c r="Y50" s="4" t="s">
        <v>372</v>
      </c>
    </row>
    <row r="51" customFormat="false" ht="23.85" hidden="false" customHeight="false" outlineLevel="0" collapsed="false">
      <c r="A51" s="5" t="n">
        <v>43201</v>
      </c>
      <c r="B51" s="5" t="s">
        <v>65</v>
      </c>
      <c r="C51" s="5" t="s">
        <v>373</v>
      </c>
      <c r="D51" s="4" t="s">
        <v>34</v>
      </c>
      <c r="E51" s="4" t="s">
        <v>154</v>
      </c>
      <c r="F51" s="4" t="s">
        <v>166</v>
      </c>
      <c r="G51" s="4" t="s">
        <v>374</v>
      </c>
      <c r="H51" s="4" t="s">
        <v>375</v>
      </c>
      <c r="I51" s="12" t="s">
        <v>158</v>
      </c>
      <c r="J51" s="4"/>
      <c r="K51" s="5" t="s">
        <v>159</v>
      </c>
      <c r="L51" s="4" t="s">
        <v>342</v>
      </c>
      <c r="M51" s="12" t="s">
        <v>158</v>
      </c>
      <c r="N51" s="4" t="s">
        <v>376</v>
      </c>
      <c r="O51" s="12" t="s">
        <v>158</v>
      </c>
      <c r="P51" s="4" t="s">
        <v>169</v>
      </c>
      <c r="Q51" s="12" t="s">
        <v>158</v>
      </c>
      <c r="R51" s="5" t="n">
        <v>0</v>
      </c>
      <c r="S51" s="12" t="s">
        <v>159</v>
      </c>
      <c r="T51" s="4" t="s">
        <v>163</v>
      </c>
      <c r="U51" s="12" t="s">
        <v>158</v>
      </c>
      <c r="V51" s="5" t="n">
        <v>0</v>
      </c>
      <c r="W51" s="12" t="s">
        <v>159</v>
      </c>
      <c r="X51" s="12" t="n">
        <v>3</v>
      </c>
      <c r="Y51" s="4" t="s">
        <v>164</v>
      </c>
    </row>
    <row r="52" customFormat="false" ht="23.85" hidden="false" customHeight="false" outlineLevel="0" collapsed="false">
      <c r="A52" s="5" t="n">
        <v>43202</v>
      </c>
      <c r="B52" s="5" t="s">
        <v>65</v>
      </c>
      <c r="C52" s="5" t="s">
        <v>377</v>
      </c>
      <c r="D52" s="4" t="s">
        <v>34</v>
      </c>
      <c r="E52" s="4" t="s">
        <v>154</v>
      </c>
      <c r="F52" s="4" t="s">
        <v>166</v>
      </c>
      <c r="G52" s="4" t="s">
        <v>378</v>
      </c>
      <c r="H52" s="4" t="s">
        <v>379</v>
      </c>
      <c r="I52" s="12" t="s">
        <v>158</v>
      </c>
      <c r="J52" s="4"/>
      <c r="K52" s="5" t="s">
        <v>159</v>
      </c>
      <c r="L52" s="4" t="s">
        <v>380</v>
      </c>
      <c r="M52" s="12" t="s">
        <v>158</v>
      </c>
      <c r="N52" s="4" t="s">
        <v>381</v>
      </c>
      <c r="O52" s="12" t="s">
        <v>158</v>
      </c>
      <c r="P52" s="4" t="s">
        <v>169</v>
      </c>
      <c r="Q52" s="12" t="s">
        <v>158</v>
      </c>
      <c r="R52" s="5" t="n">
        <v>0</v>
      </c>
      <c r="S52" s="12" t="s">
        <v>159</v>
      </c>
      <c r="T52" s="4" t="s">
        <v>163</v>
      </c>
      <c r="U52" s="12" t="s">
        <v>158</v>
      </c>
      <c r="V52" s="5" t="n">
        <v>0</v>
      </c>
      <c r="W52" s="12" t="s">
        <v>159</v>
      </c>
      <c r="X52" s="12" t="n">
        <v>3</v>
      </c>
      <c r="Y52" s="4" t="s">
        <v>164</v>
      </c>
    </row>
    <row r="53" customFormat="false" ht="15" hidden="false" customHeight="false" outlineLevel="0" collapsed="false">
      <c r="A53" s="5" t="n">
        <v>43208</v>
      </c>
      <c r="B53" s="5" t="s">
        <v>65</v>
      </c>
      <c r="C53" s="5" t="s">
        <v>382</v>
      </c>
      <c r="D53" s="4" t="s">
        <v>18</v>
      </c>
      <c r="E53" s="4" t="s">
        <v>154</v>
      </c>
      <c r="F53" s="4" t="s">
        <v>383</v>
      </c>
      <c r="G53" s="4" t="s">
        <v>384</v>
      </c>
      <c r="H53" s="4" t="s">
        <v>385</v>
      </c>
      <c r="I53" s="12" t="s">
        <v>158</v>
      </c>
      <c r="J53" s="4" t="s">
        <v>386</v>
      </c>
      <c r="K53" s="5" t="s">
        <v>158</v>
      </c>
      <c r="L53" s="4" t="s">
        <v>387</v>
      </c>
      <c r="M53" s="12" t="s">
        <v>158</v>
      </c>
      <c r="N53" s="4" t="s">
        <v>388</v>
      </c>
      <c r="O53" s="12" t="s">
        <v>158</v>
      </c>
      <c r="P53" s="4" t="s">
        <v>389</v>
      </c>
      <c r="Q53" s="12" t="s">
        <v>158</v>
      </c>
      <c r="R53" s="5" t="n">
        <v>0</v>
      </c>
      <c r="S53" s="12" t="s">
        <v>159</v>
      </c>
      <c r="T53" s="4"/>
      <c r="U53" s="12" t="s">
        <v>159</v>
      </c>
      <c r="V53" s="5" t="n">
        <v>0</v>
      </c>
      <c r="W53" s="12" t="s">
        <v>159</v>
      </c>
      <c r="X53" s="12" t="n">
        <v>3</v>
      </c>
      <c r="Y53" s="4" t="s">
        <v>264</v>
      </c>
    </row>
    <row r="54" customFormat="false" ht="23.85" hidden="false" customHeight="false" outlineLevel="0" collapsed="false">
      <c r="A54" s="5" t="n">
        <v>43209</v>
      </c>
      <c r="B54" s="5" t="s">
        <v>65</v>
      </c>
      <c r="C54" s="5" t="s">
        <v>390</v>
      </c>
      <c r="D54" s="4" t="s">
        <v>18</v>
      </c>
      <c r="E54" s="4" t="s">
        <v>154</v>
      </c>
      <c r="F54" s="4" t="s">
        <v>383</v>
      </c>
      <c r="G54" s="4" t="s">
        <v>391</v>
      </c>
      <c r="H54" s="4" t="s">
        <v>392</v>
      </c>
      <c r="I54" s="12" t="s">
        <v>158</v>
      </c>
      <c r="J54" s="4"/>
      <c r="K54" s="5" t="s">
        <v>159</v>
      </c>
      <c r="L54" s="4" t="s">
        <v>393</v>
      </c>
      <c r="M54" s="12" t="s">
        <v>158</v>
      </c>
      <c r="N54" s="4"/>
      <c r="O54" s="12" t="s">
        <v>159</v>
      </c>
      <c r="P54" s="4" t="s">
        <v>394</v>
      </c>
      <c r="Q54" s="12" t="s">
        <v>158</v>
      </c>
      <c r="R54" s="5" t="n">
        <v>0</v>
      </c>
      <c r="S54" s="12" t="s">
        <v>159</v>
      </c>
      <c r="T54" s="4"/>
      <c r="U54" s="12" t="s">
        <v>159</v>
      </c>
      <c r="V54" s="5" t="n">
        <v>0</v>
      </c>
      <c r="W54" s="12" t="s">
        <v>159</v>
      </c>
      <c r="X54" s="12" t="n">
        <v>5</v>
      </c>
      <c r="Y54" s="4" t="s">
        <v>310</v>
      </c>
    </row>
    <row r="55" customFormat="false" ht="23.85" hidden="false" customHeight="false" outlineLevel="0" collapsed="false">
      <c r="A55" s="5" t="n">
        <v>43213</v>
      </c>
      <c r="B55" s="5" t="s">
        <v>65</v>
      </c>
      <c r="C55" s="5" t="s">
        <v>395</v>
      </c>
      <c r="D55" s="4" t="s">
        <v>28</v>
      </c>
      <c r="E55" s="4" t="s">
        <v>171</v>
      </c>
      <c r="F55" s="4" t="s">
        <v>383</v>
      </c>
      <c r="G55" s="4" t="s">
        <v>396</v>
      </c>
      <c r="H55" s="4"/>
      <c r="I55" s="12" t="s">
        <v>159</v>
      </c>
      <c r="J55" s="4"/>
      <c r="K55" s="5" t="s">
        <v>159</v>
      </c>
      <c r="L55" s="4"/>
      <c r="M55" s="12" t="s">
        <v>159</v>
      </c>
      <c r="N55" s="4"/>
      <c r="O55" s="12" t="s">
        <v>159</v>
      </c>
      <c r="P55" s="4"/>
      <c r="Q55" s="12" t="s">
        <v>159</v>
      </c>
      <c r="R55" s="5" t="n">
        <v>0</v>
      </c>
      <c r="S55" s="12" t="s">
        <v>159</v>
      </c>
      <c r="T55" s="4"/>
      <c r="U55" s="12" t="s">
        <v>159</v>
      </c>
      <c r="V55" s="5" t="n">
        <v>0</v>
      </c>
      <c r="W55" s="12" t="s">
        <v>159</v>
      </c>
      <c r="X55" s="12" t="n">
        <v>8</v>
      </c>
      <c r="Y55" s="4" t="s">
        <v>285</v>
      </c>
    </row>
    <row r="56" customFormat="false" ht="23.85" hidden="false" customHeight="false" outlineLevel="0" collapsed="false">
      <c r="A56" s="5" t="n">
        <v>43228</v>
      </c>
      <c r="B56" s="5" t="s">
        <v>65</v>
      </c>
      <c r="C56" s="5" t="s">
        <v>286</v>
      </c>
      <c r="D56" s="4" t="s">
        <v>24</v>
      </c>
      <c r="E56" s="4" t="s">
        <v>154</v>
      </c>
      <c r="F56" s="4" t="s">
        <v>383</v>
      </c>
      <c r="G56" s="4" t="s">
        <v>397</v>
      </c>
      <c r="H56" s="4"/>
      <c r="I56" s="12" t="s">
        <v>159</v>
      </c>
      <c r="J56" s="4" t="s">
        <v>398</v>
      </c>
      <c r="K56" s="5" t="s">
        <v>158</v>
      </c>
      <c r="L56" s="4" t="s">
        <v>370</v>
      </c>
      <c r="M56" s="12" t="s">
        <v>158</v>
      </c>
      <c r="N56" s="4" t="s">
        <v>399</v>
      </c>
      <c r="O56" s="12" t="s">
        <v>158</v>
      </c>
      <c r="P56" s="4" t="s">
        <v>400</v>
      </c>
      <c r="Q56" s="12" t="s">
        <v>158</v>
      </c>
      <c r="R56" s="5" t="n">
        <v>0</v>
      </c>
      <c r="S56" s="12" t="s">
        <v>159</v>
      </c>
      <c r="T56" s="4"/>
      <c r="U56" s="12" t="s">
        <v>159</v>
      </c>
      <c r="V56" s="5" t="n">
        <v>0</v>
      </c>
      <c r="W56" s="12" t="s">
        <v>159</v>
      </c>
      <c r="X56" s="12" t="n">
        <v>4</v>
      </c>
      <c r="Y56" s="4" t="s">
        <v>401</v>
      </c>
    </row>
    <row r="57" customFormat="false" ht="23.85" hidden="false" customHeight="false" outlineLevel="0" collapsed="false">
      <c r="A57" s="5" t="n">
        <v>43229</v>
      </c>
      <c r="B57" s="5" t="s">
        <v>65</v>
      </c>
      <c r="C57" s="5" t="s">
        <v>286</v>
      </c>
      <c r="D57" s="4" t="s">
        <v>24</v>
      </c>
      <c r="E57" s="4" t="s">
        <v>154</v>
      </c>
      <c r="F57" s="4" t="s">
        <v>383</v>
      </c>
      <c r="G57" s="4" t="s">
        <v>402</v>
      </c>
      <c r="H57" s="4"/>
      <c r="I57" s="12" t="s">
        <v>159</v>
      </c>
      <c r="J57" s="4" t="s">
        <v>403</v>
      </c>
      <c r="K57" s="5" t="s">
        <v>158</v>
      </c>
      <c r="L57" s="4" t="s">
        <v>293</v>
      </c>
      <c r="M57" s="12" t="s">
        <v>158</v>
      </c>
      <c r="N57" s="4" t="s">
        <v>399</v>
      </c>
      <c r="O57" s="12" t="s">
        <v>158</v>
      </c>
      <c r="P57" s="4" t="s">
        <v>400</v>
      </c>
      <c r="Q57" s="12" t="s">
        <v>158</v>
      </c>
      <c r="R57" s="5" t="n">
        <v>0</v>
      </c>
      <c r="S57" s="12" t="s">
        <v>159</v>
      </c>
      <c r="T57" s="4"/>
      <c r="U57" s="12" t="s">
        <v>159</v>
      </c>
      <c r="V57" s="5" t="n">
        <v>0</v>
      </c>
      <c r="W57" s="12" t="s">
        <v>159</v>
      </c>
      <c r="X57" s="12" t="n">
        <v>4</v>
      </c>
      <c r="Y57" s="4" t="s">
        <v>401</v>
      </c>
    </row>
    <row r="58" customFormat="false" ht="23.85" hidden="false" customHeight="false" outlineLevel="0" collapsed="false">
      <c r="A58" s="5" t="n">
        <v>43237</v>
      </c>
      <c r="B58" s="5" t="s">
        <v>65</v>
      </c>
      <c r="C58" s="5" t="s">
        <v>404</v>
      </c>
      <c r="D58" s="4" t="s">
        <v>24</v>
      </c>
      <c r="E58" s="4" t="s">
        <v>154</v>
      </c>
      <c r="F58" s="4" t="s">
        <v>383</v>
      </c>
      <c r="G58" s="4" t="s">
        <v>405</v>
      </c>
      <c r="H58" s="4"/>
      <c r="I58" s="12" t="s">
        <v>159</v>
      </c>
      <c r="J58" s="4"/>
      <c r="K58" s="5" t="s">
        <v>159</v>
      </c>
      <c r="L58" s="4" t="s">
        <v>406</v>
      </c>
      <c r="M58" s="12" t="s">
        <v>158</v>
      </c>
      <c r="N58" s="4" t="s">
        <v>407</v>
      </c>
      <c r="O58" s="12" t="s">
        <v>158</v>
      </c>
      <c r="P58" s="4"/>
      <c r="Q58" s="12" t="s">
        <v>159</v>
      </c>
      <c r="R58" s="5" t="n">
        <v>0</v>
      </c>
      <c r="S58" s="12" t="s">
        <v>159</v>
      </c>
      <c r="T58" s="4"/>
      <c r="U58" s="12" t="s">
        <v>159</v>
      </c>
      <c r="V58" s="5" t="n">
        <v>0</v>
      </c>
      <c r="W58" s="12" t="s">
        <v>159</v>
      </c>
      <c r="X58" s="12" t="n">
        <v>6</v>
      </c>
      <c r="Y58" s="4" t="s">
        <v>408</v>
      </c>
    </row>
    <row r="59" customFormat="false" ht="23.85" hidden="false" customHeight="false" outlineLevel="0" collapsed="false">
      <c r="A59" s="5" t="n">
        <v>43249</v>
      </c>
      <c r="B59" s="5" t="s">
        <v>65</v>
      </c>
      <c r="C59" s="5" t="s">
        <v>409</v>
      </c>
      <c r="D59" s="4" t="s">
        <v>22</v>
      </c>
      <c r="E59" s="4" t="s">
        <v>176</v>
      </c>
      <c r="F59" s="4" t="s">
        <v>166</v>
      </c>
      <c r="G59" s="4" t="s">
        <v>410</v>
      </c>
      <c r="H59" s="4" t="s">
        <v>411</v>
      </c>
      <c r="I59" s="12" t="s">
        <v>158</v>
      </c>
      <c r="J59" s="4"/>
      <c r="K59" s="5" t="s">
        <v>159</v>
      </c>
      <c r="L59" s="4"/>
      <c r="M59" s="12" t="s">
        <v>159</v>
      </c>
      <c r="N59" s="4" t="s">
        <v>412</v>
      </c>
      <c r="O59" s="12" t="s">
        <v>158</v>
      </c>
      <c r="P59" s="4" t="s">
        <v>205</v>
      </c>
      <c r="Q59" s="12" t="s">
        <v>158</v>
      </c>
      <c r="R59" s="5" t="n">
        <v>0</v>
      </c>
      <c r="S59" s="12" t="s">
        <v>159</v>
      </c>
      <c r="T59" s="4"/>
      <c r="U59" s="12" t="s">
        <v>159</v>
      </c>
      <c r="V59" s="5" t="n">
        <v>0</v>
      </c>
      <c r="W59" s="12" t="s">
        <v>159</v>
      </c>
      <c r="X59" s="12" t="n">
        <v>5</v>
      </c>
      <c r="Y59" s="4" t="s">
        <v>240</v>
      </c>
    </row>
    <row r="60" customFormat="false" ht="23.85" hidden="false" customHeight="false" outlineLevel="0" collapsed="false">
      <c r="A60" s="5" t="n">
        <v>43250</v>
      </c>
      <c r="B60" s="5" t="s">
        <v>65</v>
      </c>
      <c r="C60" s="5" t="s">
        <v>413</v>
      </c>
      <c r="D60" s="4" t="s">
        <v>22</v>
      </c>
      <c r="E60" s="4" t="s">
        <v>176</v>
      </c>
      <c r="F60" s="4" t="s">
        <v>166</v>
      </c>
      <c r="G60" s="4" t="s">
        <v>414</v>
      </c>
      <c r="H60" s="4" t="s">
        <v>415</v>
      </c>
      <c r="I60" s="12" t="s">
        <v>158</v>
      </c>
      <c r="J60" s="4"/>
      <c r="K60" s="5" t="s">
        <v>159</v>
      </c>
      <c r="L60" s="4" t="s">
        <v>186</v>
      </c>
      <c r="M60" s="12" t="s">
        <v>158</v>
      </c>
      <c r="N60" s="4"/>
      <c r="O60" s="12" t="s">
        <v>159</v>
      </c>
      <c r="P60" s="4" t="s">
        <v>394</v>
      </c>
      <c r="Q60" s="12" t="s">
        <v>158</v>
      </c>
      <c r="R60" s="5" t="n">
        <v>0</v>
      </c>
      <c r="S60" s="12" t="s">
        <v>159</v>
      </c>
      <c r="T60" s="4"/>
      <c r="U60" s="12" t="s">
        <v>159</v>
      </c>
      <c r="V60" s="5" t="n">
        <v>0</v>
      </c>
      <c r="W60" s="12" t="s">
        <v>159</v>
      </c>
      <c r="X60" s="12" t="n">
        <v>5</v>
      </c>
      <c r="Y60" s="4" t="s">
        <v>310</v>
      </c>
    </row>
    <row r="61" customFormat="false" ht="23.85" hidden="false" customHeight="false" outlineLevel="0" collapsed="false">
      <c r="A61" s="5" t="n">
        <v>43252</v>
      </c>
      <c r="B61" s="5" t="s">
        <v>65</v>
      </c>
      <c r="C61" s="5" t="s">
        <v>416</v>
      </c>
      <c r="D61" s="4" t="s">
        <v>30</v>
      </c>
      <c r="E61" s="4" t="s">
        <v>171</v>
      </c>
      <c r="F61" s="4" t="s">
        <v>383</v>
      </c>
      <c r="G61" s="4" t="s">
        <v>417</v>
      </c>
      <c r="H61" s="4" t="s">
        <v>215</v>
      </c>
      <c r="I61" s="12" t="s">
        <v>158</v>
      </c>
      <c r="J61" s="4"/>
      <c r="K61" s="5" t="s">
        <v>159</v>
      </c>
      <c r="L61" s="4"/>
      <c r="M61" s="12" t="s">
        <v>159</v>
      </c>
      <c r="N61" s="4"/>
      <c r="O61" s="12" t="s">
        <v>159</v>
      </c>
      <c r="P61" s="4" t="s">
        <v>394</v>
      </c>
      <c r="Q61" s="12" t="s">
        <v>158</v>
      </c>
      <c r="R61" s="5" t="n">
        <v>0</v>
      </c>
      <c r="S61" s="12" t="s">
        <v>159</v>
      </c>
      <c r="T61" s="4"/>
      <c r="U61" s="12" t="s">
        <v>159</v>
      </c>
      <c r="V61" s="5" t="n">
        <v>0</v>
      </c>
      <c r="W61" s="12" t="s">
        <v>159</v>
      </c>
      <c r="X61" s="12" t="n">
        <v>6</v>
      </c>
      <c r="Y61" s="4" t="s">
        <v>267</v>
      </c>
    </row>
    <row r="62" customFormat="false" ht="23.85" hidden="false" customHeight="false" outlineLevel="0" collapsed="false">
      <c r="A62" s="5" t="n">
        <v>43253</v>
      </c>
      <c r="B62" s="5" t="s">
        <v>65</v>
      </c>
      <c r="C62" s="5" t="s">
        <v>418</v>
      </c>
      <c r="D62" s="4" t="s">
        <v>30</v>
      </c>
      <c r="E62" s="4" t="s">
        <v>171</v>
      </c>
      <c r="F62" s="4" t="s">
        <v>383</v>
      </c>
      <c r="G62" s="4" t="s">
        <v>419</v>
      </c>
      <c r="H62" s="4" t="s">
        <v>420</v>
      </c>
      <c r="I62" s="12" t="s">
        <v>158</v>
      </c>
      <c r="J62" s="4"/>
      <c r="K62" s="5" t="s">
        <v>159</v>
      </c>
      <c r="L62" s="4"/>
      <c r="M62" s="12" t="s">
        <v>159</v>
      </c>
      <c r="N62" s="4"/>
      <c r="O62" s="12" t="s">
        <v>159</v>
      </c>
      <c r="P62" s="4" t="s">
        <v>205</v>
      </c>
      <c r="Q62" s="12" t="s">
        <v>158</v>
      </c>
      <c r="R62" s="5" t="n">
        <v>0</v>
      </c>
      <c r="S62" s="12" t="s">
        <v>159</v>
      </c>
      <c r="T62" s="4"/>
      <c r="U62" s="12" t="s">
        <v>159</v>
      </c>
      <c r="V62" s="5" t="n">
        <v>0</v>
      </c>
      <c r="W62" s="12" t="s">
        <v>159</v>
      </c>
      <c r="X62" s="12" t="n">
        <v>6</v>
      </c>
      <c r="Y62" s="4" t="s">
        <v>267</v>
      </c>
    </row>
    <row r="63" customFormat="false" ht="23.85" hidden="false" customHeight="false" outlineLevel="0" collapsed="false">
      <c r="A63" s="5" t="n">
        <v>43254</v>
      </c>
      <c r="B63" s="5" t="s">
        <v>65</v>
      </c>
      <c r="C63" s="5" t="s">
        <v>421</v>
      </c>
      <c r="D63" s="4" t="s">
        <v>30</v>
      </c>
      <c r="E63" s="4" t="s">
        <v>171</v>
      </c>
      <c r="F63" s="4" t="s">
        <v>383</v>
      </c>
      <c r="G63" s="4" t="s">
        <v>222</v>
      </c>
      <c r="H63" s="4" t="s">
        <v>223</v>
      </c>
      <c r="I63" s="12" t="s">
        <v>158</v>
      </c>
      <c r="J63" s="4"/>
      <c r="K63" s="5" t="s">
        <v>159</v>
      </c>
      <c r="L63" s="4"/>
      <c r="M63" s="12" t="s">
        <v>159</v>
      </c>
      <c r="N63" s="4"/>
      <c r="O63" s="12" t="s">
        <v>159</v>
      </c>
      <c r="P63" s="4" t="s">
        <v>205</v>
      </c>
      <c r="Q63" s="12" t="s">
        <v>158</v>
      </c>
      <c r="R63" s="5" t="n">
        <v>0</v>
      </c>
      <c r="S63" s="12" t="s">
        <v>159</v>
      </c>
      <c r="T63" s="4" t="s">
        <v>188</v>
      </c>
      <c r="U63" s="12" t="s">
        <v>158</v>
      </c>
      <c r="V63" s="5" t="n">
        <v>0</v>
      </c>
      <c r="W63" s="12" t="s">
        <v>159</v>
      </c>
      <c r="X63" s="12" t="n">
        <v>5</v>
      </c>
      <c r="Y63" s="4" t="s">
        <v>235</v>
      </c>
    </row>
    <row r="64" customFormat="false" ht="23.85" hidden="false" customHeight="false" outlineLevel="0" collapsed="false">
      <c r="A64" s="5" t="n">
        <v>43255</v>
      </c>
      <c r="B64" s="5" t="s">
        <v>65</v>
      </c>
      <c r="C64" s="5" t="s">
        <v>422</v>
      </c>
      <c r="D64" s="4" t="s">
        <v>30</v>
      </c>
      <c r="E64" s="4" t="s">
        <v>171</v>
      </c>
      <c r="F64" s="4" t="s">
        <v>383</v>
      </c>
      <c r="G64" s="4" t="s">
        <v>423</v>
      </c>
      <c r="H64" s="4" t="s">
        <v>424</v>
      </c>
      <c r="I64" s="12" t="s">
        <v>158</v>
      </c>
      <c r="J64" s="4"/>
      <c r="K64" s="5" t="s">
        <v>159</v>
      </c>
      <c r="L64" s="4"/>
      <c r="M64" s="12" t="s">
        <v>159</v>
      </c>
      <c r="N64" s="4"/>
      <c r="O64" s="12" t="s">
        <v>159</v>
      </c>
      <c r="P64" s="4" t="s">
        <v>205</v>
      </c>
      <c r="Q64" s="12" t="s">
        <v>158</v>
      </c>
      <c r="R64" s="5" t="n">
        <v>0</v>
      </c>
      <c r="S64" s="12" t="s">
        <v>159</v>
      </c>
      <c r="T64" s="4" t="s">
        <v>188</v>
      </c>
      <c r="U64" s="12" t="s">
        <v>158</v>
      </c>
      <c r="V64" s="5" t="n">
        <v>0</v>
      </c>
      <c r="W64" s="12" t="s">
        <v>159</v>
      </c>
      <c r="X64" s="12" t="n">
        <v>5</v>
      </c>
      <c r="Y64" s="4" t="s">
        <v>235</v>
      </c>
    </row>
    <row r="65" customFormat="false" ht="23.85" hidden="false" customHeight="false" outlineLevel="0" collapsed="false">
      <c r="A65" s="5" t="n">
        <v>43256</v>
      </c>
      <c r="B65" s="5" t="s">
        <v>65</v>
      </c>
      <c r="C65" s="5" t="s">
        <v>425</v>
      </c>
      <c r="D65" s="4" t="s">
        <v>30</v>
      </c>
      <c r="E65" s="4" t="s">
        <v>171</v>
      </c>
      <c r="F65" s="4" t="s">
        <v>383</v>
      </c>
      <c r="G65" s="4" t="s">
        <v>426</v>
      </c>
      <c r="H65" s="4" t="s">
        <v>427</v>
      </c>
      <c r="I65" s="12" t="s">
        <v>158</v>
      </c>
      <c r="J65" s="4"/>
      <c r="K65" s="5" t="s">
        <v>159</v>
      </c>
      <c r="L65" s="4"/>
      <c r="M65" s="12" t="s">
        <v>159</v>
      </c>
      <c r="N65" s="4"/>
      <c r="O65" s="12" t="s">
        <v>159</v>
      </c>
      <c r="P65" s="4" t="s">
        <v>205</v>
      </c>
      <c r="Q65" s="12" t="s">
        <v>158</v>
      </c>
      <c r="R65" s="5" t="n">
        <v>0</v>
      </c>
      <c r="S65" s="12" t="s">
        <v>159</v>
      </c>
      <c r="T65" s="4" t="s">
        <v>188</v>
      </c>
      <c r="U65" s="12" t="s">
        <v>158</v>
      </c>
      <c r="V65" s="5" t="n">
        <v>0</v>
      </c>
      <c r="W65" s="12" t="s">
        <v>159</v>
      </c>
      <c r="X65" s="12" t="n">
        <v>5</v>
      </c>
      <c r="Y65" s="4" t="s">
        <v>235</v>
      </c>
    </row>
    <row r="66" customFormat="false" ht="23.85" hidden="false" customHeight="false" outlineLevel="0" collapsed="false">
      <c r="A66" s="5" t="n">
        <v>43257</v>
      </c>
      <c r="B66" s="5" t="s">
        <v>65</v>
      </c>
      <c r="C66" s="5" t="s">
        <v>326</v>
      </c>
      <c r="D66" s="4" t="s">
        <v>30</v>
      </c>
      <c r="E66" s="4" t="s">
        <v>171</v>
      </c>
      <c r="F66" s="4" t="s">
        <v>383</v>
      </c>
      <c r="G66" s="4" t="s">
        <v>428</v>
      </c>
      <c r="H66" s="4" t="s">
        <v>300</v>
      </c>
      <c r="I66" s="12" t="s">
        <v>158</v>
      </c>
      <c r="J66" s="4"/>
      <c r="K66" s="5" t="s">
        <v>159</v>
      </c>
      <c r="L66" s="4"/>
      <c r="M66" s="12" t="s">
        <v>159</v>
      </c>
      <c r="N66" s="4"/>
      <c r="O66" s="12" t="s">
        <v>159</v>
      </c>
      <c r="P66" s="4" t="s">
        <v>394</v>
      </c>
      <c r="Q66" s="12" t="s">
        <v>158</v>
      </c>
      <c r="R66" s="5" t="n">
        <v>0</v>
      </c>
      <c r="S66" s="12" t="s">
        <v>159</v>
      </c>
      <c r="T66" s="4" t="s">
        <v>188</v>
      </c>
      <c r="U66" s="12" t="s">
        <v>158</v>
      </c>
      <c r="V66" s="5" t="n">
        <v>0</v>
      </c>
      <c r="W66" s="12" t="s">
        <v>159</v>
      </c>
      <c r="X66" s="12" t="n">
        <v>5</v>
      </c>
      <c r="Y66" s="4" t="s">
        <v>235</v>
      </c>
    </row>
    <row r="67" customFormat="false" ht="23.85" hidden="false" customHeight="false" outlineLevel="0" collapsed="false">
      <c r="A67" s="5" t="n">
        <v>43284</v>
      </c>
      <c r="B67" s="5" t="s">
        <v>66</v>
      </c>
      <c r="C67" s="5" t="s">
        <v>429</v>
      </c>
      <c r="D67" s="4" t="s">
        <v>28</v>
      </c>
      <c r="E67" s="4" t="s">
        <v>171</v>
      </c>
      <c r="F67" s="4" t="s">
        <v>383</v>
      </c>
      <c r="G67" s="4" t="s">
        <v>430</v>
      </c>
      <c r="H67" s="4"/>
      <c r="I67" s="12" t="s">
        <v>159</v>
      </c>
      <c r="J67" s="4"/>
      <c r="K67" s="5" t="s">
        <v>159</v>
      </c>
      <c r="L67" s="4" t="s">
        <v>431</v>
      </c>
      <c r="M67" s="12" t="s">
        <v>158</v>
      </c>
      <c r="N67" s="4" t="s">
        <v>432</v>
      </c>
      <c r="O67" s="12" t="s">
        <v>158</v>
      </c>
      <c r="P67" s="4" t="s">
        <v>163</v>
      </c>
      <c r="Q67" s="12" t="s">
        <v>158</v>
      </c>
      <c r="R67" s="5" t="n">
        <v>0</v>
      </c>
      <c r="S67" s="12" t="s">
        <v>159</v>
      </c>
      <c r="T67" s="4" t="s">
        <v>163</v>
      </c>
      <c r="U67" s="12" t="s">
        <v>158</v>
      </c>
      <c r="V67" s="5" t="n">
        <v>0</v>
      </c>
      <c r="W67" s="12" t="s">
        <v>159</v>
      </c>
      <c r="X67" s="12" t="n">
        <v>4</v>
      </c>
      <c r="Y67" s="4" t="s">
        <v>433</v>
      </c>
    </row>
    <row r="68" customFormat="false" ht="23.85" hidden="false" customHeight="false" outlineLevel="0" collapsed="false">
      <c r="A68" s="5" t="n">
        <v>43285</v>
      </c>
      <c r="B68" s="5" t="s">
        <v>66</v>
      </c>
      <c r="C68" s="5" t="s">
        <v>434</v>
      </c>
      <c r="D68" s="4" t="s">
        <v>28</v>
      </c>
      <c r="E68" s="4" t="s">
        <v>171</v>
      </c>
      <c r="F68" s="4" t="s">
        <v>383</v>
      </c>
      <c r="G68" s="4" t="s">
        <v>435</v>
      </c>
      <c r="H68" s="4"/>
      <c r="I68" s="12" t="s">
        <v>159</v>
      </c>
      <c r="J68" s="4"/>
      <c r="K68" s="5" t="s">
        <v>159</v>
      </c>
      <c r="L68" s="4"/>
      <c r="M68" s="12" t="s">
        <v>159</v>
      </c>
      <c r="N68" s="4" t="s">
        <v>436</v>
      </c>
      <c r="O68" s="12" t="s">
        <v>158</v>
      </c>
      <c r="P68" s="4" t="s">
        <v>163</v>
      </c>
      <c r="Q68" s="12" t="s">
        <v>158</v>
      </c>
      <c r="R68" s="5" t="n">
        <v>0</v>
      </c>
      <c r="S68" s="12" t="s">
        <v>159</v>
      </c>
      <c r="T68" s="4"/>
      <c r="U68" s="12" t="s">
        <v>159</v>
      </c>
      <c r="V68" s="5" t="n">
        <v>0</v>
      </c>
      <c r="W68" s="12" t="s">
        <v>159</v>
      </c>
      <c r="X68" s="12" t="n">
        <v>6</v>
      </c>
      <c r="Y68" s="4" t="s">
        <v>437</v>
      </c>
    </row>
    <row r="69" customFormat="false" ht="23.85" hidden="false" customHeight="false" outlineLevel="0" collapsed="false">
      <c r="A69" s="5" t="n">
        <v>43286</v>
      </c>
      <c r="B69" s="5" t="s">
        <v>66</v>
      </c>
      <c r="C69" s="5" t="s">
        <v>317</v>
      </c>
      <c r="D69" s="4" t="s">
        <v>28</v>
      </c>
      <c r="E69" s="4" t="s">
        <v>171</v>
      </c>
      <c r="F69" s="4" t="s">
        <v>383</v>
      </c>
      <c r="G69" s="4" t="s">
        <v>438</v>
      </c>
      <c r="H69" s="4"/>
      <c r="I69" s="12" t="s">
        <v>159</v>
      </c>
      <c r="J69" s="4"/>
      <c r="K69" s="5" t="s">
        <v>159</v>
      </c>
      <c r="L69" s="4"/>
      <c r="M69" s="12" t="s">
        <v>159</v>
      </c>
      <c r="N69" s="4"/>
      <c r="O69" s="12" t="s">
        <v>159</v>
      </c>
      <c r="P69" s="4"/>
      <c r="Q69" s="12" t="s">
        <v>159</v>
      </c>
      <c r="R69" s="5" t="n">
        <v>0</v>
      </c>
      <c r="S69" s="12" t="s">
        <v>159</v>
      </c>
      <c r="T69" s="4"/>
      <c r="U69" s="12" t="s">
        <v>159</v>
      </c>
      <c r="V69" s="5" t="n">
        <v>0</v>
      </c>
      <c r="W69" s="12" t="s">
        <v>159</v>
      </c>
      <c r="X69" s="12" t="n">
        <v>8</v>
      </c>
      <c r="Y69" s="4" t="s">
        <v>285</v>
      </c>
    </row>
    <row r="70" customFormat="false" ht="23.85" hidden="false" customHeight="false" outlineLevel="0" collapsed="false">
      <c r="A70" s="5" t="n">
        <v>43287</v>
      </c>
      <c r="B70" s="5" t="s">
        <v>66</v>
      </c>
      <c r="C70" s="5" t="s">
        <v>439</v>
      </c>
      <c r="D70" s="4" t="s">
        <v>18</v>
      </c>
      <c r="E70" s="4" t="s">
        <v>154</v>
      </c>
      <c r="F70" s="4" t="s">
        <v>383</v>
      </c>
      <c r="G70" s="4" t="s">
        <v>440</v>
      </c>
      <c r="H70" s="4" t="s">
        <v>441</v>
      </c>
      <c r="I70" s="12" t="s">
        <v>158</v>
      </c>
      <c r="J70" s="4"/>
      <c r="K70" s="5" t="s">
        <v>159</v>
      </c>
      <c r="L70" s="4" t="s">
        <v>442</v>
      </c>
      <c r="M70" s="12" t="s">
        <v>158</v>
      </c>
      <c r="N70" s="4"/>
      <c r="O70" s="12" t="s">
        <v>159</v>
      </c>
      <c r="P70" s="4" t="s">
        <v>394</v>
      </c>
      <c r="Q70" s="12" t="s">
        <v>158</v>
      </c>
      <c r="R70" s="5" t="n">
        <v>0</v>
      </c>
      <c r="S70" s="12" t="s">
        <v>159</v>
      </c>
      <c r="T70" s="4"/>
      <c r="U70" s="12" t="s">
        <v>159</v>
      </c>
      <c r="V70" s="5" t="n">
        <v>0</v>
      </c>
      <c r="W70" s="12" t="s">
        <v>159</v>
      </c>
      <c r="X70" s="12" t="n">
        <v>5</v>
      </c>
      <c r="Y70" s="4" t="s">
        <v>310</v>
      </c>
    </row>
    <row r="71" customFormat="false" ht="23.85" hidden="false" customHeight="false" outlineLevel="0" collapsed="false">
      <c r="A71" s="5" t="n">
        <v>43288</v>
      </c>
      <c r="B71" s="5" t="s">
        <v>66</v>
      </c>
      <c r="C71" s="5" t="s">
        <v>443</v>
      </c>
      <c r="D71" s="4" t="s">
        <v>18</v>
      </c>
      <c r="E71" s="4" t="s">
        <v>154</v>
      </c>
      <c r="F71" s="4" t="s">
        <v>383</v>
      </c>
      <c r="G71" s="4" t="s">
        <v>444</v>
      </c>
      <c r="H71" s="4" t="s">
        <v>445</v>
      </c>
      <c r="I71" s="12" t="s">
        <v>158</v>
      </c>
      <c r="J71" s="4"/>
      <c r="K71" s="5" t="s">
        <v>159</v>
      </c>
      <c r="L71" s="4"/>
      <c r="M71" s="12" t="s">
        <v>159</v>
      </c>
      <c r="N71" s="4"/>
      <c r="O71" s="12" t="s">
        <v>159</v>
      </c>
      <c r="P71" s="4" t="s">
        <v>394</v>
      </c>
      <c r="Q71" s="12" t="s">
        <v>158</v>
      </c>
      <c r="R71" s="5" t="n">
        <v>0</v>
      </c>
      <c r="S71" s="12" t="s">
        <v>159</v>
      </c>
      <c r="T71" s="4"/>
      <c r="U71" s="12" t="s">
        <v>159</v>
      </c>
      <c r="V71" s="5" t="n">
        <v>0</v>
      </c>
      <c r="W71" s="12" t="s">
        <v>159</v>
      </c>
      <c r="X71" s="12" t="n">
        <v>6</v>
      </c>
      <c r="Y71" s="4" t="s">
        <v>267</v>
      </c>
    </row>
    <row r="72" customFormat="false" ht="15" hidden="false" customHeight="false" outlineLevel="0" collapsed="false">
      <c r="A72" s="5" t="n">
        <v>43296</v>
      </c>
      <c r="B72" s="5" t="s">
        <v>66</v>
      </c>
      <c r="C72" s="5" t="s">
        <v>446</v>
      </c>
      <c r="D72" s="4" t="s">
        <v>32</v>
      </c>
      <c r="E72" s="4" t="s">
        <v>171</v>
      </c>
      <c r="F72" s="4" t="s">
        <v>166</v>
      </c>
      <c r="G72" s="4" t="s">
        <v>447</v>
      </c>
      <c r="H72" s="4" t="s">
        <v>447</v>
      </c>
      <c r="I72" s="12" t="s">
        <v>158</v>
      </c>
      <c r="J72" s="4" t="s">
        <v>448</v>
      </c>
      <c r="K72" s="5" t="s">
        <v>158</v>
      </c>
      <c r="L72" s="4" t="s">
        <v>449</v>
      </c>
      <c r="M72" s="12" t="s">
        <v>158</v>
      </c>
      <c r="N72" s="4" t="s">
        <v>450</v>
      </c>
      <c r="O72" s="12" t="s">
        <v>158</v>
      </c>
      <c r="P72" s="4" t="s">
        <v>192</v>
      </c>
      <c r="Q72" s="12" t="s">
        <v>158</v>
      </c>
      <c r="R72" s="5" t="n">
        <v>0</v>
      </c>
      <c r="S72" s="12" t="s">
        <v>159</v>
      </c>
      <c r="T72" s="4" t="s">
        <v>188</v>
      </c>
      <c r="U72" s="12" t="s">
        <v>158</v>
      </c>
      <c r="V72" s="5" t="n">
        <v>0</v>
      </c>
      <c r="W72" s="12" t="s">
        <v>159</v>
      </c>
      <c r="X72" s="12" t="n">
        <v>2</v>
      </c>
      <c r="Y72" s="4" t="s">
        <v>451</v>
      </c>
    </row>
    <row r="73" customFormat="false" ht="23.85" hidden="false" customHeight="false" outlineLevel="0" collapsed="false">
      <c r="A73" s="5" t="n">
        <v>43297</v>
      </c>
      <c r="B73" s="5" t="s">
        <v>66</v>
      </c>
      <c r="C73" s="5" t="s">
        <v>452</v>
      </c>
      <c r="D73" s="4" t="s">
        <v>32</v>
      </c>
      <c r="E73" s="4" t="s">
        <v>171</v>
      </c>
      <c r="F73" s="4" t="s">
        <v>352</v>
      </c>
      <c r="G73" s="4" t="s">
        <v>453</v>
      </c>
      <c r="H73" s="4" t="s">
        <v>454</v>
      </c>
      <c r="I73" s="12" t="s">
        <v>158</v>
      </c>
      <c r="J73" s="4"/>
      <c r="K73" s="5" t="s">
        <v>159</v>
      </c>
      <c r="L73" s="4"/>
      <c r="M73" s="12" t="s">
        <v>159</v>
      </c>
      <c r="N73" s="4"/>
      <c r="O73" s="12" t="s">
        <v>159</v>
      </c>
      <c r="P73" s="4"/>
      <c r="Q73" s="12" t="s">
        <v>159</v>
      </c>
      <c r="R73" s="5" t="n">
        <v>0</v>
      </c>
      <c r="S73" s="12" t="s">
        <v>159</v>
      </c>
      <c r="T73" s="4"/>
      <c r="U73" s="12" t="s">
        <v>159</v>
      </c>
      <c r="V73" s="5" t="n">
        <v>0</v>
      </c>
      <c r="W73" s="12" t="s">
        <v>159</v>
      </c>
      <c r="X73" s="12" t="n">
        <v>7</v>
      </c>
      <c r="Y73" s="4" t="s">
        <v>174</v>
      </c>
    </row>
    <row r="74" customFormat="false" ht="23.85" hidden="false" customHeight="false" outlineLevel="0" collapsed="false">
      <c r="A74" s="5" t="n">
        <v>43300</v>
      </c>
      <c r="B74" s="5" t="s">
        <v>66</v>
      </c>
      <c r="C74" s="5" t="s">
        <v>455</v>
      </c>
      <c r="D74" s="4" t="s">
        <v>32</v>
      </c>
      <c r="E74" s="4" t="s">
        <v>171</v>
      </c>
      <c r="F74" s="4" t="s">
        <v>166</v>
      </c>
      <c r="G74" s="4" t="s">
        <v>456</v>
      </c>
      <c r="H74" s="4" t="s">
        <v>457</v>
      </c>
      <c r="I74" s="12" t="s">
        <v>158</v>
      </c>
      <c r="J74" s="4"/>
      <c r="K74" s="5" t="s">
        <v>159</v>
      </c>
      <c r="L74" s="4"/>
      <c r="M74" s="12" t="s">
        <v>159</v>
      </c>
      <c r="N74" s="4"/>
      <c r="O74" s="12" t="s">
        <v>159</v>
      </c>
      <c r="P74" s="4"/>
      <c r="Q74" s="12" t="s">
        <v>159</v>
      </c>
      <c r="R74" s="5" t="n">
        <v>0</v>
      </c>
      <c r="S74" s="12" t="s">
        <v>159</v>
      </c>
      <c r="T74" s="4"/>
      <c r="U74" s="12" t="s">
        <v>159</v>
      </c>
      <c r="V74" s="5" t="n">
        <v>0</v>
      </c>
      <c r="W74" s="12" t="s">
        <v>159</v>
      </c>
      <c r="X74" s="12" t="n">
        <v>7</v>
      </c>
      <c r="Y74" s="4" t="s">
        <v>174</v>
      </c>
    </row>
    <row r="75" customFormat="false" ht="23.85" hidden="false" customHeight="false" outlineLevel="0" collapsed="false">
      <c r="A75" s="5" t="n">
        <v>43301</v>
      </c>
      <c r="B75" s="5" t="s">
        <v>66</v>
      </c>
      <c r="C75" s="5" t="s">
        <v>458</v>
      </c>
      <c r="D75" s="4" t="s">
        <v>32</v>
      </c>
      <c r="E75" s="4" t="s">
        <v>171</v>
      </c>
      <c r="F75" s="4" t="s">
        <v>166</v>
      </c>
      <c r="G75" s="4" t="s">
        <v>459</v>
      </c>
      <c r="H75" s="4" t="s">
        <v>460</v>
      </c>
      <c r="I75" s="12" t="s">
        <v>158</v>
      </c>
      <c r="J75" s="4"/>
      <c r="K75" s="5" t="s">
        <v>159</v>
      </c>
      <c r="L75" s="4"/>
      <c r="M75" s="12" t="s">
        <v>159</v>
      </c>
      <c r="N75" s="4"/>
      <c r="O75" s="12" t="s">
        <v>159</v>
      </c>
      <c r="P75" s="4"/>
      <c r="Q75" s="12" t="s">
        <v>159</v>
      </c>
      <c r="R75" s="5" t="n">
        <v>0</v>
      </c>
      <c r="S75" s="12" t="s">
        <v>159</v>
      </c>
      <c r="T75" s="4"/>
      <c r="U75" s="12" t="s">
        <v>159</v>
      </c>
      <c r="V75" s="5" t="n">
        <v>0</v>
      </c>
      <c r="W75" s="12" t="s">
        <v>159</v>
      </c>
      <c r="X75" s="12" t="n">
        <v>7</v>
      </c>
      <c r="Y75" s="4" t="s">
        <v>174</v>
      </c>
    </row>
    <row r="76" customFormat="false" ht="23.85" hidden="false" customHeight="false" outlineLevel="0" collapsed="false">
      <c r="A76" s="5" t="n">
        <v>43302</v>
      </c>
      <c r="B76" s="5" t="s">
        <v>66</v>
      </c>
      <c r="C76" s="5" t="s">
        <v>461</v>
      </c>
      <c r="D76" s="4" t="s">
        <v>30</v>
      </c>
      <c r="E76" s="4" t="s">
        <v>171</v>
      </c>
      <c r="F76" s="4" t="s">
        <v>383</v>
      </c>
      <c r="G76" s="4" t="s">
        <v>462</v>
      </c>
      <c r="H76" s="4" t="s">
        <v>463</v>
      </c>
      <c r="I76" s="12" t="s">
        <v>158</v>
      </c>
      <c r="J76" s="4"/>
      <c r="K76" s="5" t="s">
        <v>159</v>
      </c>
      <c r="L76" s="4"/>
      <c r="M76" s="12" t="s">
        <v>159</v>
      </c>
      <c r="N76" s="4"/>
      <c r="O76" s="12" t="s">
        <v>159</v>
      </c>
      <c r="P76" s="4" t="s">
        <v>394</v>
      </c>
      <c r="Q76" s="12" t="s">
        <v>158</v>
      </c>
      <c r="R76" s="5" t="n">
        <v>0</v>
      </c>
      <c r="S76" s="12" t="s">
        <v>159</v>
      </c>
      <c r="T76" s="4" t="s">
        <v>188</v>
      </c>
      <c r="U76" s="12" t="s">
        <v>158</v>
      </c>
      <c r="V76" s="5" t="n">
        <v>0</v>
      </c>
      <c r="W76" s="12" t="s">
        <v>159</v>
      </c>
      <c r="X76" s="12" t="n">
        <v>5</v>
      </c>
      <c r="Y76" s="4" t="s">
        <v>235</v>
      </c>
    </row>
    <row r="77" customFormat="false" ht="23.85" hidden="false" customHeight="false" outlineLevel="0" collapsed="false">
      <c r="A77" s="5" t="n">
        <v>43303</v>
      </c>
      <c r="B77" s="5" t="s">
        <v>66</v>
      </c>
      <c r="C77" s="5" t="s">
        <v>461</v>
      </c>
      <c r="D77" s="4" t="s">
        <v>32</v>
      </c>
      <c r="E77" s="4" t="s">
        <v>171</v>
      </c>
      <c r="F77" s="4" t="s">
        <v>166</v>
      </c>
      <c r="G77" s="4" t="s">
        <v>464</v>
      </c>
      <c r="H77" s="4" t="s">
        <v>464</v>
      </c>
      <c r="I77" s="12" t="s">
        <v>158</v>
      </c>
      <c r="J77" s="4"/>
      <c r="K77" s="5" t="s">
        <v>159</v>
      </c>
      <c r="L77" s="4" t="s">
        <v>465</v>
      </c>
      <c r="M77" s="12" t="s">
        <v>158</v>
      </c>
      <c r="N77" s="4"/>
      <c r="O77" s="12" t="s">
        <v>159</v>
      </c>
      <c r="P77" s="4"/>
      <c r="Q77" s="12" t="s">
        <v>159</v>
      </c>
      <c r="R77" s="5" t="n">
        <v>0</v>
      </c>
      <c r="S77" s="12" t="s">
        <v>159</v>
      </c>
      <c r="T77" s="4"/>
      <c r="U77" s="12" t="s">
        <v>159</v>
      </c>
      <c r="V77" s="5" t="n">
        <v>0</v>
      </c>
      <c r="W77" s="12" t="s">
        <v>159</v>
      </c>
      <c r="X77" s="12" t="n">
        <v>6</v>
      </c>
      <c r="Y77" s="4" t="s">
        <v>466</v>
      </c>
    </row>
    <row r="78" customFormat="false" ht="23.85" hidden="false" customHeight="false" outlineLevel="0" collapsed="false">
      <c r="A78" s="5" t="n">
        <v>43304</v>
      </c>
      <c r="B78" s="5" t="s">
        <v>66</v>
      </c>
      <c r="C78" s="5" t="s">
        <v>467</v>
      </c>
      <c r="D78" s="4" t="s">
        <v>30</v>
      </c>
      <c r="E78" s="4" t="s">
        <v>171</v>
      </c>
      <c r="F78" s="4" t="s">
        <v>383</v>
      </c>
      <c r="G78" s="4" t="s">
        <v>468</v>
      </c>
      <c r="H78" s="4" t="s">
        <v>469</v>
      </c>
      <c r="I78" s="12" t="s">
        <v>158</v>
      </c>
      <c r="J78" s="4"/>
      <c r="K78" s="5" t="s">
        <v>159</v>
      </c>
      <c r="L78" s="4"/>
      <c r="M78" s="12" t="s">
        <v>159</v>
      </c>
      <c r="N78" s="4"/>
      <c r="O78" s="12" t="s">
        <v>159</v>
      </c>
      <c r="P78" s="4" t="s">
        <v>394</v>
      </c>
      <c r="Q78" s="12" t="s">
        <v>158</v>
      </c>
      <c r="R78" s="5" t="n">
        <v>0</v>
      </c>
      <c r="S78" s="12" t="s">
        <v>159</v>
      </c>
      <c r="T78" s="4" t="s">
        <v>188</v>
      </c>
      <c r="U78" s="12" t="s">
        <v>158</v>
      </c>
      <c r="V78" s="5" t="n">
        <v>0</v>
      </c>
      <c r="W78" s="12" t="s">
        <v>159</v>
      </c>
      <c r="X78" s="12" t="n">
        <v>5</v>
      </c>
      <c r="Y78" s="4" t="s">
        <v>235</v>
      </c>
    </row>
    <row r="79" customFormat="false" ht="23.85" hidden="false" customHeight="false" outlineLevel="0" collapsed="false">
      <c r="A79" s="5" t="n">
        <v>43305</v>
      </c>
      <c r="B79" s="5" t="s">
        <v>66</v>
      </c>
      <c r="C79" s="5" t="s">
        <v>470</v>
      </c>
      <c r="D79" s="4" t="s">
        <v>30</v>
      </c>
      <c r="E79" s="4" t="s">
        <v>171</v>
      </c>
      <c r="F79" s="4" t="s">
        <v>383</v>
      </c>
      <c r="G79" s="4" t="s">
        <v>471</v>
      </c>
      <c r="H79" s="4" t="s">
        <v>472</v>
      </c>
      <c r="I79" s="12" t="s">
        <v>158</v>
      </c>
      <c r="J79" s="4"/>
      <c r="K79" s="5" t="s">
        <v>159</v>
      </c>
      <c r="L79" s="4"/>
      <c r="M79" s="12" t="s">
        <v>159</v>
      </c>
      <c r="N79" s="4"/>
      <c r="O79" s="12" t="s">
        <v>159</v>
      </c>
      <c r="P79" s="4" t="s">
        <v>205</v>
      </c>
      <c r="Q79" s="12" t="s">
        <v>158</v>
      </c>
      <c r="R79" s="5" t="n">
        <v>0</v>
      </c>
      <c r="S79" s="12" t="s">
        <v>159</v>
      </c>
      <c r="T79" s="4" t="s">
        <v>188</v>
      </c>
      <c r="U79" s="12" t="s">
        <v>158</v>
      </c>
      <c r="V79" s="5" t="n">
        <v>0</v>
      </c>
      <c r="W79" s="12" t="s">
        <v>159</v>
      </c>
      <c r="X79" s="12" t="n">
        <v>5</v>
      </c>
      <c r="Y79" s="4" t="s">
        <v>235</v>
      </c>
    </row>
    <row r="80" customFormat="false" ht="23.85" hidden="false" customHeight="false" outlineLevel="0" collapsed="false">
      <c r="A80" s="5" t="n">
        <v>43306</v>
      </c>
      <c r="B80" s="5" t="s">
        <v>66</v>
      </c>
      <c r="C80" s="5" t="s">
        <v>473</v>
      </c>
      <c r="D80" s="4" t="s">
        <v>32</v>
      </c>
      <c r="E80" s="4" t="s">
        <v>171</v>
      </c>
      <c r="F80" s="4" t="s">
        <v>352</v>
      </c>
      <c r="G80" s="4" t="s">
        <v>474</v>
      </c>
      <c r="H80" s="4" t="s">
        <v>475</v>
      </c>
      <c r="I80" s="12" t="s">
        <v>158</v>
      </c>
      <c r="J80" s="4"/>
      <c r="K80" s="5" t="s">
        <v>159</v>
      </c>
      <c r="L80" s="4"/>
      <c r="M80" s="12" t="s">
        <v>159</v>
      </c>
      <c r="N80" s="4"/>
      <c r="O80" s="12" t="s">
        <v>159</v>
      </c>
      <c r="P80" s="4"/>
      <c r="Q80" s="12" t="s">
        <v>159</v>
      </c>
      <c r="R80" s="5" t="n">
        <v>0</v>
      </c>
      <c r="S80" s="12" t="s">
        <v>159</v>
      </c>
      <c r="T80" s="4"/>
      <c r="U80" s="12" t="s">
        <v>159</v>
      </c>
      <c r="V80" s="5" t="n">
        <v>0</v>
      </c>
      <c r="W80" s="12" t="s">
        <v>159</v>
      </c>
      <c r="X80" s="12" t="n">
        <v>7</v>
      </c>
      <c r="Y80" s="4" t="s">
        <v>174</v>
      </c>
    </row>
    <row r="81" customFormat="false" ht="23.85" hidden="false" customHeight="false" outlineLevel="0" collapsed="false">
      <c r="A81" s="5" t="n">
        <v>43307</v>
      </c>
      <c r="B81" s="5" t="s">
        <v>66</v>
      </c>
      <c r="C81" s="5" t="s">
        <v>476</v>
      </c>
      <c r="D81" s="4" t="s">
        <v>30</v>
      </c>
      <c r="E81" s="4" t="s">
        <v>171</v>
      </c>
      <c r="F81" s="4" t="s">
        <v>383</v>
      </c>
      <c r="G81" s="4" t="s">
        <v>477</v>
      </c>
      <c r="H81" s="4" t="s">
        <v>478</v>
      </c>
      <c r="I81" s="12" t="s">
        <v>158</v>
      </c>
      <c r="J81" s="4"/>
      <c r="K81" s="5" t="s">
        <v>159</v>
      </c>
      <c r="L81" s="4"/>
      <c r="M81" s="12" t="s">
        <v>159</v>
      </c>
      <c r="N81" s="4"/>
      <c r="O81" s="12" t="s">
        <v>159</v>
      </c>
      <c r="P81" s="4" t="s">
        <v>394</v>
      </c>
      <c r="Q81" s="12" t="s">
        <v>158</v>
      </c>
      <c r="R81" s="5" t="n">
        <v>0</v>
      </c>
      <c r="S81" s="12" t="s">
        <v>159</v>
      </c>
      <c r="T81" s="4" t="s">
        <v>188</v>
      </c>
      <c r="U81" s="12" t="s">
        <v>158</v>
      </c>
      <c r="V81" s="5" t="n">
        <v>0</v>
      </c>
      <c r="W81" s="12" t="s">
        <v>159</v>
      </c>
      <c r="X81" s="12" t="n">
        <v>5</v>
      </c>
      <c r="Y81" s="4" t="s">
        <v>235</v>
      </c>
    </row>
    <row r="82" customFormat="false" ht="23.85" hidden="false" customHeight="false" outlineLevel="0" collapsed="false">
      <c r="A82" s="5" t="n">
        <v>43308</v>
      </c>
      <c r="B82" s="5" t="s">
        <v>66</v>
      </c>
      <c r="C82" s="5" t="s">
        <v>479</v>
      </c>
      <c r="D82" s="4" t="s">
        <v>30</v>
      </c>
      <c r="E82" s="4" t="s">
        <v>171</v>
      </c>
      <c r="F82" s="4" t="s">
        <v>383</v>
      </c>
      <c r="G82" s="4" t="s">
        <v>480</v>
      </c>
      <c r="H82" s="4" t="s">
        <v>481</v>
      </c>
      <c r="I82" s="12" t="s">
        <v>158</v>
      </c>
      <c r="J82" s="4"/>
      <c r="K82" s="5" t="s">
        <v>159</v>
      </c>
      <c r="L82" s="4"/>
      <c r="M82" s="12" t="s">
        <v>159</v>
      </c>
      <c r="N82" s="4"/>
      <c r="O82" s="12" t="s">
        <v>159</v>
      </c>
      <c r="P82" s="4" t="s">
        <v>327</v>
      </c>
      <c r="Q82" s="12" t="s">
        <v>158</v>
      </c>
      <c r="R82" s="5" t="n">
        <v>0</v>
      </c>
      <c r="S82" s="12" t="s">
        <v>159</v>
      </c>
      <c r="T82" s="4"/>
      <c r="U82" s="12" t="s">
        <v>159</v>
      </c>
      <c r="V82" s="5" t="n">
        <v>0</v>
      </c>
      <c r="W82" s="12" t="s">
        <v>159</v>
      </c>
      <c r="X82" s="12" t="n">
        <v>6</v>
      </c>
      <c r="Y82" s="4" t="s">
        <v>267</v>
      </c>
    </row>
    <row r="83" customFormat="false" ht="23.85" hidden="false" customHeight="false" outlineLevel="0" collapsed="false">
      <c r="A83" s="5" t="n">
        <v>43309</v>
      </c>
      <c r="B83" s="5" t="s">
        <v>67</v>
      </c>
      <c r="C83" s="5" t="s">
        <v>482</v>
      </c>
      <c r="D83" s="4" t="s">
        <v>22</v>
      </c>
      <c r="E83" s="4" t="s">
        <v>176</v>
      </c>
      <c r="F83" s="4" t="s">
        <v>155</v>
      </c>
      <c r="G83" s="4" t="s">
        <v>483</v>
      </c>
      <c r="H83" s="4" t="s">
        <v>484</v>
      </c>
      <c r="I83" s="12" t="s">
        <v>158</v>
      </c>
      <c r="J83" s="4"/>
      <c r="K83" s="5" t="s">
        <v>159</v>
      </c>
      <c r="L83" s="4" t="s">
        <v>168</v>
      </c>
      <c r="M83" s="12" t="s">
        <v>158</v>
      </c>
      <c r="N83" s="4"/>
      <c r="O83" s="12" t="s">
        <v>159</v>
      </c>
      <c r="P83" s="4" t="s">
        <v>400</v>
      </c>
      <c r="Q83" s="12" t="s">
        <v>158</v>
      </c>
      <c r="R83" s="5" t="n">
        <v>0</v>
      </c>
      <c r="S83" s="12" t="s">
        <v>159</v>
      </c>
      <c r="T83" s="4"/>
      <c r="U83" s="12" t="s">
        <v>159</v>
      </c>
      <c r="V83" s="5" t="n">
        <v>0</v>
      </c>
      <c r="W83" s="12" t="s">
        <v>159</v>
      </c>
      <c r="X83" s="12" t="n">
        <v>5</v>
      </c>
      <c r="Y83" s="4" t="s">
        <v>310</v>
      </c>
    </row>
    <row r="84" customFormat="false" ht="23.85" hidden="false" customHeight="false" outlineLevel="0" collapsed="false">
      <c r="A84" s="5" t="n">
        <v>43312</v>
      </c>
      <c r="B84" s="5" t="s">
        <v>67</v>
      </c>
      <c r="C84" s="5" t="s">
        <v>485</v>
      </c>
      <c r="D84" s="4" t="s">
        <v>22</v>
      </c>
      <c r="E84" s="4" t="s">
        <v>176</v>
      </c>
      <c r="F84" s="4" t="s">
        <v>166</v>
      </c>
      <c r="G84" s="4" t="s">
        <v>486</v>
      </c>
      <c r="H84" s="4" t="s">
        <v>487</v>
      </c>
      <c r="I84" s="12" t="s">
        <v>158</v>
      </c>
      <c r="J84" s="4"/>
      <c r="K84" s="5" t="s">
        <v>159</v>
      </c>
      <c r="L84" s="4"/>
      <c r="M84" s="12" t="s">
        <v>159</v>
      </c>
      <c r="N84" s="4" t="s">
        <v>488</v>
      </c>
      <c r="O84" s="12" t="s">
        <v>158</v>
      </c>
      <c r="P84" s="4" t="s">
        <v>400</v>
      </c>
      <c r="Q84" s="12" t="s">
        <v>158</v>
      </c>
      <c r="R84" s="5" t="n">
        <v>0</v>
      </c>
      <c r="S84" s="12" t="s">
        <v>159</v>
      </c>
      <c r="T84" s="4"/>
      <c r="U84" s="12" t="s">
        <v>159</v>
      </c>
      <c r="V84" s="5" t="n">
        <v>0</v>
      </c>
      <c r="W84" s="12" t="s">
        <v>159</v>
      </c>
      <c r="X84" s="12" t="n">
        <v>5</v>
      </c>
      <c r="Y84" s="4" t="s">
        <v>240</v>
      </c>
    </row>
    <row r="85" customFormat="false" ht="23.85" hidden="false" customHeight="false" outlineLevel="0" collapsed="false">
      <c r="A85" s="5" t="n">
        <v>43313</v>
      </c>
      <c r="B85" s="5" t="s">
        <v>67</v>
      </c>
      <c r="C85" s="5" t="s">
        <v>489</v>
      </c>
      <c r="D85" s="4" t="s">
        <v>22</v>
      </c>
      <c r="E85" s="4" t="s">
        <v>176</v>
      </c>
      <c r="F85" s="4" t="s">
        <v>155</v>
      </c>
      <c r="G85" s="4" t="s">
        <v>490</v>
      </c>
      <c r="H85" s="4" t="s">
        <v>491</v>
      </c>
      <c r="I85" s="12" t="s">
        <v>158</v>
      </c>
      <c r="J85" s="4"/>
      <c r="K85" s="5" t="s">
        <v>159</v>
      </c>
      <c r="L85" s="4"/>
      <c r="M85" s="12" t="s">
        <v>159</v>
      </c>
      <c r="N85" s="4"/>
      <c r="O85" s="12" t="s">
        <v>159</v>
      </c>
      <c r="P85" s="4" t="s">
        <v>400</v>
      </c>
      <c r="Q85" s="12" t="s">
        <v>158</v>
      </c>
      <c r="R85" s="5" t="n">
        <v>0</v>
      </c>
      <c r="S85" s="12" t="s">
        <v>159</v>
      </c>
      <c r="T85" s="4"/>
      <c r="U85" s="12" t="s">
        <v>159</v>
      </c>
      <c r="V85" s="5" t="n">
        <v>0</v>
      </c>
      <c r="W85" s="12" t="s">
        <v>159</v>
      </c>
      <c r="X85" s="12" t="n">
        <v>6</v>
      </c>
      <c r="Y85" s="4" t="s">
        <v>267</v>
      </c>
    </row>
    <row r="86" customFormat="false" ht="23.85" hidden="false" customHeight="false" outlineLevel="0" collapsed="false">
      <c r="A86" s="5" t="n">
        <v>43314</v>
      </c>
      <c r="B86" s="5" t="s">
        <v>67</v>
      </c>
      <c r="C86" s="5" t="s">
        <v>492</v>
      </c>
      <c r="D86" s="4" t="s">
        <v>34</v>
      </c>
      <c r="E86" s="4" t="s">
        <v>154</v>
      </c>
      <c r="F86" s="4" t="s">
        <v>166</v>
      </c>
      <c r="G86" s="4" t="s">
        <v>493</v>
      </c>
      <c r="H86" s="4" t="s">
        <v>494</v>
      </c>
      <c r="I86" s="12" t="s">
        <v>158</v>
      </c>
      <c r="J86" s="4"/>
      <c r="K86" s="5" t="s">
        <v>159</v>
      </c>
      <c r="L86" s="4" t="s">
        <v>495</v>
      </c>
      <c r="M86" s="12" t="s">
        <v>158</v>
      </c>
      <c r="N86" s="4" t="s">
        <v>496</v>
      </c>
      <c r="O86" s="12" t="s">
        <v>158</v>
      </c>
      <c r="P86" s="4" t="s">
        <v>163</v>
      </c>
      <c r="Q86" s="12" t="s">
        <v>158</v>
      </c>
      <c r="R86" s="5" t="n">
        <v>0</v>
      </c>
      <c r="S86" s="12" t="s">
        <v>159</v>
      </c>
      <c r="T86" s="4" t="s">
        <v>163</v>
      </c>
      <c r="U86" s="12" t="s">
        <v>158</v>
      </c>
      <c r="V86" s="5" t="n">
        <v>0</v>
      </c>
      <c r="W86" s="12" t="s">
        <v>159</v>
      </c>
      <c r="X86" s="12" t="n">
        <v>3</v>
      </c>
      <c r="Y86" s="4" t="s">
        <v>164</v>
      </c>
    </row>
    <row r="87" customFormat="false" ht="23.85" hidden="false" customHeight="false" outlineLevel="0" collapsed="false">
      <c r="A87" s="5" t="n">
        <v>43315</v>
      </c>
      <c r="B87" s="5" t="s">
        <v>67</v>
      </c>
      <c r="C87" s="5" t="s">
        <v>497</v>
      </c>
      <c r="D87" s="4" t="s">
        <v>34</v>
      </c>
      <c r="E87" s="4" t="s">
        <v>154</v>
      </c>
      <c r="F87" s="4" t="s">
        <v>498</v>
      </c>
      <c r="G87" s="4" t="s">
        <v>499</v>
      </c>
      <c r="H87" s="4" t="s">
        <v>500</v>
      </c>
      <c r="I87" s="12" t="s">
        <v>158</v>
      </c>
      <c r="J87" s="4"/>
      <c r="K87" s="5" t="s">
        <v>159</v>
      </c>
      <c r="L87" s="4" t="s">
        <v>501</v>
      </c>
      <c r="M87" s="12" t="s">
        <v>158</v>
      </c>
      <c r="N87" s="4" t="s">
        <v>502</v>
      </c>
      <c r="O87" s="12" t="s">
        <v>158</v>
      </c>
      <c r="P87" s="4" t="s">
        <v>163</v>
      </c>
      <c r="Q87" s="12" t="s">
        <v>158</v>
      </c>
      <c r="R87" s="5" t="n">
        <v>0</v>
      </c>
      <c r="S87" s="12" t="s">
        <v>159</v>
      </c>
      <c r="T87" s="4" t="s">
        <v>163</v>
      </c>
      <c r="U87" s="12" t="s">
        <v>158</v>
      </c>
      <c r="V87" s="5" t="n">
        <v>0</v>
      </c>
      <c r="W87" s="12" t="s">
        <v>159</v>
      </c>
      <c r="X87" s="12" t="n">
        <v>3</v>
      </c>
      <c r="Y87" s="4" t="s">
        <v>164</v>
      </c>
    </row>
    <row r="88" customFormat="false" ht="23.85" hidden="false" customHeight="false" outlineLevel="0" collapsed="false">
      <c r="A88" s="5" t="n">
        <v>43316</v>
      </c>
      <c r="B88" s="5" t="s">
        <v>67</v>
      </c>
      <c r="C88" s="5" t="s">
        <v>503</v>
      </c>
      <c r="D88" s="4" t="s">
        <v>34</v>
      </c>
      <c r="E88" s="4" t="s">
        <v>154</v>
      </c>
      <c r="F88" s="4" t="s">
        <v>166</v>
      </c>
      <c r="G88" s="4" t="s">
        <v>504</v>
      </c>
      <c r="H88" s="4" t="s">
        <v>505</v>
      </c>
      <c r="I88" s="12" t="s">
        <v>158</v>
      </c>
      <c r="J88" s="4"/>
      <c r="K88" s="5" t="s">
        <v>159</v>
      </c>
      <c r="L88" s="4" t="s">
        <v>506</v>
      </c>
      <c r="M88" s="12" t="s">
        <v>158</v>
      </c>
      <c r="N88" s="4" t="s">
        <v>505</v>
      </c>
      <c r="O88" s="12" t="s">
        <v>158</v>
      </c>
      <c r="P88" s="4" t="s">
        <v>169</v>
      </c>
      <c r="Q88" s="12" t="s">
        <v>158</v>
      </c>
      <c r="R88" s="5" t="n">
        <v>0</v>
      </c>
      <c r="S88" s="12" t="s">
        <v>159</v>
      </c>
      <c r="T88" s="4" t="s">
        <v>163</v>
      </c>
      <c r="U88" s="12" t="s">
        <v>158</v>
      </c>
      <c r="V88" s="5" t="n">
        <v>0</v>
      </c>
      <c r="W88" s="12" t="s">
        <v>159</v>
      </c>
      <c r="X88" s="12" t="n">
        <v>3</v>
      </c>
      <c r="Y88" s="4" t="s">
        <v>164</v>
      </c>
    </row>
    <row r="89" customFormat="false" ht="23.85" hidden="false" customHeight="false" outlineLevel="0" collapsed="false">
      <c r="A89" s="5" t="n">
        <v>43317</v>
      </c>
      <c r="B89" s="5" t="s">
        <v>67</v>
      </c>
      <c r="C89" s="5" t="s">
        <v>507</v>
      </c>
      <c r="D89" s="4" t="s">
        <v>22</v>
      </c>
      <c r="E89" s="4" t="s">
        <v>176</v>
      </c>
      <c r="F89" s="4" t="s">
        <v>155</v>
      </c>
      <c r="G89" s="4" t="s">
        <v>508</v>
      </c>
      <c r="H89" s="4" t="s">
        <v>509</v>
      </c>
      <c r="I89" s="12" t="s">
        <v>158</v>
      </c>
      <c r="J89" s="4"/>
      <c r="K89" s="5" t="s">
        <v>159</v>
      </c>
      <c r="L89" s="4" t="s">
        <v>342</v>
      </c>
      <c r="M89" s="12" t="s">
        <v>158</v>
      </c>
      <c r="N89" s="4" t="s">
        <v>376</v>
      </c>
      <c r="O89" s="12" t="s">
        <v>158</v>
      </c>
      <c r="P89" s="4" t="s">
        <v>400</v>
      </c>
      <c r="Q89" s="12" t="s">
        <v>158</v>
      </c>
      <c r="R89" s="5" t="n">
        <v>0</v>
      </c>
      <c r="S89" s="12" t="s">
        <v>159</v>
      </c>
      <c r="T89" s="4"/>
      <c r="U89" s="12" t="s">
        <v>159</v>
      </c>
      <c r="V89" s="5" t="n">
        <v>0</v>
      </c>
      <c r="W89" s="12" t="s">
        <v>159</v>
      </c>
      <c r="X89" s="12" t="n">
        <v>4</v>
      </c>
      <c r="Y89" s="4" t="s">
        <v>182</v>
      </c>
    </row>
    <row r="90" customFormat="false" ht="23.85" hidden="false" customHeight="false" outlineLevel="0" collapsed="false">
      <c r="A90" s="5" t="n">
        <v>43353</v>
      </c>
      <c r="B90" s="5" t="s">
        <v>67</v>
      </c>
      <c r="C90" s="5" t="s">
        <v>510</v>
      </c>
      <c r="D90" s="4" t="s">
        <v>28</v>
      </c>
      <c r="E90" s="4" t="s">
        <v>171</v>
      </c>
      <c r="F90" s="4" t="s">
        <v>383</v>
      </c>
      <c r="G90" s="4" t="s">
        <v>511</v>
      </c>
      <c r="H90" s="4"/>
      <c r="I90" s="12" t="s">
        <v>159</v>
      </c>
      <c r="J90" s="4"/>
      <c r="K90" s="5" t="s">
        <v>159</v>
      </c>
      <c r="L90" s="4"/>
      <c r="M90" s="12" t="s">
        <v>159</v>
      </c>
      <c r="N90" s="4"/>
      <c r="O90" s="12" t="s">
        <v>159</v>
      </c>
      <c r="P90" s="4"/>
      <c r="Q90" s="12" t="s">
        <v>159</v>
      </c>
      <c r="R90" s="5" t="n">
        <v>0</v>
      </c>
      <c r="S90" s="12" t="s">
        <v>159</v>
      </c>
      <c r="T90" s="4"/>
      <c r="U90" s="12" t="s">
        <v>159</v>
      </c>
      <c r="V90" s="5" t="n">
        <v>0</v>
      </c>
      <c r="W90" s="12" t="s">
        <v>159</v>
      </c>
      <c r="X90" s="12" t="n">
        <v>8</v>
      </c>
      <c r="Y90" s="4" t="s">
        <v>285</v>
      </c>
    </row>
    <row r="91" customFormat="false" ht="23.85" hidden="false" customHeight="false" outlineLevel="0" collapsed="false">
      <c r="A91" s="5" t="n">
        <v>43356</v>
      </c>
      <c r="B91" s="5" t="s">
        <v>67</v>
      </c>
      <c r="C91" s="5" t="s">
        <v>317</v>
      </c>
      <c r="D91" s="4" t="s">
        <v>24</v>
      </c>
      <c r="E91" s="4" t="s">
        <v>154</v>
      </c>
      <c r="F91" s="4" t="s">
        <v>257</v>
      </c>
      <c r="G91" s="4" t="s">
        <v>512</v>
      </c>
      <c r="H91" s="4"/>
      <c r="I91" s="12" t="s">
        <v>159</v>
      </c>
      <c r="J91" s="4"/>
      <c r="K91" s="5" t="s">
        <v>159</v>
      </c>
      <c r="L91" s="4"/>
      <c r="M91" s="12" t="s">
        <v>159</v>
      </c>
      <c r="N91" s="4"/>
      <c r="O91" s="12" t="s">
        <v>159</v>
      </c>
      <c r="P91" s="4"/>
      <c r="Q91" s="12" t="s">
        <v>159</v>
      </c>
      <c r="R91" s="5" t="n">
        <v>0</v>
      </c>
      <c r="S91" s="12" t="s">
        <v>159</v>
      </c>
      <c r="T91" s="4"/>
      <c r="U91" s="12" t="s">
        <v>159</v>
      </c>
      <c r="V91" s="5" t="n">
        <v>0</v>
      </c>
      <c r="W91" s="12" t="s">
        <v>159</v>
      </c>
      <c r="X91" s="12" t="n">
        <v>8</v>
      </c>
      <c r="Y91" s="4" t="s">
        <v>285</v>
      </c>
    </row>
    <row r="92" customFormat="false" ht="23.85" hidden="false" customHeight="false" outlineLevel="0" collapsed="false">
      <c r="A92" s="5" t="n">
        <v>43357</v>
      </c>
      <c r="B92" s="5" t="s">
        <v>67</v>
      </c>
      <c r="C92" s="5" t="s">
        <v>513</v>
      </c>
      <c r="D92" s="4" t="s">
        <v>24</v>
      </c>
      <c r="E92" s="4" t="s">
        <v>154</v>
      </c>
      <c r="F92" s="4" t="s">
        <v>383</v>
      </c>
      <c r="G92" s="4" t="s">
        <v>514</v>
      </c>
      <c r="H92" s="4"/>
      <c r="I92" s="12" t="s">
        <v>159</v>
      </c>
      <c r="J92" s="4"/>
      <c r="K92" s="5" t="s">
        <v>159</v>
      </c>
      <c r="L92" s="4"/>
      <c r="M92" s="12" t="s">
        <v>159</v>
      </c>
      <c r="N92" s="4" t="s">
        <v>514</v>
      </c>
      <c r="O92" s="12" t="s">
        <v>158</v>
      </c>
      <c r="P92" s="4" t="s">
        <v>400</v>
      </c>
      <c r="Q92" s="12" t="s">
        <v>158</v>
      </c>
      <c r="R92" s="5" t="n">
        <v>0</v>
      </c>
      <c r="S92" s="12" t="s">
        <v>159</v>
      </c>
      <c r="T92" s="4"/>
      <c r="U92" s="12" t="s">
        <v>159</v>
      </c>
      <c r="V92" s="5" t="n">
        <v>0</v>
      </c>
      <c r="W92" s="12" t="s">
        <v>159</v>
      </c>
      <c r="X92" s="12" t="n">
        <v>6</v>
      </c>
      <c r="Y92" s="4" t="s">
        <v>437</v>
      </c>
    </row>
    <row r="93" customFormat="false" ht="23.85" hidden="false" customHeight="false" outlineLevel="0" collapsed="false">
      <c r="A93" s="5" t="n">
        <v>43358</v>
      </c>
      <c r="B93" s="5" t="s">
        <v>67</v>
      </c>
      <c r="C93" s="5" t="s">
        <v>515</v>
      </c>
      <c r="D93" s="4" t="s">
        <v>30</v>
      </c>
      <c r="E93" s="4" t="s">
        <v>171</v>
      </c>
      <c r="F93" s="4" t="s">
        <v>516</v>
      </c>
      <c r="G93" s="4" t="s">
        <v>468</v>
      </c>
      <c r="H93" s="4" t="s">
        <v>469</v>
      </c>
      <c r="I93" s="12" t="s">
        <v>158</v>
      </c>
      <c r="J93" s="4"/>
      <c r="K93" s="5" t="s">
        <v>159</v>
      </c>
      <c r="L93" s="4"/>
      <c r="M93" s="12" t="s">
        <v>159</v>
      </c>
      <c r="N93" s="4"/>
      <c r="O93" s="12" t="s">
        <v>159</v>
      </c>
      <c r="P93" s="4" t="s">
        <v>163</v>
      </c>
      <c r="Q93" s="12" t="s">
        <v>158</v>
      </c>
      <c r="R93" s="5" t="n">
        <v>0</v>
      </c>
      <c r="S93" s="12" t="s">
        <v>159</v>
      </c>
      <c r="T93" s="4" t="s">
        <v>163</v>
      </c>
      <c r="U93" s="12" t="s">
        <v>158</v>
      </c>
      <c r="V93" s="5" t="n">
        <v>0</v>
      </c>
      <c r="W93" s="12" t="s">
        <v>159</v>
      </c>
      <c r="X93" s="12" t="n">
        <v>5</v>
      </c>
      <c r="Y93" s="4" t="s">
        <v>235</v>
      </c>
    </row>
    <row r="94" customFormat="false" ht="23.85" hidden="false" customHeight="false" outlineLevel="0" collapsed="false">
      <c r="A94" s="5" t="n">
        <v>43359</v>
      </c>
      <c r="B94" s="5" t="s">
        <v>67</v>
      </c>
      <c r="C94" s="5" t="s">
        <v>517</v>
      </c>
      <c r="D94" s="4" t="s">
        <v>30</v>
      </c>
      <c r="E94" s="4" t="s">
        <v>171</v>
      </c>
      <c r="F94" s="4" t="s">
        <v>383</v>
      </c>
      <c r="G94" s="4" t="s">
        <v>518</v>
      </c>
      <c r="H94" s="4" t="s">
        <v>519</v>
      </c>
      <c r="I94" s="12" t="s">
        <v>158</v>
      </c>
      <c r="J94" s="4"/>
      <c r="K94" s="5" t="s">
        <v>159</v>
      </c>
      <c r="L94" s="4" t="s">
        <v>520</v>
      </c>
      <c r="M94" s="12" t="s">
        <v>158</v>
      </c>
      <c r="N94" s="4"/>
      <c r="O94" s="12" t="s">
        <v>159</v>
      </c>
      <c r="P94" s="4" t="s">
        <v>163</v>
      </c>
      <c r="Q94" s="12" t="s">
        <v>158</v>
      </c>
      <c r="R94" s="5" t="n">
        <v>0</v>
      </c>
      <c r="S94" s="12" t="s">
        <v>159</v>
      </c>
      <c r="T94" s="4" t="s">
        <v>163</v>
      </c>
      <c r="U94" s="12" t="s">
        <v>158</v>
      </c>
      <c r="V94" s="5" t="n">
        <v>0</v>
      </c>
      <c r="W94" s="12" t="s">
        <v>159</v>
      </c>
      <c r="X94" s="12" t="n">
        <v>4</v>
      </c>
      <c r="Y94" s="4" t="s">
        <v>216</v>
      </c>
    </row>
    <row r="95" customFormat="false" ht="23.85" hidden="false" customHeight="false" outlineLevel="0" collapsed="false">
      <c r="A95" s="5" t="n">
        <v>43360</v>
      </c>
      <c r="B95" s="5" t="s">
        <v>67</v>
      </c>
      <c r="C95" s="5" t="s">
        <v>521</v>
      </c>
      <c r="D95" s="4" t="s">
        <v>30</v>
      </c>
      <c r="E95" s="4" t="s">
        <v>171</v>
      </c>
      <c r="F95" s="4" t="s">
        <v>383</v>
      </c>
      <c r="G95" s="4" t="s">
        <v>522</v>
      </c>
      <c r="H95" s="4" t="s">
        <v>523</v>
      </c>
      <c r="I95" s="12" t="s">
        <v>158</v>
      </c>
      <c r="J95" s="4"/>
      <c r="K95" s="5" t="s">
        <v>159</v>
      </c>
      <c r="L95" s="4" t="s">
        <v>524</v>
      </c>
      <c r="M95" s="12" t="s">
        <v>158</v>
      </c>
      <c r="N95" s="4"/>
      <c r="O95" s="12" t="s">
        <v>159</v>
      </c>
      <c r="P95" s="4" t="s">
        <v>163</v>
      </c>
      <c r="Q95" s="12" t="s">
        <v>158</v>
      </c>
      <c r="R95" s="5" t="n">
        <v>0</v>
      </c>
      <c r="S95" s="12" t="s">
        <v>159</v>
      </c>
      <c r="T95" s="4" t="s">
        <v>163</v>
      </c>
      <c r="U95" s="12" t="s">
        <v>158</v>
      </c>
      <c r="V95" s="5" t="n">
        <v>0</v>
      </c>
      <c r="W95" s="12" t="s">
        <v>159</v>
      </c>
      <c r="X95" s="12" t="n">
        <v>4</v>
      </c>
      <c r="Y95" s="4" t="s">
        <v>216</v>
      </c>
    </row>
    <row r="96" customFormat="false" ht="23.85" hidden="false" customHeight="false" outlineLevel="0" collapsed="false">
      <c r="A96" s="5" t="n">
        <v>43361</v>
      </c>
      <c r="B96" s="5" t="s">
        <v>67</v>
      </c>
      <c r="C96" s="5" t="s">
        <v>452</v>
      </c>
      <c r="D96" s="4" t="s">
        <v>30</v>
      </c>
      <c r="E96" s="4" t="s">
        <v>171</v>
      </c>
      <c r="F96" s="4" t="s">
        <v>383</v>
      </c>
      <c r="G96" s="4" t="s">
        <v>525</v>
      </c>
      <c r="H96" s="4" t="s">
        <v>496</v>
      </c>
      <c r="I96" s="12" t="s">
        <v>158</v>
      </c>
      <c r="J96" s="4"/>
      <c r="K96" s="5" t="s">
        <v>159</v>
      </c>
      <c r="L96" s="4" t="s">
        <v>526</v>
      </c>
      <c r="M96" s="12" t="s">
        <v>158</v>
      </c>
      <c r="N96" s="4"/>
      <c r="O96" s="12" t="s">
        <v>159</v>
      </c>
      <c r="P96" s="4" t="s">
        <v>163</v>
      </c>
      <c r="Q96" s="12" t="s">
        <v>158</v>
      </c>
      <c r="R96" s="5" t="n">
        <v>0</v>
      </c>
      <c r="S96" s="12" t="s">
        <v>159</v>
      </c>
      <c r="T96" s="4" t="s">
        <v>163</v>
      </c>
      <c r="U96" s="12" t="s">
        <v>158</v>
      </c>
      <c r="V96" s="5" t="n">
        <v>0</v>
      </c>
      <c r="W96" s="12" t="s">
        <v>159</v>
      </c>
      <c r="X96" s="12" t="n">
        <v>4</v>
      </c>
      <c r="Y96" s="4" t="s">
        <v>216</v>
      </c>
    </row>
    <row r="97" customFormat="false" ht="23.85" hidden="false" customHeight="false" outlineLevel="0" collapsed="false">
      <c r="A97" s="5" t="n">
        <v>43362</v>
      </c>
      <c r="B97" s="5" t="s">
        <v>67</v>
      </c>
      <c r="C97" s="5" t="s">
        <v>527</v>
      </c>
      <c r="D97" s="4" t="s">
        <v>32</v>
      </c>
      <c r="E97" s="4" t="s">
        <v>171</v>
      </c>
      <c r="F97" s="4" t="s">
        <v>166</v>
      </c>
      <c r="G97" s="4" t="s">
        <v>528</v>
      </c>
      <c r="H97" s="4" t="s">
        <v>529</v>
      </c>
      <c r="I97" s="12" t="s">
        <v>158</v>
      </c>
      <c r="J97" s="4"/>
      <c r="K97" s="5" t="s">
        <v>159</v>
      </c>
      <c r="L97" s="4"/>
      <c r="M97" s="12" t="s">
        <v>159</v>
      </c>
      <c r="N97" s="4"/>
      <c r="O97" s="12" t="s">
        <v>159</v>
      </c>
      <c r="P97" s="4"/>
      <c r="Q97" s="12" t="s">
        <v>159</v>
      </c>
      <c r="R97" s="5" t="n">
        <v>0</v>
      </c>
      <c r="S97" s="12" t="s">
        <v>159</v>
      </c>
      <c r="T97" s="4"/>
      <c r="U97" s="12" t="s">
        <v>159</v>
      </c>
      <c r="V97" s="5" t="n">
        <v>0</v>
      </c>
      <c r="W97" s="12" t="s">
        <v>159</v>
      </c>
      <c r="X97" s="12" t="n">
        <v>7</v>
      </c>
      <c r="Y97" s="4" t="s">
        <v>174</v>
      </c>
    </row>
    <row r="98" customFormat="false" ht="23.85" hidden="false" customHeight="false" outlineLevel="0" collapsed="false">
      <c r="A98" s="5" t="n">
        <v>43363</v>
      </c>
      <c r="B98" s="5" t="s">
        <v>69</v>
      </c>
      <c r="C98" s="5" t="s">
        <v>530</v>
      </c>
      <c r="D98" s="4" t="s">
        <v>34</v>
      </c>
      <c r="E98" s="4" t="s">
        <v>154</v>
      </c>
      <c r="F98" s="4" t="s">
        <v>155</v>
      </c>
      <c r="G98" s="4" t="s">
        <v>531</v>
      </c>
      <c r="H98" s="4" t="s">
        <v>532</v>
      </c>
      <c r="I98" s="12" t="s">
        <v>158</v>
      </c>
      <c r="J98" s="4"/>
      <c r="K98" s="5" t="s">
        <v>159</v>
      </c>
      <c r="L98" s="4" t="s">
        <v>533</v>
      </c>
      <c r="M98" s="12" t="s">
        <v>158</v>
      </c>
      <c r="N98" s="4" t="s">
        <v>534</v>
      </c>
      <c r="O98" s="12" t="s">
        <v>158</v>
      </c>
      <c r="P98" s="4" t="s">
        <v>169</v>
      </c>
      <c r="Q98" s="12" t="s">
        <v>158</v>
      </c>
      <c r="R98" s="5" t="n">
        <v>0</v>
      </c>
      <c r="S98" s="12" t="s">
        <v>159</v>
      </c>
      <c r="T98" s="4" t="s">
        <v>163</v>
      </c>
      <c r="U98" s="12" t="s">
        <v>158</v>
      </c>
      <c r="V98" s="5" t="n">
        <v>0</v>
      </c>
      <c r="W98" s="12" t="s">
        <v>159</v>
      </c>
      <c r="X98" s="12" t="n">
        <v>3</v>
      </c>
      <c r="Y98" s="4" t="s">
        <v>164</v>
      </c>
    </row>
    <row r="99" customFormat="false" ht="23.85" hidden="false" customHeight="false" outlineLevel="0" collapsed="false">
      <c r="A99" s="5" t="n">
        <v>43365</v>
      </c>
      <c r="B99" s="5" t="s">
        <v>69</v>
      </c>
      <c r="C99" s="5" t="s">
        <v>535</v>
      </c>
      <c r="D99" s="4" t="s">
        <v>28</v>
      </c>
      <c r="E99" s="4" t="s">
        <v>171</v>
      </c>
      <c r="F99" s="4" t="s">
        <v>383</v>
      </c>
      <c r="G99" s="4" t="s">
        <v>330</v>
      </c>
      <c r="H99" s="4"/>
      <c r="I99" s="12" t="s">
        <v>159</v>
      </c>
      <c r="J99" s="4"/>
      <c r="K99" s="5" t="s">
        <v>159</v>
      </c>
      <c r="L99" s="4"/>
      <c r="M99" s="12" t="s">
        <v>159</v>
      </c>
      <c r="N99" s="4"/>
      <c r="O99" s="12" t="s">
        <v>159</v>
      </c>
      <c r="P99" s="4"/>
      <c r="Q99" s="12" t="s">
        <v>159</v>
      </c>
      <c r="R99" s="5" t="n">
        <v>0</v>
      </c>
      <c r="S99" s="12" t="s">
        <v>159</v>
      </c>
      <c r="T99" s="4"/>
      <c r="U99" s="12" t="s">
        <v>159</v>
      </c>
      <c r="V99" s="5" t="n">
        <v>0</v>
      </c>
      <c r="W99" s="12" t="s">
        <v>159</v>
      </c>
      <c r="X99" s="12" t="n">
        <v>8</v>
      </c>
      <c r="Y99" s="4" t="s">
        <v>285</v>
      </c>
    </row>
    <row r="100" customFormat="false" ht="23.85" hidden="false" customHeight="false" outlineLevel="0" collapsed="false">
      <c r="A100" s="5" t="n">
        <v>43366</v>
      </c>
      <c r="B100" s="5" t="s">
        <v>69</v>
      </c>
      <c r="C100" s="5" t="s">
        <v>536</v>
      </c>
      <c r="D100" s="4" t="s">
        <v>20</v>
      </c>
      <c r="E100" s="4" t="s">
        <v>154</v>
      </c>
      <c r="F100" s="4" t="s">
        <v>155</v>
      </c>
      <c r="G100" s="4" t="s">
        <v>537</v>
      </c>
      <c r="H100" s="4"/>
      <c r="I100" s="12" t="s">
        <v>159</v>
      </c>
      <c r="J100" s="4" t="s">
        <v>538</v>
      </c>
      <c r="K100" s="5" t="s">
        <v>158</v>
      </c>
      <c r="L100" s="4" t="s">
        <v>539</v>
      </c>
      <c r="M100" s="12" t="s">
        <v>158</v>
      </c>
      <c r="N100" s="4" t="s">
        <v>540</v>
      </c>
      <c r="O100" s="12" t="s">
        <v>158</v>
      </c>
      <c r="P100" s="4" t="s">
        <v>541</v>
      </c>
      <c r="Q100" s="12" t="s">
        <v>158</v>
      </c>
      <c r="R100" s="5" t="n">
        <v>0</v>
      </c>
      <c r="S100" s="12" t="s">
        <v>159</v>
      </c>
      <c r="T100" s="4" t="s">
        <v>188</v>
      </c>
      <c r="U100" s="12" t="s">
        <v>158</v>
      </c>
      <c r="V100" s="5" t="n">
        <v>0</v>
      </c>
      <c r="W100" s="12" t="s">
        <v>159</v>
      </c>
      <c r="X100" s="12" t="n">
        <v>3</v>
      </c>
      <c r="Y100" s="4" t="s">
        <v>542</v>
      </c>
    </row>
    <row r="101" customFormat="false" ht="23.85" hidden="false" customHeight="false" outlineLevel="0" collapsed="false">
      <c r="A101" s="5" t="n">
        <v>43367</v>
      </c>
      <c r="B101" s="5" t="s">
        <v>69</v>
      </c>
      <c r="C101" s="5" t="s">
        <v>543</v>
      </c>
      <c r="D101" s="4" t="s">
        <v>34</v>
      </c>
      <c r="E101" s="4" t="s">
        <v>154</v>
      </c>
      <c r="F101" s="4" t="s">
        <v>166</v>
      </c>
      <c r="G101" s="4" t="s">
        <v>544</v>
      </c>
      <c r="H101" s="4" t="s">
        <v>545</v>
      </c>
      <c r="I101" s="12" t="s">
        <v>158</v>
      </c>
      <c r="J101" s="4"/>
      <c r="K101" s="5" t="s">
        <v>159</v>
      </c>
      <c r="L101" s="4" t="s">
        <v>546</v>
      </c>
      <c r="M101" s="12" t="s">
        <v>158</v>
      </c>
      <c r="N101" s="4" t="s">
        <v>547</v>
      </c>
      <c r="O101" s="12" t="s">
        <v>158</v>
      </c>
      <c r="P101" s="4" t="s">
        <v>169</v>
      </c>
      <c r="Q101" s="12" t="s">
        <v>158</v>
      </c>
      <c r="R101" s="5" t="n">
        <v>0</v>
      </c>
      <c r="S101" s="12" t="s">
        <v>159</v>
      </c>
      <c r="T101" s="4" t="s">
        <v>163</v>
      </c>
      <c r="U101" s="12" t="s">
        <v>158</v>
      </c>
      <c r="V101" s="5" t="n">
        <v>0</v>
      </c>
      <c r="W101" s="12" t="s">
        <v>159</v>
      </c>
      <c r="X101" s="12" t="n">
        <v>3</v>
      </c>
      <c r="Y101" s="4" t="s">
        <v>164</v>
      </c>
    </row>
    <row r="102" customFormat="false" ht="23.85" hidden="false" customHeight="false" outlineLevel="0" collapsed="false">
      <c r="A102" s="5" t="n">
        <v>43368</v>
      </c>
      <c r="B102" s="5" t="s">
        <v>69</v>
      </c>
      <c r="C102" s="5" t="s">
        <v>548</v>
      </c>
      <c r="D102" s="4" t="s">
        <v>20</v>
      </c>
      <c r="E102" s="4" t="s">
        <v>154</v>
      </c>
      <c r="F102" s="4" t="s">
        <v>155</v>
      </c>
      <c r="G102" s="4" t="s">
        <v>549</v>
      </c>
      <c r="H102" s="4" t="s">
        <v>550</v>
      </c>
      <c r="I102" s="12" t="s">
        <v>158</v>
      </c>
      <c r="J102" s="4"/>
      <c r="K102" s="5" t="s">
        <v>159</v>
      </c>
      <c r="L102" s="4"/>
      <c r="M102" s="12" t="s">
        <v>159</v>
      </c>
      <c r="N102" s="4" t="s">
        <v>488</v>
      </c>
      <c r="O102" s="12" t="s">
        <v>158</v>
      </c>
      <c r="P102" s="4" t="s">
        <v>551</v>
      </c>
      <c r="Q102" s="12" t="s">
        <v>158</v>
      </c>
      <c r="R102" s="5" t="n">
        <v>0</v>
      </c>
      <c r="S102" s="12" t="s">
        <v>159</v>
      </c>
      <c r="T102" s="4" t="s">
        <v>188</v>
      </c>
      <c r="U102" s="12" t="s">
        <v>158</v>
      </c>
      <c r="V102" s="5" t="n">
        <v>0</v>
      </c>
      <c r="W102" s="12" t="s">
        <v>159</v>
      </c>
      <c r="X102" s="12" t="n">
        <v>4</v>
      </c>
      <c r="Y102" s="4" t="s">
        <v>321</v>
      </c>
    </row>
    <row r="103" customFormat="false" ht="23.85" hidden="false" customHeight="false" outlineLevel="0" collapsed="false">
      <c r="A103" s="5" t="n">
        <v>43371</v>
      </c>
      <c r="B103" s="5" t="s">
        <v>69</v>
      </c>
      <c r="C103" s="5" t="s">
        <v>552</v>
      </c>
      <c r="D103" s="4" t="s">
        <v>20</v>
      </c>
      <c r="E103" s="4" t="s">
        <v>154</v>
      </c>
      <c r="F103" s="4" t="s">
        <v>155</v>
      </c>
      <c r="G103" s="4" t="s">
        <v>553</v>
      </c>
      <c r="H103" s="4" t="s">
        <v>554</v>
      </c>
      <c r="I103" s="12" t="s">
        <v>158</v>
      </c>
      <c r="J103" s="4"/>
      <c r="K103" s="5" t="s">
        <v>159</v>
      </c>
      <c r="L103" s="4"/>
      <c r="M103" s="12" t="s">
        <v>159</v>
      </c>
      <c r="N103" s="4" t="s">
        <v>555</v>
      </c>
      <c r="O103" s="12" t="s">
        <v>158</v>
      </c>
      <c r="P103" s="4" t="s">
        <v>551</v>
      </c>
      <c r="Q103" s="12" t="s">
        <v>158</v>
      </c>
      <c r="R103" s="5" t="n">
        <v>0</v>
      </c>
      <c r="S103" s="12" t="s">
        <v>159</v>
      </c>
      <c r="T103" s="4" t="s">
        <v>188</v>
      </c>
      <c r="U103" s="12" t="s">
        <v>158</v>
      </c>
      <c r="V103" s="5" t="n">
        <v>0</v>
      </c>
      <c r="W103" s="12" t="s">
        <v>159</v>
      </c>
      <c r="X103" s="12" t="n">
        <v>4</v>
      </c>
      <c r="Y103" s="4" t="s">
        <v>321</v>
      </c>
    </row>
    <row r="104" customFormat="false" ht="23.85" hidden="false" customHeight="false" outlineLevel="0" collapsed="false">
      <c r="A104" s="5" t="n">
        <v>43406</v>
      </c>
      <c r="B104" s="5" t="s">
        <v>69</v>
      </c>
      <c r="C104" s="5" t="s">
        <v>422</v>
      </c>
      <c r="D104" s="4" t="s">
        <v>30</v>
      </c>
      <c r="E104" s="4" t="s">
        <v>171</v>
      </c>
      <c r="F104" s="4" t="s">
        <v>383</v>
      </c>
      <c r="G104" s="4" t="s">
        <v>556</v>
      </c>
      <c r="H104" s="4" t="s">
        <v>557</v>
      </c>
      <c r="I104" s="12" t="s">
        <v>158</v>
      </c>
      <c r="J104" s="4"/>
      <c r="K104" s="5" t="s">
        <v>159</v>
      </c>
      <c r="L104" s="4" t="s">
        <v>469</v>
      </c>
      <c r="M104" s="12" t="s">
        <v>158</v>
      </c>
      <c r="N104" s="4"/>
      <c r="O104" s="12" t="s">
        <v>159</v>
      </c>
      <c r="P104" s="4" t="s">
        <v>163</v>
      </c>
      <c r="Q104" s="12" t="s">
        <v>158</v>
      </c>
      <c r="R104" s="5" t="n">
        <v>0</v>
      </c>
      <c r="S104" s="12" t="s">
        <v>159</v>
      </c>
      <c r="T104" s="4" t="s">
        <v>163</v>
      </c>
      <c r="U104" s="12" t="s">
        <v>158</v>
      </c>
      <c r="V104" s="5" t="n">
        <v>0</v>
      </c>
      <c r="W104" s="12" t="s">
        <v>159</v>
      </c>
      <c r="X104" s="12" t="n">
        <v>4</v>
      </c>
      <c r="Y104" s="4" t="s">
        <v>216</v>
      </c>
    </row>
    <row r="105" customFormat="false" ht="23.85" hidden="false" customHeight="false" outlineLevel="0" collapsed="false">
      <c r="A105" s="5" t="n">
        <v>43407</v>
      </c>
      <c r="B105" s="5" t="s">
        <v>69</v>
      </c>
      <c r="C105" s="5" t="s">
        <v>558</v>
      </c>
      <c r="D105" s="4" t="s">
        <v>30</v>
      </c>
      <c r="E105" s="4" t="s">
        <v>171</v>
      </c>
      <c r="F105" s="4" t="s">
        <v>383</v>
      </c>
      <c r="G105" s="4" t="s">
        <v>559</v>
      </c>
      <c r="H105" s="4" t="s">
        <v>560</v>
      </c>
      <c r="I105" s="12" t="s">
        <v>158</v>
      </c>
      <c r="J105" s="4"/>
      <c r="K105" s="5" t="s">
        <v>159</v>
      </c>
      <c r="L105" s="4" t="s">
        <v>561</v>
      </c>
      <c r="M105" s="12" t="s">
        <v>158</v>
      </c>
      <c r="N105" s="4"/>
      <c r="O105" s="12" t="s">
        <v>159</v>
      </c>
      <c r="P105" s="4" t="s">
        <v>163</v>
      </c>
      <c r="Q105" s="12" t="s">
        <v>158</v>
      </c>
      <c r="R105" s="5" t="n">
        <v>0</v>
      </c>
      <c r="S105" s="12" t="s">
        <v>159</v>
      </c>
      <c r="T105" s="4" t="s">
        <v>163</v>
      </c>
      <c r="U105" s="12" t="s">
        <v>158</v>
      </c>
      <c r="V105" s="5" t="n">
        <v>0</v>
      </c>
      <c r="W105" s="12" t="s">
        <v>159</v>
      </c>
      <c r="X105" s="12" t="n">
        <v>4</v>
      </c>
      <c r="Y105" s="4" t="s">
        <v>216</v>
      </c>
    </row>
    <row r="106" customFormat="false" ht="23.85" hidden="false" customHeight="false" outlineLevel="0" collapsed="false">
      <c r="A106" s="5" t="n">
        <v>43408</v>
      </c>
      <c r="B106" s="5" t="s">
        <v>69</v>
      </c>
      <c r="C106" s="5" t="s">
        <v>562</v>
      </c>
      <c r="D106" s="4" t="s">
        <v>30</v>
      </c>
      <c r="E106" s="4" t="s">
        <v>171</v>
      </c>
      <c r="F106" s="4" t="s">
        <v>383</v>
      </c>
      <c r="G106" s="4" t="s">
        <v>563</v>
      </c>
      <c r="H106" s="4" t="s">
        <v>564</v>
      </c>
      <c r="I106" s="12" t="s">
        <v>158</v>
      </c>
      <c r="J106" s="4"/>
      <c r="K106" s="5" t="s">
        <v>159</v>
      </c>
      <c r="L106" s="4"/>
      <c r="M106" s="12" t="s">
        <v>159</v>
      </c>
      <c r="N106" s="4"/>
      <c r="O106" s="12" t="s">
        <v>159</v>
      </c>
      <c r="P106" s="4" t="s">
        <v>163</v>
      </c>
      <c r="Q106" s="12" t="s">
        <v>158</v>
      </c>
      <c r="R106" s="5" t="n">
        <v>0</v>
      </c>
      <c r="S106" s="12" t="s">
        <v>159</v>
      </c>
      <c r="T106" s="4" t="s">
        <v>163</v>
      </c>
      <c r="U106" s="12" t="s">
        <v>158</v>
      </c>
      <c r="V106" s="5" t="n">
        <v>0</v>
      </c>
      <c r="W106" s="12" t="s">
        <v>159</v>
      </c>
      <c r="X106" s="12" t="n">
        <v>5</v>
      </c>
      <c r="Y106" s="4" t="s">
        <v>235</v>
      </c>
    </row>
    <row r="107" customFormat="false" ht="23.85" hidden="false" customHeight="false" outlineLevel="0" collapsed="false">
      <c r="A107" s="5" t="n">
        <v>43409</v>
      </c>
      <c r="B107" s="5" t="s">
        <v>69</v>
      </c>
      <c r="C107" s="5" t="s">
        <v>565</v>
      </c>
      <c r="D107" s="4" t="s">
        <v>30</v>
      </c>
      <c r="E107" s="4" t="s">
        <v>171</v>
      </c>
      <c r="F107" s="4" t="s">
        <v>383</v>
      </c>
      <c r="G107" s="4" t="s">
        <v>566</v>
      </c>
      <c r="H107" s="4" t="s">
        <v>567</v>
      </c>
      <c r="I107" s="12" t="s">
        <v>158</v>
      </c>
      <c r="J107" s="4"/>
      <c r="K107" s="5" t="s">
        <v>159</v>
      </c>
      <c r="L107" s="4"/>
      <c r="M107" s="12" t="s">
        <v>159</v>
      </c>
      <c r="N107" s="4"/>
      <c r="O107" s="12" t="s">
        <v>159</v>
      </c>
      <c r="P107" s="4" t="s">
        <v>163</v>
      </c>
      <c r="Q107" s="12" t="s">
        <v>158</v>
      </c>
      <c r="R107" s="5" t="n">
        <v>0</v>
      </c>
      <c r="S107" s="12" t="s">
        <v>159</v>
      </c>
      <c r="T107" s="4" t="s">
        <v>163</v>
      </c>
      <c r="U107" s="12" t="s">
        <v>158</v>
      </c>
      <c r="V107" s="5" t="n">
        <v>0</v>
      </c>
      <c r="W107" s="12" t="s">
        <v>159</v>
      </c>
      <c r="X107" s="12" t="n">
        <v>5</v>
      </c>
      <c r="Y107" s="4" t="s">
        <v>235</v>
      </c>
    </row>
    <row r="108" customFormat="false" ht="15" hidden="false" customHeight="false" outlineLevel="0" collapsed="false">
      <c r="A108" s="5" t="n">
        <v>43410</v>
      </c>
      <c r="B108" s="5" t="s">
        <v>69</v>
      </c>
      <c r="C108" s="5" t="s">
        <v>568</v>
      </c>
      <c r="D108" s="4" t="s">
        <v>20</v>
      </c>
      <c r="E108" s="4" t="s">
        <v>154</v>
      </c>
      <c r="F108" s="4" t="s">
        <v>155</v>
      </c>
      <c r="G108" s="4" t="s">
        <v>569</v>
      </c>
      <c r="H108" s="4" t="s">
        <v>569</v>
      </c>
      <c r="I108" s="12" t="s">
        <v>158</v>
      </c>
      <c r="J108" s="4" t="s">
        <v>570</v>
      </c>
      <c r="K108" s="5" t="s">
        <v>158</v>
      </c>
      <c r="L108" s="4" t="s">
        <v>571</v>
      </c>
      <c r="M108" s="12" t="s">
        <v>158</v>
      </c>
      <c r="N108" s="4" t="s">
        <v>572</v>
      </c>
      <c r="O108" s="12" t="s">
        <v>158</v>
      </c>
      <c r="P108" s="4" t="s">
        <v>400</v>
      </c>
      <c r="Q108" s="12" t="s">
        <v>158</v>
      </c>
      <c r="R108" s="5" t="n">
        <v>0</v>
      </c>
      <c r="S108" s="12" t="s">
        <v>159</v>
      </c>
      <c r="T108" s="4" t="s">
        <v>163</v>
      </c>
      <c r="U108" s="12" t="s">
        <v>158</v>
      </c>
      <c r="V108" s="5" t="n">
        <v>0</v>
      </c>
      <c r="W108" s="12" t="s">
        <v>159</v>
      </c>
      <c r="X108" s="12" t="n">
        <v>2</v>
      </c>
      <c r="Y108" s="4" t="s">
        <v>451</v>
      </c>
    </row>
    <row r="109" customFormat="false" ht="23.85" hidden="false" customHeight="false" outlineLevel="0" collapsed="false">
      <c r="A109" s="5" t="n">
        <v>43411</v>
      </c>
      <c r="B109" s="5" t="s">
        <v>69</v>
      </c>
      <c r="C109" s="5" t="s">
        <v>573</v>
      </c>
      <c r="D109" s="4" t="s">
        <v>32</v>
      </c>
      <c r="E109" s="4" t="s">
        <v>171</v>
      </c>
      <c r="F109" s="4" t="s">
        <v>383</v>
      </c>
      <c r="G109" s="4" t="s">
        <v>574</v>
      </c>
      <c r="H109" s="4" t="s">
        <v>575</v>
      </c>
      <c r="I109" s="12" t="s">
        <v>158</v>
      </c>
      <c r="J109" s="4"/>
      <c r="K109" s="5" t="s">
        <v>159</v>
      </c>
      <c r="L109" s="4"/>
      <c r="M109" s="12" t="s">
        <v>159</v>
      </c>
      <c r="N109" s="4"/>
      <c r="O109" s="12" t="s">
        <v>159</v>
      </c>
      <c r="P109" s="4"/>
      <c r="Q109" s="12" t="s">
        <v>159</v>
      </c>
      <c r="R109" s="5" t="n">
        <v>0</v>
      </c>
      <c r="S109" s="12" t="s">
        <v>159</v>
      </c>
      <c r="T109" s="4"/>
      <c r="U109" s="12" t="s">
        <v>159</v>
      </c>
      <c r="V109" s="5" t="n">
        <v>0</v>
      </c>
      <c r="W109" s="12" t="s">
        <v>159</v>
      </c>
      <c r="X109" s="12" t="n">
        <v>7</v>
      </c>
      <c r="Y109" s="4" t="s">
        <v>174</v>
      </c>
    </row>
    <row r="110" customFormat="false" ht="23.85" hidden="false" customHeight="false" outlineLevel="0" collapsed="false">
      <c r="A110" s="5" t="n">
        <v>43412</v>
      </c>
      <c r="B110" s="5" t="s">
        <v>69</v>
      </c>
      <c r="C110" s="5" t="s">
        <v>576</v>
      </c>
      <c r="D110" s="4" t="s">
        <v>20</v>
      </c>
      <c r="E110" s="4" t="s">
        <v>154</v>
      </c>
      <c r="F110" s="4" t="s">
        <v>383</v>
      </c>
      <c r="G110" s="4" t="s">
        <v>577</v>
      </c>
      <c r="H110" s="4"/>
      <c r="I110" s="12" t="s">
        <v>159</v>
      </c>
      <c r="J110" s="4"/>
      <c r="K110" s="5" t="s">
        <v>159</v>
      </c>
      <c r="L110" s="4"/>
      <c r="M110" s="12" t="s">
        <v>159</v>
      </c>
      <c r="N110" s="4"/>
      <c r="O110" s="12" t="s">
        <v>159</v>
      </c>
      <c r="P110" s="4"/>
      <c r="Q110" s="12" t="s">
        <v>159</v>
      </c>
      <c r="R110" s="5" t="n">
        <v>0</v>
      </c>
      <c r="S110" s="12" t="s">
        <v>159</v>
      </c>
      <c r="T110" s="4"/>
      <c r="U110" s="12" t="s">
        <v>159</v>
      </c>
      <c r="V110" s="5" t="n">
        <v>0</v>
      </c>
      <c r="W110" s="12" t="s">
        <v>159</v>
      </c>
      <c r="X110" s="12" t="n">
        <v>8</v>
      </c>
      <c r="Y110" s="4" t="s">
        <v>285</v>
      </c>
    </row>
    <row r="111" customFormat="false" ht="23.85" hidden="false" customHeight="false" outlineLevel="0" collapsed="false">
      <c r="A111" s="5" t="n">
        <v>43413</v>
      </c>
      <c r="B111" s="5" t="s">
        <v>69</v>
      </c>
      <c r="C111" s="5" t="s">
        <v>578</v>
      </c>
      <c r="D111" s="4" t="s">
        <v>20</v>
      </c>
      <c r="E111" s="4" t="s">
        <v>154</v>
      </c>
      <c r="F111" s="4" t="s">
        <v>257</v>
      </c>
      <c r="G111" s="4" t="s">
        <v>579</v>
      </c>
      <c r="H111" s="4"/>
      <c r="I111" s="12" t="s">
        <v>159</v>
      </c>
      <c r="J111" s="4"/>
      <c r="K111" s="5" t="s">
        <v>159</v>
      </c>
      <c r="L111" s="4" t="s">
        <v>580</v>
      </c>
      <c r="M111" s="12" t="s">
        <v>158</v>
      </c>
      <c r="N111" s="4"/>
      <c r="O111" s="12" t="s">
        <v>159</v>
      </c>
      <c r="P111" s="4"/>
      <c r="Q111" s="12" t="s">
        <v>159</v>
      </c>
      <c r="R111" s="5" t="n">
        <v>0</v>
      </c>
      <c r="S111" s="12" t="s">
        <v>159</v>
      </c>
      <c r="T111" s="4"/>
      <c r="U111" s="12" t="s">
        <v>159</v>
      </c>
      <c r="V111" s="5" t="n">
        <v>0</v>
      </c>
      <c r="W111" s="12" t="s">
        <v>159</v>
      </c>
      <c r="X111" s="12" t="n">
        <v>7</v>
      </c>
      <c r="Y111" s="4" t="s">
        <v>581</v>
      </c>
    </row>
    <row r="112" customFormat="false" ht="23.85" hidden="false" customHeight="false" outlineLevel="0" collapsed="false">
      <c r="A112" s="5" t="n">
        <v>43414</v>
      </c>
      <c r="B112" s="5" t="s">
        <v>69</v>
      </c>
      <c r="C112" s="5" t="s">
        <v>582</v>
      </c>
      <c r="D112" s="4" t="s">
        <v>22</v>
      </c>
      <c r="E112" s="4" t="s">
        <v>176</v>
      </c>
      <c r="F112" s="4" t="s">
        <v>257</v>
      </c>
      <c r="G112" s="4" t="s">
        <v>583</v>
      </c>
      <c r="H112" s="4" t="s">
        <v>584</v>
      </c>
      <c r="I112" s="12" t="s">
        <v>158</v>
      </c>
      <c r="J112" s="4"/>
      <c r="K112" s="5" t="s">
        <v>159</v>
      </c>
      <c r="L112" s="4" t="s">
        <v>585</v>
      </c>
      <c r="M112" s="12" t="s">
        <v>158</v>
      </c>
      <c r="N112" s="4" t="s">
        <v>586</v>
      </c>
      <c r="O112" s="12" t="s">
        <v>158</v>
      </c>
      <c r="P112" s="4" t="s">
        <v>541</v>
      </c>
      <c r="Q112" s="12" t="s">
        <v>158</v>
      </c>
      <c r="R112" s="5" t="n">
        <v>0</v>
      </c>
      <c r="S112" s="12" t="s">
        <v>159</v>
      </c>
      <c r="T112" s="4"/>
      <c r="U112" s="12" t="s">
        <v>159</v>
      </c>
      <c r="V112" s="5" t="n">
        <v>0</v>
      </c>
      <c r="W112" s="12" t="s">
        <v>159</v>
      </c>
      <c r="X112" s="12" t="n">
        <v>4</v>
      </c>
      <c r="Y112" s="4" t="s">
        <v>182</v>
      </c>
    </row>
    <row r="113" customFormat="false" ht="15" hidden="false" customHeight="false" outlineLevel="0" collapsed="false">
      <c r="A113" s="5" t="n">
        <v>43415</v>
      </c>
      <c r="B113" s="5" t="s">
        <v>69</v>
      </c>
      <c r="C113" s="5" t="s">
        <v>587</v>
      </c>
      <c r="D113" s="4" t="s">
        <v>18</v>
      </c>
      <c r="E113" s="4" t="s">
        <v>154</v>
      </c>
      <c r="F113" s="4" t="s">
        <v>155</v>
      </c>
      <c r="G113" s="4" t="s">
        <v>588</v>
      </c>
      <c r="H113" s="4" t="s">
        <v>589</v>
      </c>
      <c r="I113" s="12" t="s">
        <v>158</v>
      </c>
      <c r="J113" s="4" t="s">
        <v>590</v>
      </c>
      <c r="K113" s="5" t="s">
        <v>158</v>
      </c>
      <c r="L113" s="4" t="s">
        <v>591</v>
      </c>
      <c r="M113" s="12" t="s">
        <v>158</v>
      </c>
      <c r="N113" s="4"/>
      <c r="O113" s="12" t="s">
        <v>159</v>
      </c>
      <c r="P113" s="4" t="s">
        <v>309</v>
      </c>
      <c r="Q113" s="12" t="s">
        <v>158</v>
      </c>
      <c r="R113" s="5" t="n">
        <v>0</v>
      </c>
      <c r="S113" s="12" t="s">
        <v>159</v>
      </c>
      <c r="T113" s="4"/>
      <c r="U113" s="12" t="s">
        <v>159</v>
      </c>
      <c r="V113" s="5" t="n">
        <v>7</v>
      </c>
      <c r="W113" s="12" t="s">
        <v>158</v>
      </c>
      <c r="X113" s="12" t="n">
        <v>3</v>
      </c>
      <c r="Y113" s="4" t="s">
        <v>592</v>
      </c>
    </row>
    <row r="114" customFormat="false" ht="23.85" hidden="false" customHeight="false" outlineLevel="0" collapsed="false">
      <c r="A114" s="5" t="n">
        <v>43416</v>
      </c>
      <c r="B114" s="5" t="s">
        <v>69</v>
      </c>
      <c r="C114" s="5" t="s">
        <v>593</v>
      </c>
      <c r="D114" s="4" t="s">
        <v>18</v>
      </c>
      <c r="E114" s="4" t="s">
        <v>154</v>
      </c>
      <c r="F114" s="4" t="s">
        <v>155</v>
      </c>
      <c r="G114" s="4" t="s">
        <v>594</v>
      </c>
      <c r="H114" s="4" t="s">
        <v>595</v>
      </c>
      <c r="I114" s="12" t="s">
        <v>158</v>
      </c>
      <c r="J114" s="4"/>
      <c r="K114" s="5" t="s">
        <v>159</v>
      </c>
      <c r="L114" s="4"/>
      <c r="M114" s="12" t="s">
        <v>159</v>
      </c>
      <c r="N114" s="4" t="s">
        <v>596</v>
      </c>
      <c r="O114" s="12" t="s">
        <v>158</v>
      </c>
      <c r="P114" s="4"/>
      <c r="Q114" s="12" t="s">
        <v>159</v>
      </c>
      <c r="R114" s="5" t="n">
        <v>0</v>
      </c>
      <c r="S114" s="12" t="s">
        <v>159</v>
      </c>
      <c r="T114" s="4"/>
      <c r="U114" s="12" t="s">
        <v>159</v>
      </c>
      <c r="V114" s="5" t="n">
        <v>0</v>
      </c>
      <c r="W114" s="12" t="s">
        <v>159</v>
      </c>
      <c r="X114" s="12" t="n">
        <v>6</v>
      </c>
      <c r="Y114" s="4" t="s">
        <v>597</v>
      </c>
    </row>
    <row r="115" customFormat="false" ht="23.85" hidden="false" customHeight="false" outlineLevel="0" collapsed="false">
      <c r="A115" s="5" t="n">
        <v>43417</v>
      </c>
      <c r="B115" s="5" t="s">
        <v>69</v>
      </c>
      <c r="C115" s="5" t="s">
        <v>598</v>
      </c>
      <c r="D115" s="4" t="s">
        <v>18</v>
      </c>
      <c r="E115" s="4" t="s">
        <v>154</v>
      </c>
      <c r="F115" s="4" t="s">
        <v>166</v>
      </c>
      <c r="G115" s="4" t="s">
        <v>599</v>
      </c>
      <c r="H115" s="4" t="s">
        <v>600</v>
      </c>
      <c r="I115" s="12" t="s">
        <v>158</v>
      </c>
      <c r="J115" s="4"/>
      <c r="K115" s="5" t="s">
        <v>159</v>
      </c>
      <c r="L115" s="4"/>
      <c r="M115" s="12" t="s">
        <v>159</v>
      </c>
      <c r="N115" s="4" t="s">
        <v>601</v>
      </c>
      <c r="O115" s="12" t="s">
        <v>158</v>
      </c>
      <c r="P115" s="4" t="s">
        <v>602</v>
      </c>
      <c r="Q115" s="12" t="s">
        <v>158</v>
      </c>
      <c r="R115" s="5" t="n">
        <v>0</v>
      </c>
      <c r="S115" s="12" t="s">
        <v>159</v>
      </c>
      <c r="T115" s="4"/>
      <c r="U115" s="12" t="s">
        <v>159</v>
      </c>
      <c r="V115" s="5" t="n">
        <v>0</v>
      </c>
      <c r="W115" s="12" t="s">
        <v>159</v>
      </c>
      <c r="X115" s="12" t="n">
        <v>5</v>
      </c>
      <c r="Y115" s="4" t="s">
        <v>240</v>
      </c>
    </row>
    <row r="116" customFormat="false" ht="23.85" hidden="false" customHeight="false" outlineLevel="0" collapsed="false">
      <c r="A116" s="5" t="n">
        <v>43423</v>
      </c>
      <c r="B116" s="5" t="s">
        <v>70</v>
      </c>
      <c r="C116" s="5" t="s">
        <v>603</v>
      </c>
      <c r="D116" s="4" t="s">
        <v>34</v>
      </c>
      <c r="E116" s="4" t="s">
        <v>154</v>
      </c>
      <c r="F116" s="4" t="s">
        <v>155</v>
      </c>
      <c r="G116" s="4" t="s">
        <v>604</v>
      </c>
      <c r="H116" s="4" t="s">
        <v>605</v>
      </c>
      <c r="I116" s="12" t="s">
        <v>158</v>
      </c>
      <c r="J116" s="4"/>
      <c r="K116" s="5" t="s">
        <v>159</v>
      </c>
      <c r="L116" s="4" t="s">
        <v>606</v>
      </c>
      <c r="M116" s="12" t="s">
        <v>158</v>
      </c>
      <c r="N116" s="4" t="s">
        <v>388</v>
      </c>
      <c r="O116" s="12" t="s">
        <v>158</v>
      </c>
      <c r="P116" s="4" t="s">
        <v>169</v>
      </c>
      <c r="Q116" s="12" t="s">
        <v>158</v>
      </c>
      <c r="R116" s="5" t="n">
        <v>0</v>
      </c>
      <c r="S116" s="12" t="s">
        <v>159</v>
      </c>
      <c r="T116" s="4" t="s">
        <v>163</v>
      </c>
      <c r="U116" s="12" t="s">
        <v>158</v>
      </c>
      <c r="V116" s="5" t="n">
        <v>0</v>
      </c>
      <c r="W116" s="12" t="s">
        <v>159</v>
      </c>
      <c r="X116" s="12" t="n">
        <v>3</v>
      </c>
      <c r="Y116" s="4" t="s">
        <v>164</v>
      </c>
    </row>
    <row r="117" customFormat="false" ht="23.85" hidden="false" customHeight="false" outlineLevel="0" collapsed="false">
      <c r="A117" s="5" t="n">
        <v>43428</v>
      </c>
      <c r="B117" s="5" t="s">
        <v>70</v>
      </c>
      <c r="C117" s="5" t="s">
        <v>607</v>
      </c>
      <c r="D117" s="4" t="s">
        <v>34</v>
      </c>
      <c r="E117" s="4" t="s">
        <v>154</v>
      </c>
      <c r="F117" s="4" t="s">
        <v>166</v>
      </c>
      <c r="G117" s="4" t="s">
        <v>608</v>
      </c>
      <c r="H117" s="4" t="s">
        <v>609</v>
      </c>
      <c r="I117" s="12" t="s">
        <v>158</v>
      </c>
      <c r="J117" s="4"/>
      <c r="K117" s="5" t="s">
        <v>159</v>
      </c>
      <c r="L117" s="4" t="s">
        <v>571</v>
      </c>
      <c r="M117" s="12" t="s">
        <v>158</v>
      </c>
      <c r="N117" s="4" t="s">
        <v>610</v>
      </c>
      <c r="O117" s="12" t="s">
        <v>158</v>
      </c>
      <c r="P117" s="4" t="s">
        <v>163</v>
      </c>
      <c r="Q117" s="12" t="s">
        <v>158</v>
      </c>
      <c r="R117" s="5" t="n">
        <v>0</v>
      </c>
      <c r="S117" s="12" t="s">
        <v>159</v>
      </c>
      <c r="T117" s="4" t="s">
        <v>163</v>
      </c>
      <c r="U117" s="12" t="s">
        <v>158</v>
      </c>
      <c r="V117" s="5" t="n">
        <v>0</v>
      </c>
      <c r="W117" s="12" t="s">
        <v>159</v>
      </c>
      <c r="X117" s="12" t="n">
        <v>3</v>
      </c>
      <c r="Y117" s="4" t="s">
        <v>164</v>
      </c>
    </row>
    <row r="118" customFormat="false" ht="23.85" hidden="false" customHeight="false" outlineLevel="0" collapsed="false">
      <c r="A118" s="5" t="n">
        <v>43436</v>
      </c>
      <c r="B118" s="5" t="s">
        <v>70</v>
      </c>
      <c r="C118" s="5" t="s">
        <v>611</v>
      </c>
      <c r="D118" s="4" t="s">
        <v>34</v>
      </c>
      <c r="E118" s="4" t="s">
        <v>154</v>
      </c>
      <c r="F118" s="4" t="s">
        <v>383</v>
      </c>
      <c r="G118" s="4" t="s">
        <v>612</v>
      </c>
      <c r="H118" s="4" t="s">
        <v>613</v>
      </c>
      <c r="I118" s="12" t="s">
        <v>158</v>
      </c>
      <c r="J118" s="4"/>
      <c r="K118" s="5" t="s">
        <v>159</v>
      </c>
      <c r="L118" s="4" t="s">
        <v>614</v>
      </c>
      <c r="M118" s="12" t="s">
        <v>158</v>
      </c>
      <c r="N118" s="4" t="s">
        <v>615</v>
      </c>
      <c r="O118" s="12" t="s">
        <v>158</v>
      </c>
      <c r="P118" s="4" t="s">
        <v>163</v>
      </c>
      <c r="Q118" s="12" t="s">
        <v>158</v>
      </c>
      <c r="R118" s="5" t="n">
        <v>0</v>
      </c>
      <c r="S118" s="12" t="s">
        <v>159</v>
      </c>
      <c r="T118" s="4" t="s">
        <v>163</v>
      </c>
      <c r="U118" s="12" t="s">
        <v>158</v>
      </c>
      <c r="V118" s="5" t="n">
        <v>0</v>
      </c>
      <c r="W118" s="12" t="s">
        <v>159</v>
      </c>
      <c r="X118" s="12" t="n">
        <v>3</v>
      </c>
      <c r="Y118" s="4" t="s">
        <v>164</v>
      </c>
    </row>
    <row r="119" customFormat="false" ht="23.85" hidden="false" customHeight="false" outlineLevel="0" collapsed="false">
      <c r="A119" s="5" t="n">
        <v>43437</v>
      </c>
      <c r="B119" s="5" t="s">
        <v>70</v>
      </c>
      <c r="C119" s="5" t="s">
        <v>616</v>
      </c>
      <c r="D119" s="4" t="s">
        <v>34</v>
      </c>
      <c r="E119" s="4" t="s">
        <v>154</v>
      </c>
      <c r="F119" s="4" t="s">
        <v>166</v>
      </c>
      <c r="G119" s="4" t="s">
        <v>617</v>
      </c>
      <c r="H119" s="4" t="s">
        <v>613</v>
      </c>
      <c r="I119" s="12" t="s">
        <v>158</v>
      </c>
      <c r="J119" s="4"/>
      <c r="K119" s="5" t="s">
        <v>159</v>
      </c>
      <c r="L119" s="4" t="s">
        <v>533</v>
      </c>
      <c r="M119" s="12" t="s">
        <v>158</v>
      </c>
      <c r="N119" s="4" t="s">
        <v>615</v>
      </c>
      <c r="O119" s="12" t="s">
        <v>158</v>
      </c>
      <c r="P119" s="4" t="s">
        <v>163</v>
      </c>
      <c r="Q119" s="12" t="s">
        <v>158</v>
      </c>
      <c r="R119" s="5" t="n">
        <v>0</v>
      </c>
      <c r="S119" s="12" t="s">
        <v>159</v>
      </c>
      <c r="T119" s="4" t="s">
        <v>163</v>
      </c>
      <c r="U119" s="12" t="s">
        <v>158</v>
      </c>
      <c r="V119" s="5" t="n">
        <v>0</v>
      </c>
      <c r="W119" s="12" t="s">
        <v>159</v>
      </c>
      <c r="X119" s="12" t="n">
        <v>3</v>
      </c>
      <c r="Y119" s="4" t="s">
        <v>164</v>
      </c>
    </row>
    <row r="120" customFormat="false" ht="23.85" hidden="false" customHeight="false" outlineLevel="0" collapsed="false">
      <c r="A120" s="5" t="n">
        <v>43445</v>
      </c>
      <c r="B120" s="5" t="s">
        <v>70</v>
      </c>
      <c r="C120" s="5" t="s">
        <v>618</v>
      </c>
      <c r="D120" s="4" t="s">
        <v>34</v>
      </c>
      <c r="E120" s="4" t="s">
        <v>154</v>
      </c>
      <c r="F120" s="4" t="s">
        <v>166</v>
      </c>
      <c r="G120" s="4" t="s">
        <v>619</v>
      </c>
      <c r="H120" s="4" t="s">
        <v>620</v>
      </c>
      <c r="I120" s="12" t="s">
        <v>158</v>
      </c>
      <c r="J120" s="4"/>
      <c r="K120" s="5" t="s">
        <v>159</v>
      </c>
      <c r="L120" s="4" t="s">
        <v>621</v>
      </c>
      <c r="M120" s="12" t="s">
        <v>158</v>
      </c>
      <c r="N120" s="4" t="s">
        <v>620</v>
      </c>
      <c r="O120" s="12" t="s">
        <v>158</v>
      </c>
      <c r="P120" s="4" t="s">
        <v>163</v>
      </c>
      <c r="Q120" s="12" t="s">
        <v>158</v>
      </c>
      <c r="R120" s="5" t="n">
        <v>0</v>
      </c>
      <c r="S120" s="12" t="s">
        <v>159</v>
      </c>
      <c r="T120" s="4" t="s">
        <v>163</v>
      </c>
      <c r="U120" s="12" t="s">
        <v>158</v>
      </c>
      <c r="V120" s="5" t="n">
        <v>0</v>
      </c>
      <c r="W120" s="12" t="s">
        <v>159</v>
      </c>
      <c r="X120" s="12" t="n">
        <v>3</v>
      </c>
      <c r="Y120" s="4" t="s">
        <v>164</v>
      </c>
    </row>
    <row r="121" customFormat="false" ht="23.85" hidden="false" customHeight="false" outlineLevel="0" collapsed="false">
      <c r="A121" s="5" t="n">
        <v>43447</v>
      </c>
      <c r="B121" s="5" t="s">
        <v>70</v>
      </c>
      <c r="C121" s="5" t="s">
        <v>622</v>
      </c>
      <c r="D121" s="4" t="s">
        <v>34</v>
      </c>
      <c r="E121" s="4" t="s">
        <v>154</v>
      </c>
      <c r="F121" s="4" t="s">
        <v>383</v>
      </c>
      <c r="G121" s="4" t="s">
        <v>623</v>
      </c>
      <c r="H121" s="4" t="s">
        <v>624</v>
      </c>
      <c r="I121" s="12" t="s">
        <v>158</v>
      </c>
      <c r="J121" s="4"/>
      <c r="K121" s="5" t="s">
        <v>159</v>
      </c>
      <c r="L121" s="4" t="s">
        <v>625</v>
      </c>
      <c r="M121" s="12" t="s">
        <v>158</v>
      </c>
      <c r="N121" s="4"/>
      <c r="O121" s="12" t="s">
        <v>159</v>
      </c>
      <c r="P121" s="4" t="s">
        <v>163</v>
      </c>
      <c r="Q121" s="12" t="s">
        <v>158</v>
      </c>
      <c r="R121" s="5" t="n">
        <v>0</v>
      </c>
      <c r="S121" s="12" t="s">
        <v>159</v>
      </c>
      <c r="T121" s="4" t="s">
        <v>163</v>
      </c>
      <c r="U121" s="12" t="s">
        <v>158</v>
      </c>
      <c r="V121" s="5" t="n">
        <v>0</v>
      </c>
      <c r="W121" s="12" t="s">
        <v>159</v>
      </c>
      <c r="X121" s="12" t="n">
        <v>4</v>
      </c>
      <c r="Y121" s="4" t="s">
        <v>216</v>
      </c>
    </row>
    <row r="122" customFormat="false" ht="23.85" hidden="false" customHeight="false" outlineLevel="0" collapsed="false">
      <c r="A122" s="5" t="n">
        <v>43449</v>
      </c>
      <c r="B122" s="5" t="s">
        <v>70</v>
      </c>
      <c r="C122" s="5" t="s">
        <v>626</v>
      </c>
      <c r="D122" s="4" t="s">
        <v>20</v>
      </c>
      <c r="E122" s="4" t="s">
        <v>154</v>
      </c>
      <c r="F122" s="4" t="s">
        <v>166</v>
      </c>
      <c r="G122" s="4" t="s">
        <v>627</v>
      </c>
      <c r="H122" s="4" t="s">
        <v>627</v>
      </c>
      <c r="I122" s="12" t="s">
        <v>158</v>
      </c>
      <c r="J122" s="4"/>
      <c r="K122" s="5" t="s">
        <v>159</v>
      </c>
      <c r="L122" s="4"/>
      <c r="M122" s="12" t="s">
        <v>159</v>
      </c>
      <c r="N122" s="4"/>
      <c r="O122" s="12" t="s">
        <v>159</v>
      </c>
      <c r="P122" s="4" t="s">
        <v>628</v>
      </c>
      <c r="Q122" s="12" t="s">
        <v>158</v>
      </c>
      <c r="R122" s="5" t="n">
        <v>0</v>
      </c>
      <c r="S122" s="12" t="s">
        <v>159</v>
      </c>
      <c r="T122" s="4" t="s">
        <v>188</v>
      </c>
      <c r="U122" s="12" t="s">
        <v>158</v>
      </c>
      <c r="V122" s="5" t="n">
        <v>0</v>
      </c>
      <c r="W122" s="12" t="s">
        <v>159</v>
      </c>
      <c r="X122" s="12" t="n">
        <v>5</v>
      </c>
      <c r="Y122" s="4" t="s">
        <v>235</v>
      </c>
    </row>
    <row r="123" customFormat="false" ht="23.85" hidden="false" customHeight="false" outlineLevel="0" collapsed="false">
      <c r="A123" s="5" t="n">
        <v>43450</v>
      </c>
      <c r="B123" s="5" t="s">
        <v>70</v>
      </c>
      <c r="C123" s="5" t="s">
        <v>629</v>
      </c>
      <c r="D123" s="4" t="s">
        <v>28</v>
      </c>
      <c r="E123" s="4" t="s">
        <v>171</v>
      </c>
      <c r="F123" s="4" t="s">
        <v>383</v>
      </c>
      <c r="G123" s="4" t="s">
        <v>630</v>
      </c>
      <c r="H123" s="4"/>
      <c r="I123" s="12" t="s">
        <v>159</v>
      </c>
      <c r="J123" s="4"/>
      <c r="K123" s="5" t="s">
        <v>159</v>
      </c>
      <c r="L123" s="4"/>
      <c r="M123" s="12" t="s">
        <v>159</v>
      </c>
      <c r="N123" s="4"/>
      <c r="O123" s="12" t="s">
        <v>159</v>
      </c>
      <c r="P123" s="4"/>
      <c r="Q123" s="12" t="s">
        <v>159</v>
      </c>
      <c r="R123" s="5" t="n">
        <v>0</v>
      </c>
      <c r="S123" s="12" t="s">
        <v>159</v>
      </c>
      <c r="T123" s="4"/>
      <c r="U123" s="12" t="s">
        <v>159</v>
      </c>
      <c r="V123" s="5" t="n">
        <v>0</v>
      </c>
      <c r="W123" s="12" t="s">
        <v>159</v>
      </c>
      <c r="X123" s="12" t="n">
        <v>8</v>
      </c>
      <c r="Y123" s="4" t="s">
        <v>285</v>
      </c>
    </row>
    <row r="124" customFormat="false" ht="23.85" hidden="false" customHeight="false" outlineLevel="0" collapsed="false">
      <c r="A124" s="5" t="n">
        <v>43451</v>
      </c>
      <c r="B124" s="5" t="s">
        <v>70</v>
      </c>
      <c r="C124" s="5" t="s">
        <v>521</v>
      </c>
      <c r="D124" s="4" t="s">
        <v>22</v>
      </c>
      <c r="E124" s="4" t="s">
        <v>176</v>
      </c>
      <c r="F124" s="4" t="s">
        <v>155</v>
      </c>
      <c r="G124" s="4" t="s">
        <v>631</v>
      </c>
      <c r="H124" s="4" t="s">
        <v>632</v>
      </c>
      <c r="I124" s="12" t="s">
        <v>158</v>
      </c>
      <c r="J124" s="4"/>
      <c r="K124" s="5" t="s">
        <v>159</v>
      </c>
      <c r="L124" s="4" t="s">
        <v>633</v>
      </c>
      <c r="M124" s="12" t="s">
        <v>158</v>
      </c>
      <c r="N124" s="4"/>
      <c r="O124" s="12" t="s">
        <v>159</v>
      </c>
      <c r="P124" s="4" t="s">
        <v>634</v>
      </c>
      <c r="Q124" s="12" t="s">
        <v>158</v>
      </c>
      <c r="R124" s="5" t="n">
        <v>0</v>
      </c>
      <c r="S124" s="12" t="s">
        <v>159</v>
      </c>
      <c r="T124" s="4"/>
      <c r="U124" s="12" t="s">
        <v>159</v>
      </c>
      <c r="V124" s="5" t="n">
        <v>0</v>
      </c>
      <c r="W124" s="12" t="s">
        <v>159</v>
      </c>
      <c r="X124" s="12" t="n">
        <v>5</v>
      </c>
      <c r="Y124" s="4" t="s">
        <v>310</v>
      </c>
    </row>
    <row r="125" customFormat="false" ht="23.85" hidden="false" customHeight="false" outlineLevel="0" collapsed="false">
      <c r="A125" s="5" t="n">
        <v>43452</v>
      </c>
      <c r="B125" s="5" t="s">
        <v>70</v>
      </c>
      <c r="C125" s="5" t="s">
        <v>635</v>
      </c>
      <c r="D125" s="4" t="s">
        <v>30</v>
      </c>
      <c r="E125" s="4" t="s">
        <v>171</v>
      </c>
      <c r="F125" s="4" t="s">
        <v>383</v>
      </c>
      <c r="G125" s="4" t="s">
        <v>636</v>
      </c>
      <c r="H125" s="4" t="s">
        <v>220</v>
      </c>
      <c r="I125" s="12" t="s">
        <v>158</v>
      </c>
      <c r="J125" s="4"/>
      <c r="K125" s="5" t="s">
        <v>159</v>
      </c>
      <c r="L125" s="4" t="s">
        <v>469</v>
      </c>
      <c r="M125" s="12" t="s">
        <v>158</v>
      </c>
      <c r="N125" s="4" t="s">
        <v>637</v>
      </c>
      <c r="O125" s="12" t="s">
        <v>158</v>
      </c>
      <c r="P125" s="4" t="s">
        <v>163</v>
      </c>
      <c r="Q125" s="12" t="s">
        <v>158</v>
      </c>
      <c r="R125" s="5" t="n">
        <v>0</v>
      </c>
      <c r="S125" s="12" t="s">
        <v>159</v>
      </c>
      <c r="T125" s="4"/>
      <c r="U125" s="12" t="s">
        <v>159</v>
      </c>
      <c r="V125" s="5" t="n">
        <v>0</v>
      </c>
      <c r="W125" s="12" t="s">
        <v>159</v>
      </c>
      <c r="X125" s="12" t="n">
        <v>4</v>
      </c>
      <c r="Y125" s="4" t="s">
        <v>182</v>
      </c>
    </row>
    <row r="126" customFormat="false" ht="23.85" hidden="false" customHeight="false" outlineLevel="0" collapsed="false">
      <c r="A126" s="5" t="n">
        <v>43453</v>
      </c>
      <c r="B126" s="5" t="s">
        <v>70</v>
      </c>
      <c r="C126" s="5" t="s">
        <v>638</v>
      </c>
      <c r="D126" s="4" t="s">
        <v>30</v>
      </c>
      <c r="E126" s="4" t="s">
        <v>171</v>
      </c>
      <c r="F126" s="4" t="s">
        <v>383</v>
      </c>
      <c r="G126" s="4" t="s">
        <v>639</v>
      </c>
      <c r="H126" s="4" t="s">
        <v>640</v>
      </c>
      <c r="I126" s="12" t="s">
        <v>158</v>
      </c>
      <c r="J126" s="4"/>
      <c r="K126" s="5" t="s">
        <v>159</v>
      </c>
      <c r="L126" s="4" t="s">
        <v>641</v>
      </c>
      <c r="M126" s="12" t="s">
        <v>158</v>
      </c>
      <c r="N126" s="4"/>
      <c r="O126" s="12" t="s">
        <v>159</v>
      </c>
      <c r="P126" s="4" t="s">
        <v>163</v>
      </c>
      <c r="Q126" s="12" t="s">
        <v>158</v>
      </c>
      <c r="R126" s="5" t="n">
        <v>0</v>
      </c>
      <c r="S126" s="12" t="s">
        <v>159</v>
      </c>
      <c r="T126" s="4" t="s">
        <v>163</v>
      </c>
      <c r="U126" s="12" t="s">
        <v>158</v>
      </c>
      <c r="V126" s="5" t="n">
        <v>0</v>
      </c>
      <c r="W126" s="12" t="s">
        <v>159</v>
      </c>
      <c r="X126" s="12" t="n">
        <v>4</v>
      </c>
      <c r="Y126" s="4" t="s">
        <v>216</v>
      </c>
    </row>
    <row r="127" customFormat="false" ht="23.85" hidden="false" customHeight="false" outlineLevel="0" collapsed="false">
      <c r="A127" s="5" t="n">
        <v>43454</v>
      </c>
      <c r="B127" s="5" t="s">
        <v>70</v>
      </c>
      <c r="C127" s="5" t="s">
        <v>642</v>
      </c>
      <c r="D127" s="4" t="s">
        <v>30</v>
      </c>
      <c r="E127" s="4" t="s">
        <v>171</v>
      </c>
      <c r="F127" s="4" t="s">
        <v>383</v>
      </c>
      <c r="G127" s="4" t="s">
        <v>643</v>
      </c>
      <c r="H127" s="4" t="s">
        <v>644</v>
      </c>
      <c r="I127" s="12" t="s">
        <v>158</v>
      </c>
      <c r="J127" s="4"/>
      <c r="K127" s="5" t="s">
        <v>159</v>
      </c>
      <c r="L127" s="4"/>
      <c r="M127" s="12" t="s">
        <v>159</v>
      </c>
      <c r="N127" s="4"/>
      <c r="O127" s="12" t="s">
        <v>159</v>
      </c>
      <c r="P127" s="4" t="s">
        <v>163</v>
      </c>
      <c r="Q127" s="12" t="s">
        <v>158</v>
      </c>
      <c r="R127" s="5" t="n">
        <v>0</v>
      </c>
      <c r="S127" s="12" t="s">
        <v>159</v>
      </c>
      <c r="T127" s="4" t="s">
        <v>163</v>
      </c>
      <c r="U127" s="12" t="s">
        <v>158</v>
      </c>
      <c r="V127" s="5" t="n">
        <v>0</v>
      </c>
      <c r="W127" s="12" t="s">
        <v>159</v>
      </c>
      <c r="X127" s="12" t="n">
        <v>5</v>
      </c>
      <c r="Y127" s="4" t="s">
        <v>235</v>
      </c>
    </row>
    <row r="128" customFormat="false" ht="23.85" hidden="false" customHeight="false" outlineLevel="0" collapsed="false">
      <c r="A128" s="5" t="n">
        <v>43455</v>
      </c>
      <c r="B128" s="5" t="s">
        <v>70</v>
      </c>
      <c r="C128" s="5" t="s">
        <v>527</v>
      </c>
      <c r="D128" s="4" t="s">
        <v>30</v>
      </c>
      <c r="E128" s="4" t="s">
        <v>171</v>
      </c>
      <c r="F128" s="4" t="s">
        <v>383</v>
      </c>
      <c r="G128" s="4" t="s">
        <v>477</v>
      </c>
      <c r="H128" s="4" t="s">
        <v>478</v>
      </c>
      <c r="I128" s="12" t="s">
        <v>158</v>
      </c>
      <c r="J128" s="4"/>
      <c r="K128" s="5" t="s">
        <v>159</v>
      </c>
      <c r="L128" s="4"/>
      <c r="M128" s="12" t="s">
        <v>159</v>
      </c>
      <c r="N128" s="4"/>
      <c r="O128" s="12" t="s">
        <v>159</v>
      </c>
      <c r="P128" s="4" t="s">
        <v>163</v>
      </c>
      <c r="Q128" s="12" t="s">
        <v>158</v>
      </c>
      <c r="R128" s="5" t="n">
        <v>0</v>
      </c>
      <c r="S128" s="12" t="s">
        <v>159</v>
      </c>
      <c r="T128" s="4" t="s">
        <v>163</v>
      </c>
      <c r="U128" s="12" t="s">
        <v>158</v>
      </c>
      <c r="V128" s="5" t="n">
        <v>0</v>
      </c>
      <c r="W128" s="12" t="s">
        <v>159</v>
      </c>
      <c r="X128" s="12" t="n">
        <v>5</v>
      </c>
      <c r="Y128" s="4" t="s">
        <v>235</v>
      </c>
    </row>
    <row r="129" customFormat="false" ht="23.85" hidden="false" customHeight="false" outlineLevel="0" collapsed="false">
      <c r="A129" s="5" t="n">
        <v>43456</v>
      </c>
      <c r="B129" s="5" t="s">
        <v>70</v>
      </c>
      <c r="C129" s="5" t="s">
        <v>645</v>
      </c>
      <c r="D129" s="4" t="s">
        <v>30</v>
      </c>
      <c r="E129" s="4" t="s">
        <v>171</v>
      </c>
      <c r="F129" s="4" t="s">
        <v>383</v>
      </c>
      <c r="G129" s="4" t="s">
        <v>646</v>
      </c>
      <c r="H129" s="4" t="s">
        <v>647</v>
      </c>
      <c r="I129" s="12" t="s">
        <v>158</v>
      </c>
      <c r="J129" s="4"/>
      <c r="K129" s="5" t="s">
        <v>159</v>
      </c>
      <c r="L129" s="4"/>
      <c r="M129" s="12" t="s">
        <v>159</v>
      </c>
      <c r="N129" s="4"/>
      <c r="O129" s="12" t="s">
        <v>159</v>
      </c>
      <c r="P129" s="4" t="s">
        <v>327</v>
      </c>
      <c r="Q129" s="12" t="s">
        <v>158</v>
      </c>
      <c r="R129" s="5" t="n">
        <v>0</v>
      </c>
      <c r="S129" s="12" t="s">
        <v>159</v>
      </c>
      <c r="T129" s="4" t="s">
        <v>188</v>
      </c>
      <c r="U129" s="12" t="s">
        <v>158</v>
      </c>
      <c r="V129" s="5" t="n">
        <v>0</v>
      </c>
      <c r="W129" s="12" t="s">
        <v>159</v>
      </c>
      <c r="X129" s="12" t="n">
        <v>5</v>
      </c>
      <c r="Y129" s="4" t="s">
        <v>235</v>
      </c>
    </row>
    <row r="130" customFormat="false" ht="23.85" hidden="false" customHeight="false" outlineLevel="0" collapsed="false">
      <c r="A130" s="5" t="n">
        <v>43457</v>
      </c>
      <c r="B130" s="5" t="s">
        <v>71</v>
      </c>
      <c r="C130" s="5" t="s">
        <v>648</v>
      </c>
      <c r="D130" s="4" t="s">
        <v>34</v>
      </c>
      <c r="E130" s="4" t="s">
        <v>154</v>
      </c>
      <c r="F130" s="4" t="s">
        <v>166</v>
      </c>
      <c r="G130" s="4" t="s">
        <v>649</v>
      </c>
      <c r="H130" s="4" t="s">
        <v>650</v>
      </c>
      <c r="I130" s="12" t="s">
        <v>158</v>
      </c>
      <c r="J130" s="4"/>
      <c r="K130" s="5" t="s">
        <v>159</v>
      </c>
      <c r="L130" s="4" t="s">
        <v>501</v>
      </c>
      <c r="M130" s="12" t="s">
        <v>158</v>
      </c>
      <c r="N130" s="4" t="s">
        <v>650</v>
      </c>
      <c r="O130" s="12" t="s">
        <v>158</v>
      </c>
      <c r="P130" s="4" t="s">
        <v>169</v>
      </c>
      <c r="Q130" s="12" t="s">
        <v>158</v>
      </c>
      <c r="R130" s="5" t="n">
        <v>0</v>
      </c>
      <c r="S130" s="12" t="s">
        <v>159</v>
      </c>
      <c r="T130" s="4" t="s">
        <v>163</v>
      </c>
      <c r="U130" s="12" t="s">
        <v>158</v>
      </c>
      <c r="V130" s="5" t="n">
        <v>0</v>
      </c>
      <c r="W130" s="12" t="s">
        <v>159</v>
      </c>
      <c r="X130" s="12" t="n">
        <v>3</v>
      </c>
      <c r="Y130" s="4" t="s">
        <v>164</v>
      </c>
    </row>
    <row r="131" customFormat="false" ht="23.85" hidden="false" customHeight="false" outlineLevel="0" collapsed="false">
      <c r="A131" s="5" t="n">
        <v>43459</v>
      </c>
      <c r="B131" s="5" t="s">
        <v>71</v>
      </c>
      <c r="C131" s="5" t="s">
        <v>651</v>
      </c>
      <c r="D131" s="4" t="s">
        <v>18</v>
      </c>
      <c r="E131" s="4" t="s">
        <v>154</v>
      </c>
      <c r="F131" s="4" t="s">
        <v>383</v>
      </c>
      <c r="G131" s="4" t="s">
        <v>652</v>
      </c>
      <c r="H131" s="4" t="s">
        <v>653</v>
      </c>
      <c r="I131" s="12" t="s">
        <v>158</v>
      </c>
      <c r="J131" s="4"/>
      <c r="K131" s="5" t="s">
        <v>159</v>
      </c>
      <c r="L131" s="4"/>
      <c r="M131" s="12" t="s">
        <v>159</v>
      </c>
      <c r="N131" s="4" t="s">
        <v>654</v>
      </c>
      <c r="O131" s="12" t="s">
        <v>158</v>
      </c>
      <c r="P131" s="4" t="s">
        <v>205</v>
      </c>
      <c r="Q131" s="12" t="s">
        <v>158</v>
      </c>
      <c r="R131" s="5" t="n">
        <v>0</v>
      </c>
      <c r="S131" s="12" t="s">
        <v>159</v>
      </c>
      <c r="T131" s="4"/>
      <c r="U131" s="12" t="s">
        <v>159</v>
      </c>
      <c r="V131" s="5" t="n">
        <v>0</v>
      </c>
      <c r="W131" s="12" t="s">
        <v>159</v>
      </c>
      <c r="X131" s="12" t="n">
        <v>5</v>
      </c>
      <c r="Y131" s="4" t="s">
        <v>240</v>
      </c>
    </row>
    <row r="132" customFormat="false" ht="23.85" hidden="false" customHeight="false" outlineLevel="0" collapsed="false">
      <c r="A132" s="5" t="n">
        <v>43460</v>
      </c>
      <c r="B132" s="5" t="s">
        <v>71</v>
      </c>
      <c r="C132" s="5" t="s">
        <v>655</v>
      </c>
      <c r="D132" s="4" t="s">
        <v>18</v>
      </c>
      <c r="E132" s="4" t="s">
        <v>154</v>
      </c>
      <c r="F132" s="4" t="s">
        <v>383</v>
      </c>
      <c r="G132" s="4" t="s">
        <v>656</v>
      </c>
      <c r="H132" s="4" t="s">
        <v>656</v>
      </c>
      <c r="I132" s="12" t="s">
        <v>158</v>
      </c>
      <c r="J132" s="4"/>
      <c r="K132" s="5" t="s">
        <v>159</v>
      </c>
      <c r="L132" s="4"/>
      <c r="M132" s="12" t="s">
        <v>159</v>
      </c>
      <c r="N132" s="4" t="s">
        <v>657</v>
      </c>
      <c r="O132" s="12" t="s">
        <v>158</v>
      </c>
      <c r="P132" s="4" t="s">
        <v>205</v>
      </c>
      <c r="Q132" s="12" t="s">
        <v>158</v>
      </c>
      <c r="R132" s="5" t="n">
        <v>0</v>
      </c>
      <c r="S132" s="12" t="s">
        <v>159</v>
      </c>
      <c r="T132" s="4"/>
      <c r="U132" s="12" t="s">
        <v>159</v>
      </c>
      <c r="V132" s="5" t="n">
        <v>0</v>
      </c>
      <c r="W132" s="12" t="s">
        <v>159</v>
      </c>
      <c r="X132" s="12" t="n">
        <v>5</v>
      </c>
      <c r="Y132" s="4" t="s">
        <v>240</v>
      </c>
    </row>
    <row r="133" customFormat="false" ht="23.85" hidden="false" customHeight="false" outlineLevel="0" collapsed="false">
      <c r="A133" s="5" t="n">
        <v>43461</v>
      </c>
      <c r="B133" s="5" t="s">
        <v>71</v>
      </c>
      <c r="C133" s="5" t="s">
        <v>658</v>
      </c>
      <c r="D133" s="4" t="s">
        <v>34</v>
      </c>
      <c r="E133" s="4" t="s">
        <v>154</v>
      </c>
      <c r="F133" s="4" t="s">
        <v>383</v>
      </c>
      <c r="G133" s="4" t="s">
        <v>659</v>
      </c>
      <c r="H133" s="4" t="s">
        <v>659</v>
      </c>
      <c r="I133" s="12" t="s">
        <v>158</v>
      </c>
      <c r="J133" s="4"/>
      <c r="K133" s="5" t="s">
        <v>159</v>
      </c>
      <c r="L133" s="4"/>
      <c r="M133" s="12" t="s">
        <v>159</v>
      </c>
      <c r="N133" s="4" t="s">
        <v>659</v>
      </c>
      <c r="O133" s="12" t="s">
        <v>158</v>
      </c>
      <c r="P133" s="4" t="s">
        <v>188</v>
      </c>
      <c r="Q133" s="12" t="s">
        <v>158</v>
      </c>
      <c r="R133" s="5" t="n">
        <v>0</v>
      </c>
      <c r="S133" s="12" t="s">
        <v>159</v>
      </c>
      <c r="T133" s="4" t="s">
        <v>188</v>
      </c>
      <c r="U133" s="12" t="s">
        <v>158</v>
      </c>
      <c r="V133" s="5" t="n">
        <v>0</v>
      </c>
      <c r="W133" s="12" t="s">
        <v>159</v>
      </c>
      <c r="X133" s="12" t="n">
        <v>4</v>
      </c>
      <c r="Y133" s="4" t="s">
        <v>321</v>
      </c>
    </row>
    <row r="134" customFormat="false" ht="23.85" hidden="false" customHeight="false" outlineLevel="0" collapsed="false">
      <c r="A134" s="5" t="n">
        <v>43462</v>
      </c>
      <c r="B134" s="5" t="s">
        <v>71</v>
      </c>
      <c r="C134" s="5" t="s">
        <v>660</v>
      </c>
      <c r="D134" s="4" t="s">
        <v>18</v>
      </c>
      <c r="E134" s="4" t="s">
        <v>154</v>
      </c>
      <c r="F134" s="4" t="s">
        <v>383</v>
      </c>
      <c r="G134" s="4" t="s">
        <v>661</v>
      </c>
      <c r="H134" s="4" t="s">
        <v>661</v>
      </c>
      <c r="I134" s="12" t="s">
        <v>158</v>
      </c>
      <c r="J134" s="4"/>
      <c r="K134" s="5" t="s">
        <v>159</v>
      </c>
      <c r="L134" s="4" t="s">
        <v>662</v>
      </c>
      <c r="M134" s="12" t="s">
        <v>158</v>
      </c>
      <c r="N134" s="4"/>
      <c r="O134" s="12" t="s">
        <v>159</v>
      </c>
      <c r="P134" s="4" t="s">
        <v>394</v>
      </c>
      <c r="Q134" s="12" t="s">
        <v>158</v>
      </c>
      <c r="R134" s="5" t="n">
        <v>0</v>
      </c>
      <c r="S134" s="12" t="s">
        <v>159</v>
      </c>
      <c r="T134" s="4"/>
      <c r="U134" s="12" t="s">
        <v>159</v>
      </c>
      <c r="V134" s="5" t="n">
        <v>0</v>
      </c>
      <c r="W134" s="12" t="s">
        <v>159</v>
      </c>
      <c r="X134" s="12" t="n">
        <v>5</v>
      </c>
      <c r="Y134" s="4" t="s">
        <v>310</v>
      </c>
    </row>
    <row r="135" customFormat="false" ht="23.85" hidden="false" customHeight="false" outlineLevel="0" collapsed="false">
      <c r="A135" s="5" t="n">
        <v>43464</v>
      </c>
      <c r="B135" s="5" t="s">
        <v>71</v>
      </c>
      <c r="C135" s="5" t="s">
        <v>663</v>
      </c>
      <c r="D135" s="4" t="s">
        <v>20</v>
      </c>
      <c r="E135" s="4" t="s">
        <v>154</v>
      </c>
      <c r="F135" s="4" t="s">
        <v>383</v>
      </c>
      <c r="G135" s="4" t="s">
        <v>664</v>
      </c>
      <c r="H135" s="4"/>
      <c r="I135" s="12" t="s">
        <v>159</v>
      </c>
      <c r="J135" s="4"/>
      <c r="K135" s="5" t="s">
        <v>159</v>
      </c>
      <c r="L135" s="4"/>
      <c r="M135" s="12" t="s">
        <v>159</v>
      </c>
      <c r="N135" s="4"/>
      <c r="O135" s="12" t="s">
        <v>159</v>
      </c>
      <c r="P135" s="4"/>
      <c r="Q135" s="12" t="s">
        <v>159</v>
      </c>
      <c r="R135" s="5" t="n">
        <v>0</v>
      </c>
      <c r="S135" s="12" t="s">
        <v>159</v>
      </c>
      <c r="T135" s="4"/>
      <c r="U135" s="12" t="s">
        <v>159</v>
      </c>
      <c r="V135" s="5" t="n">
        <v>0</v>
      </c>
      <c r="W135" s="12" t="s">
        <v>159</v>
      </c>
      <c r="X135" s="12" t="n">
        <v>8</v>
      </c>
      <c r="Y135" s="4" t="s">
        <v>285</v>
      </c>
    </row>
    <row r="136" customFormat="false" ht="23.85" hidden="false" customHeight="false" outlineLevel="0" collapsed="false">
      <c r="A136" s="5" t="n">
        <v>43465</v>
      </c>
      <c r="B136" s="5" t="s">
        <v>71</v>
      </c>
      <c r="C136" s="5" t="s">
        <v>665</v>
      </c>
      <c r="D136" s="4" t="s">
        <v>20</v>
      </c>
      <c r="E136" s="4" t="s">
        <v>154</v>
      </c>
      <c r="F136" s="4" t="s">
        <v>383</v>
      </c>
      <c r="G136" s="4" t="s">
        <v>666</v>
      </c>
      <c r="H136" s="4"/>
      <c r="I136" s="12" t="s">
        <v>159</v>
      </c>
      <c r="J136" s="4"/>
      <c r="K136" s="5" t="s">
        <v>159</v>
      </c>
      <c r="L136" s="4"/>
      <c r="M136" s="12" t="s">
        <v>159</v>
      </c>
      <c r="N136" s="4"/>
      <c r="O136" s="12" t="s">
        <v>159</v>
      </c>
      <c r="P136" s="4"/>
      <c r="Q136" s="12" t="s">
        <v>159</v>
      </c>
      <c r="R136" s="5" t="n">
        <v>0</v>
      </c>
      <c r="S136" s="12" t="s">
        <v>159</v>
      </c>
      <c r="T136" s="4"/>
      <c r="U136" s="12" t="s">
        <v>159</v>
      </c>
      <c r="V136" s="5" t="n">
        <v>0</v>
      </c>
      <c r="W136" s="12" t="s">
        <v>159</v>
      </c>
      <c r="X136" s="12" t="n">
        <v>8</v>
      </c>
      <c r="Y136" s="4" t="s">
        <v>285</v>
      </c>
    </row>
    <row r="137" customFormat="false" ht="23.85" hidden="false" customHeight="false" outlineLevel="0" collapsed="false">
      <c r="A137" s="5" t="n">
        <v>43466</v>
      </c>
      <c r="B137" s="5" t="s">
        <v>71</v>
      </c>
      <c r="C137" s="5" t="s">
        <v>667</v>
      </c>
      <c r="D137" s="4" t="s">
        <v>32</v>
      </c>
      <c r="E137" s="4" t="s">
        <v>171</v>
      </c>
      <c r="F137" s="4" t="s">
        <v>383</v>
      </c>
      <c r="G137" s="4" t="s">
        <v>668</v>
      </c>
      <c r="H137" s="4" t="s">
        <v>669</v>
      </c>
      <c r="I137" s="12" t="s">
        <v>158</v>
      </c>
      <c r="J137" s="4"/>
      <c r="K137" s="5" t="s">
        <v>159</v>
      </c>
      <c r="L137" s="4"/>
      <c r="M137" s="12" t="s">
        <v>159</v>
      </c>
      <c r="N137" s="4"/>
      <c r="O137" s="12" t="s">
        <v>159</v>
      </c>
      <c r="P137" s="4"/>
      <c r="Q137" s="12" t="s">
        <v>159</v>
      </c>
      <c r="R137" s="5" t="n">
        <v>0</v>
      </c>
      <c r="S137" s="12" t="s">
        <v>159</v>
      </c>
      <c r="T137" s="4"/>
      <c r="U137" s="12" t="s">
        <v>159</v>
      </c>
      <c r="V137" s="5" t="n">
        <v>0</v>
      </c>
      <c r="W137" s="12" t="s">
        <v>159</v>
      </c>
      <c r="X137" s="12" t="n">
        <v>7</v>
      </c>
      <c r="Y137" s="4" t="s">
        <v>174</v>
      </c>
    </row>
    <row r="138" customFormat="false" ht="23.85" hidden="false" customHeight="false" outlineLevel="0" collapsed="false">
      <c r="A138" s="5" t="n">
        <v>43467</v>
      </c>
      <c r="B138" s="5" t="s">
        <v>71</v>
      </c>
      <c r="C138" s="5" t="s">
        <v>521</v>
      </c>
      <c r="D138" s="4" t="s">
        <v>32</v>
      </c>
      <c r="E138" s="4" t="s">
        <v>171</v>
      </c>
      <c r="F138" s="4" t="s">
        <v>166</v>
      </c>
      <c r="G138" s="4" t="s">
        <v>670</v>
      </c>
      <c r="H138" s="4" t="s">
        <v>671</v>
      </c>
      <c r="I138" s="12" t="s">
        <v>158</v>
      </c>
      <c r="J138" s="4"/>
      <c r="K138" s="5" t="s">
        <v>159</v>
      </c>
      <c r="L138" s="4"/>
      <c r="M138" s="12" t="s">
        <v>159</v>
      </c>
      <c r="N138" s="4"/>
      <c r="O138" s="12" t="s">
        <v>159</v>
      </c>
      <c r="P138" s="4"/>
      <c r="Q138" s="12" t="s">
        <v>159</v>
      </c>
      <c r="R138" s="5" t="n">
        <v>0</v>
      </c>
      <c r="S138" s="12" t="s">
        <v>159</v>
      </c>
      <c r="T138" s="4"/>
      <c r="U138" s="12" t="s">
        <v>159</v>
      </c>
      <c r="V138" s="5" t="n">
        <v>0</v>
      </c>
      <c r="W138" s="12" t="s">
        <v>159</v>
      </c>
      <c r="X138" s="12" t="n">
        <v>7</v>
      </c>
      <c r="Y138" s="4" t="s">
        <v>174</v>
      </c>
    </row>
    <row r="139" customFormat="false" ht="23.85" hidden="false" customHeight="false" outlineLevel="0" collapsed="false">
      <c r="A139" s="5" t="n">
        <v>43468</v>
      </c>
      <c r="B139" s="5" t="s">
        <v>71</v>
      </c>
      <c r="C139" s="5" t="s">
        <v>672</v>
      </c>
      <c r="D139" s="4" t="s">
        <v>32</v>
      </c>
      <c r="E139" s="4" t="s">
        <v>171</v>
      </c>
      <c r="F139" s="4" t="s">
        <v>383</v>
      </c>
      <c r="G139" s="4" t="s">
        <v>673</v>
      </c>
      <c r="H139" s="4" t="s">
        <v>674</v>
      </c>
      <c r="I139" s="12" t="s">
        <v>158</v>
      </c>
      <c r="J139" s="4"/>
      <c r="K139" s="5" t="s">
        <v>159</v>
      </c>
      <c r="L139" s="4"/>
      <c r="M139" s="12" t="s">
        <v>159</v>
      </c>
      <c r="N139" s="4"/>
      <c r="O139" s="12" t="s">
        <v>159</v>
      </c>
      <c r="P139" s="4"/>
      <c r="Q139" s="12" t="s">
        <v>159</v>
      </c>
      <c r="R139" s="5" t="n">
        <v>0</v>
      </c>
      <c r="S139" s="12" t="s">
        <v>159</v>
      </c>
      <c r="T139" s="4"/>
      <c r="U139" s="12" t="s">
        <v>159</v>
      </c>
      <c r="V139" s="5" t="n">
        <v>0</v>
      </c>
      <c r="W139" s="12" t="s">
        <v>159</v>
      </c>
      <c r="X139" s="12" t="n">
        <v>7</v>
      </c>
      <c r="Y139" s="4" t="s">
        <v>174</v>
      </c>
    </row>
    <row r="140" customFormat="false" ht="23.85" hidden="false" customHeight="false" outlineLevel="0" collapsed="false">
      <c r="A140" s="5" t="n">
        <v>43469</v>
      </c>
      <c r="B140" s="5" t="s">
        <v>71</v>
      </c>
      <c r="C140" s="5" t="s">
        <v>675</v>
      </c>
      <c r="D140" s="4" t="s">
        <v>30</v>
      </c>
      <c r="E140" s="4" t="s">
        <v>171</v>
      </c>
      <c r="F140" s="4" t="s">
        <v>383</v>
      </c>
      <c r="G140" s="4" t="s">
        <v>676</v>
      </c>
      <c r="H140" s="4" t="s">
        <v>677</v>
      </c>
      <c r="I140" s="12" t="s">
        <v>158</v>
      </c>
      <c r="J140" s="4"/>
      <c r="K140" s="5" t="s">
        <v>159</v>
      </c>
      <c r="L140" s="4"/>
      <c r="M140" s="12" t="s">
        <v>159</v>
      </c>
      <c r="N140" s="4"/>
      <c r="O140" s="12" t="s">
        <v>159</v>
      </c>
      <c r="P140" s="4" t="s">
        <v>163</v>
      </c>
      <c r="Q140" s="12" t="s">
        <v>158</v>
      </c>
      <c r="R140" s="5" t="n">
        <v>0</v>
      </c>
      <c r="S140" s="12" t="s">
        <v>159</v>
      </c>
      <c r="T140" s="4"/>
      <c r="U140" s="12" t="s">
        <v>159</v>
      </c>
      <c r="V140" s="5" t="n">
        <v>0</v>
      </c>
      <c r="W140" s="12" t="s">
        <v>159</v>
      </c>
      <c r="X140" s="12" t="n">
        <v>6</v>
      </c>
      <c r="Y140" s="4" t="s">
        <v>267</v>
      </c>
    </row>
    <row r="141" customFormat="false" ht="23.85" hidden="false" customHeight="false" outlineLevel="0" collapsed="false">
      <c r="A141" s="5" t="n">
        <v>43470</v>
      </c>
      <c r="B141" s="5" t="s">
        <v>71</v>
      </c>
      <c r="C141" s="5" t="s">
        <v>678</v>
      </c>
      <c r="D141" s="4" t="s">
        <v>30</v>
      </c>
      <c r="E141" s="4" t="s">
        <v>171</v>
      </c>
      <c r="F141" s="4" t="s">
        <v>383</v>
      </c>
      <c r="G141" s="4" t="s">
        <v>679</v>
      </c>
      <c r="H141" s="4" t="s">
        <v>680</v>
      </c>
      <c r="I141" s="12" t="s">
        <v>158</v>
      </c>
      <c r="J141" s="4"/>
      <c r="K141" s="5" t="s">
        <v>159</v>
      </c>
      <c r="L141" s="4"/>
      <c r="M141" s="12" t="s">
        <v>159</v>
      </c>
      <c r="N141" s="4"/>
      <c r="O141" s="12" t="s">
        <v>159</v>
      </c>
      <c r="P141" s="4" t="s">
        <v>394</v>
      </c>
      <c r="Q141" s="12" t="s">
        <v>158</v>
      </c>
      <c r="R141" s="5" t="n">
        <v>0</v>
      </c>
      <c r="S141" s="12" t="s">
        <v>159</v>
      </c>
      <c r="T141" s="4" t="s">
        <v>188</v>
      </c>
      <c r="U141" s="12" t="s">
        <v>158</v>
      </c>
      <c r="V141" s="5" t="n">
        <v>0</v>
      </c>
      <c r="W141" s="12" t="s">
        <v>159</v>
      </c>
      <c r="X141" s="12" t="n">
        <v>5</v>
      </c>
      <c r="Y141" s="4" t="s">
        <v>235</v>
      </c>
    </row>
    <row r="142" customFormat="false" ht="23.85" hidden="false" customHeight="false" outlineLevel="0" collapsed="false">
      <c r="A142" s="5" t="n">
        <v>43471</v>
      </c>
      <c r="B142" s="5" t="s">
        <v>71</v>
      </c>
      <c r="C142" s="5" t="s">
        <v>681</v>
      </c>
      <c r="D142" s="4" t="s">
        <v>30</v>
      </c>
      <c r="E142" s="4" t="s">
        <v>171</v>
      </c>
      <c r="F142" s="4" t="s">
        <v>383</v>
      </c>
      <c r="G142" s="4" t="s">
        <v>682</v>
      </c>
      <c r="H142" s="4" t="s">
        <v>683</v>
      </c>
      <c r="I142" s="12" t="s">
        <v>158</v>
      </c>
      <c r="J142" s="4"/>
      <c r="K142" s="5" t="s">
        <v>159</v>
      </c>
      <c r="L142" s="4"/>
      <c r="M142" s="12" t="s">
        <v>159</v>
      </c>
      <c r="N142" s="4"/>
      <c r="O142" s="12" t="s">
        <v>159</v>
      </c>
      <c r="P142" s="4" t="s">
        <v>394</v>
      </c>
      <c r="Q142" s="12" t="s">
        <v>158</v>
      </c>
      <c r="R142" s="5" t="n">
        <v>0</v>
      </c>
      <c r="S142" s="12" t="s">
        <v>159</v>
      </c>
      <c r="T142" s="4" t="s">
        <v>188</v>
      </c>
      <c r="U142" s="12" t="s">
        <v>158</v>
      </c>
      <c r="V142" s="5" t="n">
        <v>0</v>
      </c>
      <c r="W142" s="12" t="s">
        <v>159</v>
      </c>
      <c r="X142" s="12" t="n">
        <v>5</v>
      </c>
      <c r="Y142" s="4" t="s">
        <v>235</v>
      </c>
    </row>
    <row r="143" customFormat="false" ht="23.85" hidden="false" customHeight="false" outlineLevel="0" collapsed="false">
      <c r="A143" s="5" t="n">
        <v>43472</v>
      </c>
      <c r="B143" s="5" t="s">
        <v>71</v>
      </c>
      <c r="C143" s="5" t="s">
        <v>684</v>
      </c>
      <c r="D143" s="4" t="s">
        <v>30</v>
      </c>
      <c r="E143" s="4" t="s">
        <v>171</v>
      </c>
      <c r="F143" s="4" t="s">
        <v>383</v>
      </c>
      <c r="G143" s="4" t="s">
        <v>685</v>
      </c>
      <c r="H143" s="4" t="s">
        <v>686</v>
      </c>
      <c r="I143" s="12" t="s">
        <v>158</v>
      </c>
      <c r="J143" s="4"/>
      <c r="K143" s="5" t="s">
        <v>159</v>
      </c>
      <c r="L143" s="4"/>
      <c r="M143" s="12" t="s">
        <v>159</v>
      </c>
      <c r="N143" s="4"/>
      <c r="O143" s="12" t="s">
        <v>159</v>
      </c>
      <c r="P143" s="4" t="s">
        <v>394</v>
      </c>
      <c r="Q143" s="12" t="s">
        <v>158</v>
      </c>
      <c r="R143" s="5" t="n">
        <v>0</v>
      </c>
      <c r="S143" s="12" t="s">
        <v>159</v>
      </c>
      <c r="T143" s="4" t="s">
        <v>188</v>
      </c>
      <c r="U143" s="12" t="s">
        <v>158</v>
      </c>
      <c r="V143" s="5" t="n">
        <v>0</v>
      </c>
      <c r="W143" s="12" t="s">
        <v>159</v>
      </c>
      <c r="X143" s="12" t="n">
        <v>5</v>
      </c>
      <c r="Y143" s="4" t="s">
        <v>235</v>
      </c>
    </row>
    <row r="144" customFormat="false" ht="23.85" hidden="false" customHeight="false" outlineLevel="0" collapsed="false">
      <c r="A144" s="5" t="n">
        <v>43473</v>
      </c>
      <c r="B144" s="5" t="s">
        <v>71</v>
      </c>
      <c r="C144" s="5" t="s">
        <v>687</v>
      </c>
      <c r="D144" s="4" t="s">
        <v>30</v>
      </c>
      <c r="E144" s="4" t="s">
        <v>171</v>
      </c>
      <c r="F144" s="4" t="s">
        <v>383</v>
      </c>
      <c r="G144" s="4" t="s">
        <v>688</v>
      </c>
      <c r="H144" s="4" t="s">
        <v>689</v>
      </c>
      <c r="I144" s="12" t="s">
        <v>158</v>
      </c>
      <c r="J144" s="4"/>
      <c r="K144" s="5" t="s">
        <v>159</v>
      </c>
      <c r="L144" s="4"/>
      <c r="M144" s="12" t="s">
        <v>159</v>
      </c>
      <c r="N144" s="4"/>
      <c r="O144" s="12" t="s">
        <v>159</v>
      </c>
      <c r="P144" s="4" t="s">
        <v>205</v>
      </c>
      <c r="Q144" s="12" t="s">
        <v>158</v>
      </c>
      <c r="R144" s="5" t="n">
        <v>0</v>
      </c>
      <c r="S144" s="12" t="s">
        <v>159</v>
      </c>
      <c r="T144" s="4" t="s">
        <v>188</v>
      </c>
      <c r="U144" s="12" t="s">
        <v>158</v>
      </c>
      <c r="V144" s="5" t="n">
        <v>0</v>
      </c>
      <c r="W144" s="12" t="s">
        <v>159</v>
      </c>
      <c r="X144" s="12" t="n">
        <v>5</v>
      </c>
      <c r="Y144" s="4" t="s">
        <v>235</v>
      </c>
    </row>
    <row r="145" customFormat="false" ht="23.85" hidden="false" customHeight="false" outlineLevel="0" collapsed="false">
      <c r="A145" s="5" t="n">
        <v>43474</v>
      </c>
      <c r="B145" s="5" t="s">
        <v>71</v>
      </c>
      <c r="C145" s="5" t="s">
        <v>690</v>
      </c>
      <c r="D145" s="4" t="s">
        <v>30</v>
      </c>
      <c r="E145" s="4" t="s">
        <v>171</v>
      </c>
      <c r="F145" s="4" t="s">
        <v>383</v>
      </c>
      <c r="G145" s="4" t="s">
        <v>691</v>
      </c>
      <c r="H145" s="4" t="s">
        <v>692</v>
      </c>
      <c r="I145" s="12" t="s">
        <v>158</v>
      </c>
      <c r="J145" s="4"/>
      <c r="K145" s="5" t="s">
        <v>159</v>
      </c>
      <c r="L145" s="4"/>
      <c r="M145" s="12" t="s">
        <v>159</v>
      </c>
      <c r="N145" s="4"/>
      <c r="O145" s="12" t="s">
        <v>159</v>
      </c>
      <c r="P145" s="4" t="s">
        <v>394</v>
      </c>
      <c r="Q145" s="12" t="s">
        <v>158</v>
      </c>
      <c r="R145" s="5" t="n">
        <v>0</v>
      </c>
      <c r="S145" s="12" t="s">
        <v>159</v>
      </c>
      <c r="T145" s="4" t="s">
        <v>188</v>
      </c>
      <c r="U145" s="12" t="s">
        <v>158</v>
      </c>
      <c r="V145" s="5" t="n">
        <v>0</v>
      </c>
      <c r="W145" s="12" t="s">
        <v>159</v>
      </c>
      <c r="X145" s="12" t="n">
        <v>5</v>
      </c>
      <c r="Y145" s="4" t="s">
        <v>235</v>
      </c>
    </row>
    <row r="146" customFormat="false" ht="23.85" hidden="false" customHeight="false" outlineLevel="0" collapsed="false">
      <c r="A146" s="5" t="n">
        <v>43475</v>
      </c>
      <c r="B146" s="5" t="s">
        <v>72</v>
      </c>
      <c r="C146" s="5" t="s">
        <v>693</v>
      </c>
      <c r="D146" s="4" t="s">
        <v>22</v>
      </c>
      <c r="E146" s="4" t="s">
        <v>176</v>
      </c>
      <c r="F146" s="4" t="s">
        <v>155</v>
      </c>
      <c r="G146" s="4" t="s">
        <v>694</v>
      </c>
      <c r="H146" s="4" t="s">
        <v>695</v>
      </c>
      <c r="I146" s="12" t="s">
        <v>158</v>
      </c>
      <c r="J146" s="4"/>
      <c r="K146" s="5" t="s">
        <v>159</v>
      </c>
      <c r="L146" s="4" t="s">
        <v>501</v>
      </c>
      <c r="M146" s="12" t="s">
        <v>158</v>
      </c>
      <c r="N146" s="4"/>
      <c r="O146" s="12" t="s">
        <v>159</v>
      </c>
      <c r="P146" s="4" t="s">
        <v>696</v>
      </c>
      <c r="Q146" s="12" t="s">
        <v>158</v>
      </c>
      <c r="R146" s="5" t="n">
        <v>0</v>
      </c>
      <c r="S146" s="12" t="s">
        <v>159</v>
      </c>
      <c r="T146" s="4" t="s">
        <v>188</v>
      </c>
      <c r="U146" s="12" t="s">
        <v>158</v>
      </c>
      <c r="V146" s="5" t="n">
        <v>0</v>
      </c>
      <c r="W146" s="12" t="s">
        <v>159</v>
      </c>
      <c r="X146" s="12" t="n">
        <v>4</v>
      </c>
      <c r="Y146" s="4" t="s">
        <v>216</v>
      </c>
    </row>
    <row r="147" customFormat="false" ht="23.85" hidden="false" customHeight="false" outlineLevel="0" collapsed="false">
      <c r="A147" s="5" t="n">
        <v>43479</v>
      </c>
      <c r="B147" s="5" t="s">
        <v>72</v>
      </c>
      <c r="C147" s="5" t="s">
        <v>492</v>
      </c>
      <c r="D147" s="4" t="s">
        <v>22</v>
      </c>
      <c r="E147" s="4" t="s">
        <v>176</v>
      </c>
      <c r="F147" s="4" t="s">
        <v>155</v>
      </c>
      <c r="G147" s="4" t="s">
        <v>697</v>
      </c>
      <c r="H147" s="4" t="s">
        <v>698</v>
      </c>
      <c r="I147" s="12" t="s">
        <v>158</v>
      </c>
      <c r="J147" s="4"/>
      <c r="K147" s="5" t="s">
        <v>159</v>
      </c>
      <c r="L147" s="4" t="s">
        <v>699</v>
      </c>
      <c r="M147" s="12" t="s">
        <v>158</v>
      </c>
      <c r="N147" s="4" t="s">
        <v>289</v>
      </c>
      <c r="O147" s="12" t="s">
        <v>158</v>
      </c>
      <c r="P147" s="4" t="s">
        <v>541</v>
      </c>
      <c r="Q147" s="12" t="s">
        <v>158</v>
      </c>
      <c r="R147" s="5" t="n">
        <v>0</v>
      </c>
      <c r="S147" s="12" t="s">
        <v>159</v>
      </c>
      <c r="T147" s="4" t="s">
        <v>188</v>
      </c>
      <c r="U147" s="12" t="s">
        <v>158</v>
      </c>
      <c r="V147" s="5" t="n">
        <v>0</v>
      </c>
      <c r="W147" s="12" t="s">
        <v>159</v>
      </c>
      <c r="X147" s="12" t="n">
        <v>3</v>
      </c>
      <c r="Y147" s="4" t="s">
        <v>164</v>
      </c>
    </row>
    <row r="148" customFormat="false" ht="23.85" hidden="false" customHeight="false" outlineLevel="0" collapsed="false">
      <c r="A148" s="5" t="n">
        <v>43492</v>
      </c>
      <c r="B148" s="5" t="s">
        <v>72</v>
      </c>
      <c r="C148" s="5" t="s">
        <v>700</v>
      </c>
      <c r="D148" s="4" t="s">
        <v>32</v>
      </c>
      <c r="E148" s="4" t="s">
        <v>171</v>
      </c>
      <c r="F148" s="4" t="s">
        <v>166</v>
      </c>
      <c r="G148" s="4" t="s">
        <v>701</v>
      </c>
      <c r="H148" s="4" t="s">
        <v>702</v>
      </c>
      <c r="I148" s="12" t="s">
        <v>158</v>
      </c>
      <c r="J148" s="4"/>
      <c r="K148" s="5" t="s">
        <v>159</v>
      </c>
      <c r="L148" s="4"/>
      <c r="M148" s="12" t="s">
        <v>159</v>
      </c>
      <c r="N148" s="4"/>
      <c r="O148" s="12" t="s">
        <v>159</v>
      </c>
      <c r="P148" s="4"/>
      <c r="Q148" s="12" t="s">
        <v>159</v>
      </c>
      <c r="R148" s="5" t="n">
        <v>0</v>
      </c>
      <c r="S148" s="12" t="s">
        <v>159</v>
      </c>
      <c r="T148" s="4"/>
      <c r="U148" s="12" t="s">
        <v>159</v>
      </c>
      <c r="V148" s="5" t="n">
        <v>0</v>
      </c>
      <c r="W148" s="12" t="s">
        <v>159</v>
      </c>
      <c r="X148" s="12" t="n">
        <v>7</v>
      </c>
      <c r="Y148" s="4" t="s">
        <v>174</v>
      </c>
    </row>
    <row r="149" customFormat="false" ht="23.85" hidden="false" customHeight="false" outlineLevel="0" collapsed="false">
      <c r="A149" s="5" t="n">
        <v>43502</v>
      </c>
      <c r="B149" s="5" t="s">
        <v>72</v>
      </c>
      <c r="C149" s="5" t="s">
        <v>170</v>
      </c>
      <c r="D149" s="4" t="s">
        <v>18</v>
      </c>
      <c r="E149" s="4" t="s">
        <v>154</v>
      </c>
      <c r="F149" s="4" t="s">
        <v>383</v>
      </c>
      <c r="G149" s="4" t="s">
        <v>703</v>
      </c>
      <c r="H149" s="4" t="s">
        <v>704</v>
      </c>
      <c r="I149" s="12" t="s">
        <v>158</v>
      </c>
      <c r="J149" s="4"/>
      <c r="K149" s="5" t="s">
        <v>159</v>
      </c>
      <c r="L149" s="4" t="s">
        <v>705</v>
      </c>
      <c r="M149" s="12" t="s">
        <v>158</v>
      </c>
      <c r="N149" s="4"/>
      <c r="O149" s="12" t="s">
        <v>159</v>
      </c>
      <c r="P149" s="4" t="s">
        <v>394</v>
      </c>
      <c r="Q149" s="12" t="s">
        <v>158</v>
      </c>
      <c r="R149" s="5" t="n">
        <v>0</v>
      </c>
      <c r="S149" s="12" t="s">
        <v>159</v>
      </c>
      <c r="T149" s="4"/>
      <c r="U149" s="12" t="s">
        <v>159</v>
      </c>
      <c r="V149" s="5" t="n">
        <v>0</v>
      </c>
      <c r="W149" s="12" t="s">
        <v>159</v>
      </c>
      <c r="X149" s="12" t="n">
        <v>5</v>
      </c>
      <c r="Y149" s="4" t="s">
        <v>310</v>
      </c>
    </row>
    <row r="150" customFormat="false" ht="15" hidden="false" customHeight="false" outlineLevel="0" collapsed="false">
      <c r="A150" s="5" t="n">
        <v>43507</v>
      </c>
      <c r="B150" s="5" t="s">
        <v>72</v>
      </c>
      <c r="C150" s="5" t="s">
        <v>706</v>
      </c>
      <c r="D150" s="4" t="s">
        <v>30</v>
      </c>
      <c r="E150" s="4" t="s">
        <v>171</v>
      </c>
      <c r="F150" s="4" t="s">
        <v>383</v>
      </c>
      <c r="G150" s="4" t="s">
        <v>707</v>
      </c>
      <c r="H150" s="4" t="s">
        <v>708</v>
      </c>
      <c r="I150" s="12" t="s">
        <v>158</v>
      </c>
      <c r="J150" s="4" t="s">
        <v>709</v>
      </c>
      <c r="K150" s="5" t="s">
        <v>158</v>
      </c>
      <c r="L150" s="4" t="s">
        <v>710</v>
      </c>
      <c r="M150" s="12" t="s">
        <v>158</v>
      </c>
      <c r="N150" s="4"/>
      <c r="O150" s="12" t="s">
        <v>159</v>
      </c>
      <c r="P150" s="4" t="s">
        <v>163</v>
      </c>
      <c r="Q150" s="12" t="s">
        <v>158</v>
      </c>
      <c r="R150" s="5" t="n">
        <v>0</v>
      </c>
      <c r="S150" s="12" t="s">
        <v>159</v>
      </c>
      <c r="T150" s="4" t="s">
        <v>163</v>
      </c>
      <c r="U150" s="12" t="s">
        <v>158</v>
      </c>
      <c r="V150" s="5" t="n">
        <v>0</v>
      </c>
      <c r="W150" s="12" t="s">
        <v>159</v>
      </c>
      <c r="X150" s="12" t="n">
        <v>3</v>
      </c>
      <c r="Y150" s="4" t="s">
        <v>711</v>
      </c>
    </row>
    <row r="151" customFormat="false" ht="23.85" hidden="false" customHeight="false" outlineLevel="0" collapsed="false">
      <c r="A151" s="5" t="n">
        <v>43508</v>
      </c>
      <c r="B151" s="5" t="s">
        <v>72</v>
      </c>
      <c r="C151" s="5" t="s">
        <v>712</v>
      </c>
      <c r="D151" s="4" t="s">
        <v>30</v>
      </c>
      <c r="E151" s="4" t="s">
        <v>171</v>
      </c>
      <c r="F151" s="4" t="s">
        <v>383</v>
      </c>
      <c r="G151" s="4" t="s">
        <v>713</v>
      </c>
      <c r="H151" s="4" t="s">
        <v>714</v>
      </c>
      <c r="I151" s="12" t="s">
        <v>158</v>
      </c>
      <c r="J151" s="4"/>
      <c r="K151" s="5" t="s">
        <v>159</v>
      </c>
      <c r="L151" s="4"/>
      <c r="M151" s="12" t="s">
        <v>159</v>
      </c>
      <c r="N151" s="4"/>
      <c r="O151" s="12" t="s">
        <v>159</v>
      </c>
      <c r="P151" s="4" t="s">
        <v>163</v>
      </c>
      <c r="Q151" s="12" t="s">
        <v>158</v>
      </c>
      <c r="R151" s="5" t="n">
        <v>0</v>
      </c>
      <c r="S151" s="12" t="s">
        <v>159</v>
      </c>
      <c r="T151" s="4" t="s">
        <v>163</v>
      </c>
      <c r="U151" s="12" t="s">
        <v>158</v>
      </c>
      <c r="V151" s="5" t="n">
        <v>0</v>
      </c>
      <c r="W151" s="12" t="s">
        <v>159</v>
      </c>
      <c r="X151" s="12" t="n">
        <v>5</v>
      </c>
      <c r="Y151" s="4" t="s">
        <v>235</v>
      </c>
    </row>
    <row r="152" customFormat="false" ht="23.85" hidden="false" customHeight="false" outlineLevel="0" collapsed="false">
      <c r="A152" s="5" t="n">
        <v>43509</v>
      </c>
      <c r="B152" s="5" t="s">
        <v>72</v>
      </c>
      <c r="C152" s="5" t="s">
        <v>467</v>
      </c>
      <c r="D152" s="4" t="s">
        <v>30</v>
      </c>
      <c r="E152" s="4" t="s">
        <v>171</v>
      </c>
      <c r="F152" s="4" t="s">
        <v>383</v>
      </c>
      <c r="G152" s="4" t="s">
        <v>715</v>
      </c>
      <c r="H152" s="4" t="s">
        <v>716</v>
      </c>
      <c r="I152" s="12" t="s">
        <v>158</v>
      </c>
      <c r="J152" s="4"/>
      <c r="K152" s="5" t="s">
        <v>159</v>
      </c>
      <c r="L152" s="4"/>
      <c r="M152" s="12" t="s">
        <v>159</v>
      </c>
      <c r="N152" s="4"/>
      <c r="O152" s="12" t="s">
        <v>159</v>
      </c>
      <c r="P152" s="4" t="s">
        <v>163</v>
      </c>
      <c r="Q152" s="12" t="s">
        <v>158</v>
      </c>
      <c r="R152" s="5" t="n">
        <v>0</v>
      </c>
      <c r="S152" s="12" t="s">
        <v>159</v>
      </c>
      <c r="T152" s="4" t="s">
        <v>163</v>
      </c>
      <c r="U152" s="12" t="s">
        <v>158</v>
      </c>
      <c r="V152" s="5" t="n">
        <v>0</v>
      </c>
      <c r="W152" s="12" t="s">
        <v>159</v>
      </c>
      <c r="X152" s="12" t="n">
        <v>5</v>
      </c>
      <c r="Y152" s="4" t="s">
        <v>235</v>
      </c>
    </row>
    <row r="153" customFormat="false" ht="23.85" hidden="false" customHeight="false" outlineLevel="0" collapsed="false">
      <c r="A153" s="5" t="n">
        <v>43510</v>
      </c>
      <c r="B153" s="5" t="s">
        <v>72</v>
      </c>
      <c r="C153" s="5" t="s">
        <v>717</v>
      </c>
      <c r="D153" s="4" t="s">
        <v>30</v>
      </c>
      <c r="E153" s="4" t="s">
        <v>171</v>
      </c>
      <c r="F153" s="4" t="s">
        <v>383</v>
      </c>
      <c r="G153" s="4" t="s">
        <v>718</v>
      </c>
      <c r="H153" s="4" t="s">
        <v>406</v>
      </c>
      <c r="I153" s="12" t="s">
        <v>158</v>
      </c>
      <c r="J153" s="4"/>
      <c r="K153" s="5" t="s">
        <v>159</v>
      </c>
      <c r="L153" s="4"/>
      <c r="M153" s="12" t="s">
        <v>159</v>
      </c>
      <c r="N153" s="4"/>
      <c r="O153" s="12" t="s">
        <v>159</v>
      </c>
      <c r="P153" s="4" t="s">
        <v>394</v>
      </c>
      <c r="Q153" s="12" t="s">
        <v>158</v>
      </c>
      <c r="R153" s="5" t="n">
        <v>0</v>
      </c>
      <c r="S153" s="12" t="s">
        <v>159</v>
      </c>
      <c r="T153" s="4" t="s">
        <v>188</v>
      </c>
      <c r="U153" s="12" t="s">
        <v>158</v>
      </c>
      <c r="V153" s="5" t="n">
        <v>0</v>
      </c>
      <c r="W153" s="12" t="s">
        <v>159</v>
      </c>
      <c r="X153" s="12" t="n">
        <v>5</v>
      </c>
      <c r="Y153" s="4" t="s">
        <v>235</v>
      </c>
    </row>
    <row r="154" customFormat="false" ht="23.85" hidden="false" customHeight="false" outlineLevel="0" collapsed="false">
      <c r="A154" s="5" t="n">
        <v>43511</v>
      </c>
      <c r="B154" s="5" t="s">
        <v>72</v>
      </c>
      <c r="C154" s="5" t="s">
        <v>470</v>
      </c>
      <c r="D154" s="4" t="s">
        <v>30</v>
      </c>
      <c r="E154" s="4" t="s">
        <v>171</v>
      </c>
      <c r="F154" s="4" t="s">
        <v>383</v>
      </c>
      <c r="G154" s="4" t="s">
        <v>719</v>
      </c>
      <c r="H154" s="4" t="s">
        <v>720</v>
      </c>
      <c r="I154" s="12" t="s">
        <v>158</v>
      </c>
      <c r="J154" s="4"/>
      <c r="K154" s="5" t="s">
        <v>159</v>
      </c>
      <c r="L154" s="4"/>
      <c r="M154" s="12" t="s">
        <v>159</v>
      </c>
      <c r="N154" s="4"/>
      <c r="O154" s="12" t="s">
        <v>159</v>
      </c>
      <c r="P154" s="4" t="s">
        <v>394</v>
      </c>
      <c r="Q154" s="12" t="s">
        <v>158</v>
      </c>
      <c r="R154" s="5" t="n">
        <v>0</v>
      </c>
      <c r="S154" s="12" t="s">
        <v>159</v>
      </c>
      <c r="T154" s="4" t="s">
        <v>188</v>
      </c>
      <c r="U154" s="12" t="s">
        <v>158</v>
      </c>
      <c r="V154" s="5" t="n">
        <v>0</v>
      </c>
      <c r="W154" s="12" t="s">
        <v>159</v>
      </c>
      <c r="X154" s="12" t="n">
        <v>5</v>
      </c>
      <c r="Y154" s="4" t="s">
        <v>235</v>
      </c>
    </row>
    <row r="155" customFormat="false" ht="23.85" hidden="false" customHeight="false" outlineLevel="0" collapsed="false">
      <c r="A155" s="5" t="n">
        <v>43512</v>
      </c>
      <c r="B155" s="5" t="s">
        <v>72</v>
      </c>
      <c r="C155" s="5" t="s">
        <v>476</v>
      </c>
      <c r="D155" s="4" t="s">
        <v>30</v>
      </c>
      <c r="E155" s="4" t="s">
        <v>171</v>
      </c>
      <c r="F155" s="4" t="s">
        <v>383</v>
      </c>
      <c r="G155" s="4" t="s">
        <v>226</v>
      </c>
      <c r="H155" s="4" t="s">
        <v>227</v>
      </c>
      <c r="I155" s="12" t="s">
        <v>158</v>
      </c>
      <c r="J155" s="4"/>
      <c r="K155" s="5" t="s">
        <v>159</v>
      </c>
      <c r="L155" s="4"/>
      <c r="M155" s="12" t="s">
        <v>159</v>
      </c>
      <c r="N155" s="4"/>
      <c r="O155" s="12" t="s">
        <v>159</v>
      </c>
      <c r="P155" s="4" t="s">
        <v>327</v>
      </c>
      <c r="Q155" s="12" t="s">
        <v>158</v>
      </c>
      <c r="R155" s="5" t="n">
        <v>0</v>
      </c>
      <c r="S155" s="12" t="s">
        <v>159</v>
      </c>
      <c r="T155" s="4"/>
      <c r="U155" s="12" t="s">
        <v>159</v>
      </c>
      <c r="V155" s="5" t="n">
        <v>0</v>
      </c>
      <c r="W155" s="12" t="s">
        <v>159</v>
      </c>
      <c r="X155" s="12" t="n">
        <v>6</v>
      </c>
      <c r="Y155" s="4" t="s">
        <v>267</v>
      </c>
    </row>
    <row r="156" customFormat="false" ht="23.85" hidden="false" customHeight="false" outlineLevel="0" collapsed="false">
      <c r="A156" s="5" t="n">
        <v>43513</v>
      </c>
      <c r="B156" s="5" t="s">
        <v>72</v>
      </c>
      <c r="C156" s="5" t="s">
        <v>721</v>
      </c>
      <c r="D156" s="4" t="s">
        <v>18</v>
      </c>
      <c r="E156" s="4" t="s">
        <v>154</v>
      </c>
      <c r="F156" s="4" t="s">
        <v>383</v>
      </c>
      <c r="G156" s="4" t="s">
        <v>722</v>
      </c>
      <c r="H156" s="4" t="s">
        <v>723</v>
      </c>
      <c r="I156" s="12" t="s">
        <v>158</v>
      </c>
      <c r="J156" s="4"/>
      <c r="K156" s="5" t="s">
        <v>159</v>
      </c>
      <c r="L156" s="4" t="s">
        <v>724</v>
      </c>
      <c r="M156" s="12" t="s">
        <v>158</v>
      </c>
      <c r="N156" s="4"/>
      <c r="O156" s="12" t="s">
        <v>159</v>
      </c>
      <c r="P156" s="4" t="s">
        <v>394</v>
      </c>
      <c r="Q156" s="12" t="s">
        <v>158</v>
      </c>
      <c r="R156" s="5" t="n">
        <v>0</v>
      </c>
      <c r="S156" s="12" t="s">
        <v>159</v>
      </c>
      <c r="T156" s="4"/>
      <c r="U156" s="12" t="s">
        <v>159</v>
      </c>
      <c r="V156" s="5" t="n">
        <v>0</v>
      </c>
      <c r="W156" s="12" t="s">
        <v>159</v>
      </c>
      <c r="X156" s="12" t="n">
        <v>5</v>
      </c>
      <c r="Y156" s="4" t="s">
        <v>310</v>
      </c>
    </row>
    <row r="157" customFormat="false" ht="23.85" hidden="false" customHeight="false" outlineLevel="0" collapsed="false">
      <c r="A157" s="5" t="n">
        <v>43514</v>
      </c>
      <c r="B157" s="5" t="s">
        <v>72</v>
      </c>
      <c r="C157" s="5" t="s">
        <v>725</v>
      </c>
      <c r="D157" s="4" t="s">
        <v>18</v>
      </c>
      <c r="E157" s="4" t="s">
        <v>154</v>
      </c>
      <c r="F157" s="4" t="s">
        <v>383</v>
      </c>
      <c r="G157" s="4" t="s">
        <v>726</v>
      </c>
      <c r="H157" s="4" t="s">
        <v>726</v>
      </c>
      <c r="I157" s="12" t="s">
        <v>158</v>
      </c>
      <c r="J157" s="4"/>
      <c r="K157" s="5" t="s">
        <v>159</v>
      </c>
      <c r="L157" s="4"/>
      <c r="M157" s="12" t="s">
        <v>159</v>
      </c>
      <c r="N157" s="4"/>
      <c r="O157" s="12" t="s">
        <v>159</v>
      </c>
      <c r="P157" s="4" t="s">
        <v>205</v>
      </c>
      <c r="Q157" s="12" t="s">
        <v>158</v>
      </c>
      <c r="R157" s="5" t="n">
        <v>0</v>
      </c>
      <c r="S157" s="12" t="s">
        <v>159</v>
      </c>
      <c r="T157" s="4"/>
      <c r="U157" s="12" t="s">
        <v>159</v>
      </c>
      <c r="V157" s="5" t="n">
        <v>0</v>
      </c>
      <c r="W157" s="12" t="s">
        <v>159</v>
      </c>
      <c r="X157" s="12" t="n">
        <v>6</v>
      </c>
      <c r="Y157" s="4" t="s">
        <v>267</v>
      </c>
    </row>
    <row r="158" customFormat="false" ht="23.85" hidden="false" customHeight="false" outlineLevel="0" collapsed="false">
      <c r="A158" s="5" t="n">
        <v>43521</v>
      </c>
      <c r="B158" s="5" t="s">
        <v>73</v>
      </c>
      <c r="C158" s="5" t="s">
        <v>727</v>
      </c>
      <c r="D158" s="4" t="s">
        <v>28</v>
      </c>
      <c r="E158" s="4" t="s">
        <v>171</v>
      </c>
      <c r="F158" s="4" t="s">
        <v>383</v>
      </c>
      <c r="G158" s="4" t="s">
        <v>728</v>
      </c>
      <c r="H158" s="4"/>
      <c r="I158" s="12" t="s">
        <v>159</v>
      </c>
      <c r="J158" s="4"/>
      <c r="K158" s="5" t="s">
        <v>159</v>
      </c>
      <c r="L158" s="4"/>
      <c r="M158" s="12" t="s">
        <v>159</v>
      </c>
      <c r="N158" s="4"/>
      <c r="O158" s="12" t="s">
        <v>159</v>
      </c>
      <c r="P158" s="4"/>
      <c r="Q158" s="12" t="s">
        <v>159</v>
      </c>
      <c r="R158" s="5" t="n">
        <v>0</v>
      </c>
      <c r="S158" s="12" t="s">
        <v>159</v>
      </c>
      <c r="T158" s="4"/>
      <c r="U158" s="12" t="s">
        <v>159</v>
      </c>
      <c r="V158" s="5" t="n">
        <v>0</v>
      </c>
      <c r="W158" s="12" t="s">
        <v>159</v>
      </c>
      <c r="X158" s="12" t="n">
        <v>8</v>
      </c>
      <c r="Y158" s="4" t="s">
        <v>285</v>
      </c>
    </row>
    <row r="159" customFormat="false" ht="23.85" hidden="false" customHeight="false" outlineLevel="0" collapsed="false">
      <c r="A159" s="5" t="n">
        <v>43522</v>
      </c>
      <c r="B159" s="5" t="s">
        <v>73</v>
      </c>
      <c r="C159" s="5" t="s">
        <v>729</v>
      </c>
      <c r="D159" s="4" t="s">
        <v>28</v>
      </c>
      <c r="E159" s="4" t="s">
        <v>171</v>
      </c>
      <c r="F159" s="4" t="s">
        <v>383</v>
      </c>
      <c r="G159" s="4" t="s">
        <v>730</v>
      </c>
      <c r="H159" s="4"/>
      <c r="I159" s="12" t="s">
        <v>159</v>
      </c>
      <c r="J159" s="4"/>
      <c r="K159" s="5" t="s">
        <v>159</v>
      </c>
      <c r="L159" s="4" t="s">
        <v>731</v>
      </c>
      <c r="M159" s="12" t="s">
        <v>158</v>
      </c>
      <c r="N159" s="4"/>
      <c r="O159" s="12" t="s">
        <v>159</v>
      </c>
      <c r="P159" s="4"/>
      <c r="Q159" s="12" t="s">
        <v>159</v>
      </c>
      <c r="R159" s="5" t="n">
        <v>0</v>
      </c>
      <c r="S159" s="12" t="s">
        <v>159</v>
      </c>
      <c r="T159" s="4"/>
      <c r="U159" s="12" t="s">
        <v>159</v>
      </c>
      <c r="V159" s="5" t="n">
        <v>0</v>
      </c>
      <c r="W159" s="12" t="s">
        <v>159</v>
      </c>
      <c r="X159" s="12" t="n">
        <v>7</v>
      </c>
      <c r="Y159" s="4" t="s">
        <v>581</v>
      </c>
    </row>
    <row r="160" customFormat="false" ht="23.85" hidden="false" customHeight="false" outlineLevel="0" collapsed="false">
      <c r="A160" s="5" t="n">
        <v>43523</v>
      </c>
      <c r="B160" s="5" t="s">
        <v>73</v>
      </c>
      <c r="C160" s="5" t="s">
        <v>331</v>
      </c>
      <c r="D160" s="4" t="s">
        <v>34</v>
      </c>
      <c r="E160" s="4" t="s">
        <v>154</v>
      </c>
      <c r="F160" s="4" t="s">
        <v>155</v>
      </c>
      <c r="G160" s="4" t="s">
        <v>732</v>
      </c>
      <c r="H160" s="4" t="s">
        <v>733</v>
      </c>
      <c r="I160" s="12" t="s">
        <v>158</v>
      </c>
      <c r="J160" s="4"/>
      <c r="K160" s="5" t="s">
        <v>159</v>
      </c>
      <c r="L160" s="4" t="s">
        <v>734</v>
      </c>
      <c r="M160" s="12" t="s">
        <v>158</v>
      </c>
      <c r="N160" s="4" t="s">
        <v>733</v>
      </c>
      <c r="O160" s="12" t="s">
        <v>158</v>
      </c>
      <c r="P160" s="4" t="s">
        <v>320</v>
      </c>
      <c r="Q160" s="12" t="s">
        <v>158</v>
      </c>
      <c r="R160" s="5" t="n">
        <v>0</v>
      </c>
      <c r="S160" s="12" t="s">
        <v>159</v>
      </c>
      <c r="T160" s="4" t="s">
        <v>188</v>
      </c>
      <c r="U160" s="12" t="s">
        <v>158</v>
      </c>
      <c r="V160" s="5" t="n">
        <v>0</v>
      </c>
      <c r="W160" s="12" t="s">
        <v>159</v>
      </c>
      <c r="X160" s="12" t="n">
        <v>3</v>
      </c>
      <c r="Y160" s="4" t="s">
        <v>164</v>
      </c>
    </row>
    <row r="161" customFormat="false" ht="23.85" hidden="false" customHeight="false" outlineLevel="0" collapsed="false">
      <c r="A161" s="5" t="n">
        <v>43524</v>
      </c>
      <c r="B161" s="5" t="s">
        <v>73</v>
      </c>
      <c r="C161" s="5" t="s">
        <v>735</v>
      </c>
      <c r="D161" s="4" t="s">
        <v>20</v>
      </c>
      <c r="E161" s="4" t="s">
        <v>154</v>
      </c>
      <c r="F161" s="4" t="s">
        <v>166</v>
      </c>
      <c r="G161" s="4" t="s">
        <v>736</v>
      </c>
      <c r="H161" s="4"/>
      <c r="I161" s="12" t="s">
        <v>159</v>
      </c>
      <c r="J161" s="4"/>
      <c r="K161" s="5" t="s">
        <v>159</v>
      </c>
      <c r="L161" s="4"/>
      <c r="M161" s="12" t="s">
        <v>159</v>
      </c>
      <c r="N161" s="4"/>
      <c r="O161" s="12" t="s">
        <v>159</v>
      </c>
      <c r="P161" s="4"/>
      <c r="Q161" s="12" t="s">
        <v>159</v>
      </c>
      <c r="R161" s="5" t="n">
        <v>0</v>
      </c>
      <c r="S161" s="12" t="s">
        <v>159</v>
      </c>
      <c r="T161" s="4"/>
      <c r="U161" s="12" t="s">
        <v>159</v>
      </c>
      <c r="V161" s="5" t="n">
        <v>0</v>
      </c>
      <c r="W161" s="12" t="s">
        <v>159</v>
      </c>
      <c r="X161" s="12" t="n">
        <v>8</v>
      </c>
      <c r="Y161" s="4" t="s">
        <v>285</v>
      </c>
    </row>
    <row r="162" customFormat="false" ht="23.85" hidden="false" customHeight="false" outlineLevel="0" collapsed="false">
      <c r="A162" s="5" t="n">
        <v>43525</v>
      </c>
      <c r="B162" s="5" t="s">
        <v>73</v>
      </c>
      <c r="C162" s="5" t="s">
        <v>737</v>
      </c>
      <c r="D162" s="4" t="s">
        <v>20</v>
      </c>
      <c r="E162" s="4" t="s">
        <v>154</v>
      </c>
      <c r="F162" s="4" t="s">
        <v>166</v>
      </c>
      <c r="G162" s="4" t="s">
        <v>738</v>
      </c>
      <c r="H162" s="4"/>
      <c r="I162" s="12" t="s">
        <v>159</v>
      </c>
      <c r="J162" s="4"/>
      <c r="K162" s="5" t="s">
        <v>159</v>
      </c>
      <c r="L162" s="4"/>
      <c r="M162" s="12" t="s">
        <v>159</v>
      </c>
      <c r="N162" s="4"/>
      <c r="O162" s="12" t="s">
        <v>159</v>
      </c>
      <c r="P162" s="4"/>
      <c r="Q162" s="12" t="s">
        <v>159</v>
      </c>
      <c r="R162" s="5" t="n">
        <v>0</v>
      </c>
      <c r="S162" s="12" t="s">
        <v>159</v>
      </c>
      <c r="T162" s="4"/>
      <c r="U162" s="12" t="s">
        <v>159</v>
      </c>
      <c r="V162" s="5" t="n">
        <v>0</v>
      </c>
      <c r="W162" s="12" t="s">
        <v>159</v>
      </c>
      <c r="X162" s="12" t="n">
        <v>8</v>
      </c>
      <c r="Y162" s="4" t="s">
        <v>285</v>
      </c>
    </row>
    <row r="163" customFormat="false" ht="23.85" hidden="false" customHeight="false" outlineLevel="0" collapsed="false">
      <c r="A163" s="5" t="n">
        <v>43526</v>
      </c>
      <c r="B163" s="5" t="s">
        <v>73</v>
      </c>
      <c r="C163" s="5" t="s">
        <v>297</v>
      </c>
      <c r="D163" s="4" t="s">
        <v>20</v>
      </c>
      <c r="E163" s="4" t="s">
        <v>154</v>
      </c>
      <c r="F163" s="4" t="s">
        <v>166</v>
      </c>
      <c r="G163" s="4" t="s">
        <v>739</v>
      </c>
      <c r="H163" s="4"/>
      <c r="I163" s="12" t="s">
        <v>159</v>
      </c>
      <c r="J163" s="4"/>
      <c r="K163" s="5" t="s">
        <v>159</v>
      </c>
      <c r="L163" s="4"/>
      <c r="M163" s="12" t="s">
        <v>159</v>
      </c>
      <c r="N163" s="4"/>
      <c r="O163" s="12" t="s">
        <v>159</v>
      </c>
      <c r="P163" s="4"/>
      <c r="Q163" s="12" t="s">
        <v>159</v>
      </c>
      <c r="R163" s="5" t="n">
        <v>0</v>
      </c>
      <c r="S163" s="12" t="s">
        <v>159</v>
      </c>
      <c r="T163" s="4"/>
      <c r="U163" s="12" t="s">
        <v>159</v>
      </c>
      <c r="V163" s="5" t="n">
        <v>0</v>
      </c>
      <c r="W163" s="12" t="s">
        <v>159</v>
      </c>
      <c r="X163" s="12" t="n">
        <v>8</v>
      </c>
      <c r="Y163" s="4" t="s">
        <v>285</v>
      </c>
    </row>
    <row r="164" customFormat="false" ht="23.85" hidden="false" customHeight="false" outlineLevel="0" collapsed="false">
      <c r="A164" s="5" t="n">
        <v>43527</v>
      </c>
      <c r="B164" s="5" t="s">
        <v>73</v>
      </c>
      <c r="C164" s="5" t="s">
        <v>740</v>
      </c>
      <c r="D164" s="4" t="s">
        <v>20</v>
      </c>
      <c r="E164" s="4" t="s">
        <v>154</v>
      </c>
      <c r="F164" s="4" t="s">
        <v>166</v>
      </c>
      <c r="G164" s="4" t="s">
        <v>741</v>
      </c>
      <c r="H164" s="4"/>
      <c r="I164" s="12" t="s">
        <v>159</v>
      </c>
      <c r="J164" s="4"/>
      <c r="K164" s="5" t="s">
        <v>159</v>
      </c>
      <c r="L164" s="4"/>
      <c r="M164" s="12" t="s">
        <v>159</v>
      </c>
      <c r="N164" s="4"/>
      <c r="O164" s="12" t="s">
        <v>159</v>
      </c>
      <c r="P164" s="4"/>
      <c r="Q164" s="12" t="s">
        <v>159</v>
      </c>
      <c r="R164" s="5" t="n">
        <v>0</v>
      </c>
      <c r="S164" s="12" t="s">
        <v>159</v>
      </c>
      <c r="T164" s="4"/>
      <c r="U164" s="12" t="s">
        <v>159</v>
      </c>
      <c r="V164" s="5" t="n">
        <v>0</v>
      </c>
      <c r="W164" s="12" t="s">
        <v>159</v>
      </c>
      <c r="X164" s="12" t="n">
        <v>8</v>
      </c>
      <c r="Y164" s="4" t="s">
        <v>285</v>
      </c>
    </row>
    <row r="165" customFormat="false" ht="23.85" hidden="false" customHeight="false" outlineLevel="0" collapsed="false">
      <c r="A165" s="5" t="n">
        <v>43528</v>
      </c>
      <c r="B165" s="5" t="s">
        <v>73</v>
      </c>
      <c r="C165" s="5" t="s">
        <v>742</v>
      </c>
      <c r="D165" s="4" t="s">
        <v>20</v>
      </c>
      <c r="E165" s="4" t="s">
        <v>154</v>
      </c>
      <c r="F165" s="4" t="s">
        <v>166</v>
      </c>
      <c r="G165" s="4" t="s">
        <v>743</v>
      </c>
      <c r="H165" s="4"/>
      <c r="I165" s="12" t="s">
        <v>159</v>
      </c>
      <c r="J165" s="4"/>
      <c r="K165" s="5" t="s">
        <v>159</v>
      </c>
      <c r="L165" s="4"/>
      <c r="M165" s="12" t="s">
        <v>159</v>
      </c>
      <c r="N165" s="4"/>
      <c r="O165" s="12" t="s">
        <v>159</v>
      </c>
      <c r="P165" s="4"/>
      <c r="Q165" s="12" t="s">
        <v>159</v>
      </c>
      <c r="R165" s="5" t="n">
        <v>0</v>
      </c>
      <c r="S165" s="12" t="s">
        <v>159</v>
      </c>
      <c r="T165" s="4"/>
      <c r="U165" s="12" t="s">
        <v>159</v>
      </c>
      <c r="V165" s="5" t="n">
        <v>0</v>
      </c>
      <c r="W165" s="12" t="s">
        <v>159</v>
      </c>
      <c r="X165" s="12" t="n">
        <v>8</v>
      </c>
      <c r="Y165" s="4" t="s">
        <v>285</v>
      </c>
    </row>
    <row r="166" customFormat="false" ht="23.85" hidden="false" customHeight="false" outlineLevel="0" collapsed="false">
      <c r="A166" s="5" t="n">
        <v>43529</v>
      </c>
      <c r="B166" s="5" t="s">
        <v>73</v>
      </c>
      <c r="C166" s="5" t="s">
        <v>744</v>
      </c>
      <c r="D166" s="4" t="s">
        <v>34</v>
      </c>
      <c r="E166" s="4" t="s">
        <v>154</v>
      </c>
      <c r="F166" s="4" t="s">
        <v>383</v>
      </c>
      <c r="G166" s="4" t="s">
        <v>745</v>
      </c>
      <c r="H166" s="4" t="s">
        <v>746</v>
      </c>
      <c r="I166" s="12" t="s">
        <v>158</v>
      </c>
      <c r="J166" s="4"/>
      <c r="K166" s="5" t="s">
        <v>159</v>
      </c>
      <c r="L166" s="4" t="s">
        <v>747</v>
      </c>
      <c r="M166" s="12" t="s">
        <v>158</v>
      </c>
      <c r="N166" s="4"/>
      <c r="O166" s="12" t="s">
        <v>159</v>
      </c>
      <c r="P166" s="4" t="s">
        <v>188</v>
      </c>
      <c r="Q166" s="12" t="s">
        <v>158</v>
      </c>
      <c r="R166" s="5" t="n">
        <v>0</v>
      </c>
      <c r="S166" s="12" t="s">
        <v>159</v>
      </c>
      <c r="T166" s="4" t="s">
        <v>188</v>
      </c>
      <c r="U166" s="12" t="s">
        <v>158</v>
      </c>
      <c r="V166" s="5" t="n">
        <v>0</v>
      </c>
      <c r="W166" s="12" t="s">
        <v>159</v>
      </c>
      <c r="X166" s="12" t="n">
        <v>4</v>
      </c>
      <c r="Y166" s="4" t="s">
        <v>216</v>
      </c>
    </row>
    <row r="167" customFormat="false" ht="23.85" hidden="false" customHeight="false" outlineLevel="0" collapsed="false">
      <c r="A167" s="5" t="n">
        <v>43530</v>
      </c>
      <c r="B167" s="5" t="s">
        <v>73</v>
      </c>
      <c r="C167" s="5" t="s">
        <v>748</v>
      </c>
      <c r="D167" s="4" t="s">
        <v>34</v>
      </c>
      <c r="E167" s="4" t="s">
        <v>154</v>
      </c>
      <c r="F167" s="4" t="s">
        <v>383</v>
      </c>
      <c r="G167" s="4" t="s">
        <v>749</v>
      </c>
      <c r="H167" s="4" t="s">
        <v>750</v>
      </c>
      <c r="I167" s="12" t="s">
        <v>158</v>
      </c>
      <c r="J167" s="4"/>
      <c r="K167" s="5" t="s">
        <v>159</v>
      </c>
      <c r="L167" s="4"/>
      <c r="M167" s="12" t="s">
        <v>159</v>
      </c>
      <c r="N167" s="4" t="s">
        <v>751</v>
      </c>
      <c r="O167" s="12" t="s">
        <v>158</v>
      </c>
      <c r="P167" s="4" t="s">
        <v>188</v>
      </c>
      <c r="Q167" s="12" t="s">
        <v>158</v>
      </c>
      <c r="R167" s="5" t="n">
        <v>0</v>
      </c>
      <c r="S167" s="12" t="s">
        <v>159</v>
      </c>
      <c r="T167" s="4" t="s">
        <v>188</v>
      </c>
      <c r="U167" s="12" t="s">
        <v>158</v>
      </c>
      <c r="V167" s="5" t="n">
        <v>0</v>
      </c>
      <c r="W167" s="12" t="s">
        <v>159</v>
      </c>
      <c r="X167" s="12" t="n">
        <v>4</v>
      </c>
      <c r="Y167" s="4" t="s">
        <v>321</v>
      </c>
    </row>
    <row r="168" customFormat="false" ht="23.85" hidden="false" customHeight="false" outlineLevel="0" collapsed="false">
      <c r="A168" s="5" t="n">
        <v>43531</v>
      </c>
      <c r="B168" s="5" t="s">
        <v>73</v>
      </c>
      <c r="C168" s="5" t="s">
        <v>752</v>
      </c>
      <c r="D168" s="4" t="s">
        <v>34</v>
      </c>
      <c r="E168" s="4" t="s">
        <v>154</v>
      </c>
      <c r="F168" s="4" t="s">
        <v>383</v>
      </c>
      <c r="G168" s="4" t="s">
        <v>275</v>
      </c>
      <c r="H168" s="4" t="s">
        <v>275</v>
      </c>
      <c r="I168" s="12" t="s">
        <v>158</v>
      </c>
      <c r="J168" s="4"/>
      <c r="K168" s="5" t="s">
        <v>159</v>
      </c>
      <c r="L168" s="4"/>
      <c r="M168" s="12" t="s">
        <v>159</v>
      </c>
      <c r="N168" s="4" t="s">
        <v>277</v>
      </c>
      <c r="O168" s="12" t="s">
        <v>158</v>
      </c>
      <c r="P168" s="4" t="s">
        <v>188</v>
      </c>
      <c r="Q168" s="12" t="s">
        <v>158</v>
      </c>
      <c r="R168" s="5" t="n">
        <v>0</v>
      </c>
      <c r="S168" s="12" t="s">
        <v>159</v>
      </c>
      <c r="T168" s="4" t="s">
        <v>188</v>
      </c>
      <c r="U168" s="12" t="s">
        <v>158</v>
      </c>
      <c r="V168" s="5" t="n">
        <v>0</v>
      </c>
      <c r="W168" s="12" t="s">
        <v>159</v>
      </c>
      <c r="X168" s="12" t="n">
        <v>4</v>
      </c>
      <c r="Y168" s="4" t="s">
        <v>321</v>
      </c>
    </row>
    <row r="169" customFormat="false" ht="23.85" hidden="false" customHeight="false" outlineLevel="0" collapsed="false">
      <c r="A169" s="5" t="n">
        <v>43532</v>
      </c>
      <c r="B169" s="5" t="s">
        <v>73</v>
      </c>
      <c r="C169" s="5" t="s">
        <v>753</v>
      </c>
      <c r="D169" s="4" t="s">
        <v>28</v>
      </c>
      <c r="E169" s="4" t="s">
        <v>171</v>
      </c>
      <c r="F169" s="4" t="s">
        <v>383</v>
      </c>
      <c r="G169" s="4" t="s">
        <v>754</v>
      </c>
      <c r="H169" s="4"/>
      <c r="I169" s="12" t="s">
        <v>159</v>
      </c>
      <c r="J169" s="4"/>
      <c r="K169" s="5" t="s">
        <v>159</v>
      </c>
      <c r="L169" s="4"/>
      <c r="M169" s="12" t="s">
        <v>159</v>
      </c>
      <c r="N169" s="4"/>
      <c r="O169" s="12" t="s">
        <v>159</v>
      </c>
      <c r="P169" s="4"/>
      <c r="Q169" s="12" t="s">
        <v>159</v>
      </c>
      <c r="R169" s="5" t="n">
        <v>0</v>
      </c>
      <c r="S169" s="12" t="s">
        <v>159</v>
      </c>
      <c r="T169" s="4"/>
      <c r="U169" s="12" t="s">
        <v>159</v>
      </c>
      <c r="V169" s="5" t="n">
        <v>0</v>
      </c>
      <c r="W169" s="12" t="s">
        <v>159</v>
      </c>
      <c r="X169" s="12" t="n">
        <v>8</v>
      </c>
      <c r="Y169" s="4" t="s">
        <v>285</v>
      </c>
    </row>
    <row r="170" customFormat="false" ht="23.85" hidden="false" customHeight="false" outlineLevel="0" collapsed="false">
      <c r="A170" s="5" t="n">
        <v>43533</v>
      </c>
      <c r="B170" s="5" t="s">
        <v>73</v>
      </c>
      <c r="C170" s="5" t="s">
        <v>455</v>
      </c>
      <c r="D170" s="4" t="s">
        <v>30</v>
      </c>
      <c r="E170" s="4" t="s">
        <v>171</v>
      </c>
      <c r="F170" s="4" t="s">
        <v>383</v>
      </c>
      <c r="G170" s="4" t="s">
        <v>755</v>
      </c>
      <c r="H170" s="4" t="s">
        <v>756</v>
      </c>
      <c r="I170" s="12" t="s">
        <v>158</v>
      </c>
      <c r="J170" s="4"/>
      <c r="K170" s="5" t="s">
        <v>159</v>
      </c>
      <c r="L170" s="4" t="s">
        <v>406</v>
      </c>
      <c r="M170" s="12" t="s">
        <v>158</v>
      </c>
      <c r="N170" s="4"/>
      <c r="O170" s="12" t="s">
        <v>159</v>
      </c>
      <c r="P170" s="4" t="s">
        <v>163</v>
      </c>
      <c r="Q170" s="12" t="s">
        <v>158</v>
      </c>
      <c r="R170" s="5" t="n">
        <v>0</v>
      </c>
      <c r="S170" s="12" t="s">
        <v>159</v>
      </c>
      <c r="T170" s="4" t="s">
        <v>163</v>
      </c>
      <c r="U170" s="12" t="s">
        <v>158</v>
      </c>
      <c r="V170" s="5" t="n">
        <v>0</v>
      </c>
      <c r="W170" s="12" t="s">
        <v>159</v>
      </c>
      <c r="X170" s="12" t="n">
        <v>4</v>
      </c>
      <c r="Y170" s="4" t="s">
        <v>216</v>
      </c>
    </row>
    <row r="171" customFormat="false" ht="23.85" hidden="false" customHeight="false" outlineLevel="0" collapsed="false">
      <c r="A171" s="5" t="n">
        <v>43534</v>
      </c>
      <c r="B171" s="5" t="s">
        <v>73</v>
      </c>
      <c r="C171" s="5" t="s">
        <v>712</v>
      </c>
      <c r="D171" s="4" t="s">
        <v>30</v>
      </c>
      <c r="E171" s="4" t="s">
        <v>171</v>
      </c>
      <c r="F171" s="4" t="s">
        <v>383</v>
      </c>
      <c r="G171" s="4" t="s">
        <v>757</v>
      </c>
      <c r="H171" s="4" t="s">
        <v>758</v>
      </c>
      <c r="I171" s="12" t="s">
        <v>158</v>
      </c>
      <c r="J171" s="4"/>
      <c r="K171" s="5" t="s">
        <v>159</v>
      </c>
      <c r="L171" s="4" t="s">
        <v>759</v>
      </c>
      <c r="M171" s="12" t="s">
        <v>158</v>
      </c>
      <c r="N171" s="4"/>
      <c r="O171" s="12" t="s">
        <v>159</v>
      </c>
      <c r="P171" s="4" t="s">
        <v>163</v>
      </c>
      <c r="Q171" s="12" t="s">
        <v>158</v>
      </c>
      <c r="R171" s="5" t="n">
        <v>0</v>
      </c>
      <c r="S171" s="12" t="s">
        <v>159</v>
      </c>
      <c r="T171" s="4" t="s">
        <v>163</v>
      </c>
      <c r="U171" s="12" t="s">
        <v>158</v>
      </c>
      <c r="V171" s="5" t="n">
        <v>0</v>
      </c>
      <c r="W171" s="12" t="s">
        <v>159</v>
      </c>
      <c r="X171" s="12" t="n">
        <v>4</v>
      </c>
      <c r="Y171" s="4" t="s">
        <v>216</v>
      </c>
    </row>
    <row r="172" customFormat="false" ht="23.85" hidden="false" customHeight="false" outlineLevel="0" collapsed="false">
      <c r="A172" s="5" t="n">
        <v>43537</v>
      </c>
      <c r="B172" s="5" t="s">
        <v>73</v>
      </c>
      <c r="C172" s="5" t="s">
        <v>479</v>
      </c>
      <c r="D172" s="4" t="s">
        <v>30</v>
      </c>
      <c r="E172" s="4" t="s">
        <v>171</v>
      </c>
      <c r="F172" s="4" t="s">
        <v>383</v>
      </c>
      <c r="G172" s="4" t="s">
        <v>760</v>
      </c>
      <c r="H172" s="4" t="s">
        <v>761</v>
      </c>
      <c r="I172" s="12" t="s">
        <v>158</v>
      </c>
      <c r="J172" s="4"/>
      <c r="K172" s="5" t="s">
        <v>159</v>
      </c>
      <c r="L172" s="4" t="s">
        <v>762</v>
      </c>
      <c r="M172" s="12" t="s">
        <v>158</v>
      </c>
      <c r="N172" s="4"/>
      <c r="O172" s="12" t="s">
        <v>159</v>
      </c>
      <c r="P172" s="4" t="s">
        <v>163</v>
      </c>
      <c r="Q172" s="12" t="s">
        <v>158</v>
      </c>
      <c r="R172" s="5" t="n">
        <v>0</v>
      </c>
      <c r="S172" s="12" t="s">
        <v>159</v>
      </c>
      <c r="T172" s="4" t="s">
        <v>163</v>
      </c>
      <c r="U172" s="12" t="s">
        <v>158</v>
      </c>
      <c r="V172" s="5" t="n">
        <v>0</v>
      </c>
      <c r="W172" s="12" t="s">
        <v>159</v>
      </c>
      <c r="X172" s="12" t="n">
        <v>4</v>
      </c>
      <c r="Y172" s="4" t="s">
        <v>216</v>
      </c>
    </row>
    <row r="173" customFormat="false" ht="23.85" hidden="false" customHeight="false" outlineLevel="0" collapsed="false">
      <c r="A173" s="5" t="n">
        <v>43539</v>
      </c>
      <c r="B173" s="5" t="s">
        <v>73</v>
      </c>
      <c r="C173" s="5" t="s">
        <v>568</v>
      </c>
      <c r="D173" s="4" t="s">
        <v>30</v>
      </c>
      <c r="E173" s="4" t="s">
        <v>171</v>
      </c>
      <c r="F173" s="4" t="s">
        <v>383</v>
      </c>
      <c r="G173" s="4" t="s">
        <v>763</v>
      </c>
      <c r="H173" s="4" t="s">
        <v>764</v>
      </c>
      <c r="I173" s="12" t="s">
        <v>158</v>
      </c>
      <c r="J173" s="4"/>
      <c r="K173" s="5" t="s">
        <v>159</v>
      </c>
      <c r="L173" s="4"/>
      <c r="M173" s="12" t="s">
        <v>159</v>
      </c>
      <c r="N173" s="4"/>
      <c r="O173" s="12" t="s">
        <v>159</v>
      </c>
      <c r="P173" s="4" t="s">
        <v>205</v>
      </c>
      <c r="Q173" s="12" t="s">
        <v>158</v>
      </c>
      <c r="R173" s="5" t="n">
        <v>0</v>
      </c>
      <c r="S173" s="12" t="s">
        <v>159</v>
      </c>
      <c r="T173" s="4" t="s">
        <v>188</v>
      </c>
      <c r="U173" s="12" t="s">
        <v>158</v>
      </c>
      <c r="V173" s="5" t="n">
        <v>0</v>
      </c>
      <c r="W173" s="12" t="s">
        <v>159</v>
      </c>
      <c r="X173" s="12" t="n">
        <v>5</v>
      </c>
      <c r="Y173" s="4" t="s">
        <v>235</v>
      </c>
    </row>
    <row r="174" customFormat="false" ht="23.85" hidden="false" customHeight="false" outlineLevel="0" collapsed="false">
      <c r="A174" s="5" t="n">
        <v>43541</v>
      </c>
      <c r="B174" s="5" t="s">
        <v>73</v>
      </c>
      <c r="C174" s="5" t="s">
        <v>765</v>
      </c>
      <c r="D174" s="4" t="s">
        <v>30</v>
      </c>
      <c r="E174" s="4" t="s">
        <v>171</v>
      </c>
      <c r="F174" s="4" t="s">
        <v>383</v>
      </c>
      <c r="G174" s="4" t="s">
        <v>417</v>
      </c>
      <c r="H174" s="4" t="s">
        <v>215</v>
      </c>
      <c r="I174" s="12" t="s">
        <v>158</v>
      </c>
      <c r="J174" s="4"/>
      <c r="K174" s="5" t="s">
        <v>159</v>
      </c>
      <c r="L174" s="4"/>
      <c r="M174" s="12" t="s">
        <v>159</v>
      </c>
      <c r="N174" s="4"/>
      <c r="O174" s="12" t="s">
        <v>159</v>
      </c>
      <c r="P174" s="4" t="s">
        <v>394</v>
      </c>
      <c r="Q174" s="12" t="s">
        <v>158</v>
      </c>
      <c r="R174" s="5" t="n">
        <v>0</v>
      </c>
      <c r="S174" s="12" t="s">
        <v>159</v>
      </c>
      <c r="T174" s="4" t="s">
        <v>188</v>
      </c>
      <c r="U174" s="12" t="s">
        <v>158</v>
      </c>
      <c r="V174" s="5" t="n">
        <v>0</v>
      </c>
      <c r="W174" s="12" t="s">
        <v>159</v>
      </c>
      <c r="X174" s="12" t="n">
        <v>5</v>
      </c>
      <c r="Y174" s="4" t="s">
        <v>235</v>
      </c>
    </row>
    <row r="175" customFormat="false" ht="23.85" hidden="false" customHeight="false" outlineLevel="0" collapsed="false">
      <c r="A175" s="5" t="n">
        <v>43543</v>
      </c>
      <c r="B175" s="5" t="s">
        <v>73</v>
      </c>
      <c r="C175" s="5" t="s">
        <v>766</v>
      </c>
      <c r="D175" s="4" t="s">
        <v>30</v>
      </c>
      <c r="E175" s="4" t="s">
        <v>171</v>
      </c>
      <c r="F175" s="4" t="s">
        <v>383</v>
      </c>
      <c r="G175" s="4" t="s">
        <v>767</v>
      </c>
      <c r="H175" s="4" t="s">
        <v>768</v>
      </c>
      <c r="I175" s="12" t="s">
        <v>158</v>
      </c>
      <c r="J175" s="4"/>
      <c r="K175" s="5" t="s">
        <v>159</v>
      </c>
      <c r="L175" s="4"/>
      <c r="M175" s="12" t="s">
        <v>159</v>
      </c>
      <c r="N175" s="4"/>
      <c r="O175" s="12" t="s">
        <v>159</v>
      </c>
      <c r="P175" s="4" t="s">
        <v>205</v>
      </c>
      <c r="Q175" s="12" t="s">
        <v>158</v>
      </c>
      <c r="R175" s="5" t="n">
        <v>0</v>
      </c>
      <c r="S175" s="12" t="s">
        <v>159</v>
      </c>
      <c r="T175" s="4" t="s">
        <v>188</v>
      </c>
      <c r="U175" s="12" t="s">
        <v>158</v>
      </c>
      <c r="V175" s="5" t="n">
        <v>0</v>
      </c>
      <c r="W175" s="12" t="s">
        <v>159</v>
      </c>
      <c r="X175" s="12" t="n">
        <v>5</v>
      </c>
      <c r="Y175" s="4" t="s">
        <v>235</v>
      </c>
    </row>
    <row r="176" customFormat="false" ht="23.85" hidden="false" customHeight="false" outlineLevel="0" collapsed="false">
      <c r="A176" s="5" t="n">
        <v>43547</v>
      </c>
      <c r="B176" s="5" t="s">
        <v>73</v>
      </c>
      <c r="C176" s="5" t="s">
        <v>681</v>
      </c>
      <c r="D176" s="4" t="s">
        <v>22</v>
      </c>
      <c r="E176" s="4" t="s">
        <v>176</v>
      </c>
      <c r="F176" s="4" t="s">
        <v>155</v>
      </c>
      <c r="G176" s="4" t="s">
        <v>769</v>
      </c>
      <c r="H176" s="4" t="s">
        <v>770</v>
      </c>
      <c r="I176" s="12" t="s">
        <v>158</v>
      </c>
      <c r="J176" s="4"/>
      <c r="K176" s="5" t="s">
        <v>159</v>
      </c>
      <c r="L176" s="4" t="s">
        <v>771</v>
      </c>
      <c r="M176" s="12" t="s">
        <v>158</v>
      </c>
      <c r="N176" s="4"/>
      <c r="O176" s="12" t="s">
        <v>159</v>
      </c>
      <c r="P176" s="4" t="s">
        <v>400</v>
      </c>
      <c r="Q176" s="12" t="s">
        <v>158</v>
      </c>
      <c r="R176" s="5" t="n">
        <v>0</v>
      </c>
      <c r="S176" s="12" t="s">
        <v>159</v>
      </c>
      <c r="T176" s="4"/>
      <c r="U176" s="12" t="s">
        <v>159</v>
      </c>
      <c r="V176" s="5" t="n">
        <v>0</v>
      </c>
      <c r="W176" s="12" t="s">
        <v>159</v>
      </c>
      <c r="X176" s="12" t="n">
        <v>5</v>
      </c>
      <c r="Y176" s="4" t="s">
        <v>310</v>
      </c>
    </row>
    <row r="177" customFormat="false" ht="23.85" hidden="false" customHeight="false" outlineLevel="0" collapsed="false">
      <c r="A177" s="5" t="n">
        <v>43548</v>
      </c>
      <c r="B177" s="5" t="s">
        <v>73</v>
      </c>
      <c r="C177" s="5" t="s">
        <v>684</v>
      </c>
      <c r="D177" s="4" t="s">
        <v>22</v>
      </c>
      <c r="E177" s="4" t="s">
        <v>176</v>
      </c>
      <c r="F177" s="4" t="s">
        <v>166</v>
      </c>
      <c r="G177" s="4" t="s">
        <v>772</v>
      </c>
      <c r="H177" s="4" t="s">
        <v>773</v>
      </c>
      <c r="I177" s="12" t="s">
        <v>158</v>
      </c>
      <c r="J177" s="4"/>
      <c r="K177" s="5" t="s">
        <v>159</v>
      </c>
      <c r="L177" s="4" t="s">
        <v>773</v>
      </c>
      <c r="M177" s="12" t="s">
        <v>158</v>
      </c>
      <c r="N177" s="4"/>
      <c r="O177" s="12" t="s">
        <v>159</v>
      </c>
      <c r="P177" s="4"/>
      <c r="Q177" s="12" t="s">
        <v>159</v>
      </c>
      <c r="R177" s="5" t="n">
        <v>0</v>
      </c>
      <c r="S177" s="12" t="s">
        <v>159</v>
      </c>
      <c r="T177" s="4"/>
      <c r="U177" s="12" t="s">
        <v>159</v>
      </c>
      <c r="V177" s="5" t="n">
        <v>0</v>
      </c>
      <c r="W177" s="12" t="s">
        <v>159</v>
      </c>
      <c r="X177" s="12" t="n">
        <v>6</v>
      </c>
      <c r="Y177" s="4" t="s">
        <v>466</v>
      </c>
    </row>
    <row r="178" customFormat="false" ht="23.85" hidden="false" customHeight="false" outlineLevel="0" collapsed="false">
      <c r="A178" s="5" t="n">
        <v>43555</v>
      </c>
      <c r="B178" s="5" t="s">
        <v>73</v>
      </c>
      <c r="C178" s="5" t="s">
        <v>774</v>
      </c>
      <c r="D178" s="4" t="s">
        <v>18</v>
      </c>
      <c r="E178" s="4" t="s">
        <v>154</v>
      </c>
      <c r="F178" s="4" t="s">
        <v>383</v>
      </c>
      <c r="G178" s="4" t="s">
        <v>775</v>
      </c>
      <c r="H178" s="4" t="s">
        <v>776</v>
      </c>
      <c r="I178" s="12" t="s">
        <v>158</v>
      </c>
      <c r="J178" s="4"/>
      <c r="K178" s="5" t="s">
        <v>159</v>
      </c>
      <c r="L178" s="4"/>
      <c r="M178" s="12" t="s">
        <v>159</v>
      </c>
      <c r="N178" s="4"/>
      <c r="O178" s="12" t="s">
        <v>159</v>
      </c>
      <c r="P178" s="4" t="s">
        <v>394</v>
      </c>
      <c r="Q178" s="12" t="s">
        <v>158</v>
      </c>
      <c r="R178" s="5" t="n">
        <v>0</v>
      </c>
      <c r="S178" s="12" t="s">
        <v>159</v>
      </c>
      <c r="T178" s="4"/>
      <c r="U178" s="12" t="s">
        <v>159</v>
      </c>
      <c r="V178" s="5" t="n">
        <v>0</v>
      </c>
      <c r="W178" s="12" t="s">
        <v>159</v>
      </c>
      <c r="X178" s="12" t="n">
        <v>6</v>
      </c>
      <c r="Y178" s="4" t="s">
        <v>267</v>
      </c>
    </row>
    <row r="179" customFormat="false" ht="23.85" hidden="false" customHeight="false" outlineLevel="0" collapsed="false">
      <c r="A179" s="5" t="n">
        <v>43556</v>
      </c>
      <c r="B179" s="5" t="s">
        <v>73</v>
      </c>
      <c r="C179" s="5" t="s">
        <v>777</v>
      </c>
      <c r="D179" s="4" t="s">
        <v>18</v>
      </c>
      <c r="E179" s="4" t="s">
        <v>154</v>
      </c>
      <c r="F179" s="4" t="s">
        <v>383</v>
      </c>
      <c r="G179" s="4" t="s">
        <v>778</v>
      </c>
      <c r="H179" s="4" t="s">
        <v>779</v>
      </c>
      <c r="I179" s="12" t="s">
        <v>158</v>
      </c>
      <c r="J179" s="4"/>
      <c r="K179" s="5" t="s">
        <v>159</v>
      </c>
      <c r="L179" s="4"/>
      <c r="M179" s="12" t="s">
        <v>159</v>
      </c>
      <c r="N179" s="4" t="s">
        <v>780</v>
      </c>
      <c r="O179" s="12" t="s">
        <v>158</v>
      </c>
      <c r="P179" s="4" t="s">
        <v>781</v>
      </c>
      <c r="Q179" s="12" t="s">
        <v>158</v>
      </c>
      <c r="R179" s="5" t="n">
        <v>0</v>
      </c>
      <c r="S179" s="12" t="s">
        <v>159</v>
      </c>
      <c r="T179" s="4"/>
      <c r="U179" s="12" t="s">
        <v>159</v>
      </c>
      <c r="V179" s="5" t="n">
        <v>19</v>
      </c>
      <c r="W179" s="12" t="s">
        <v>158</v>
      </c>
      <c r="X179" s="12" t="n">
        <v>4</v>
      </c>
      <c r="Y179" s="4" t="s">
        <v>255</v>
      </c>
    </row>
    <row r="180" customFormat="false" ht="23.85" hidden="false" customHeight="false" outlineLevel="0" collapsed="false">
      <c r="A180" s="5" t="n">
        <v>43561</v>
      </c>
      <c r="B180" s="5" t="s">
        <v>74</v>
      </c>
      <c r="C180" s="5" t="s">
        <v>782</v>
      </c>
      <c r="D180" s="4" t="s">
        <v>34</v>
      </c>
      <c r="E180" s="4" t="s">
        <v>154</v>
      </c>
      <c r="F180" s="4" t="s">
        <v>383</v>
      </c>
      <c r="G180" s="4" t="s">
        <v>783</v>
      </c>
      <c r="H180" s="4" t="s">
        <v>783</v>
      </c>
      <c r="I180" s="12" t="s">
        <v>158</v>
      </c>
      <c r="J180" s="4"/>
      <c r="K180" s="5" t="s">
        <v>159</v>
      </c>
      <c r="L180" s="4" t="s">
        <v>784</v>
      </c>
      <c r="M180" s="12" t="s">
        <v>158</v>
      </c>
      <c r="N180" s="4"/>
      <c r="O180" s="12" t="s">
        <v>159</v>
      </c>
      <c r="P180" s="4" t="s">
        <v>188</v>
      </c>
      <c r="Q180" s="12" t="s">
        <v>158</v>
      </c>
      <c r="R180" s="5" t="n">
        <v>0</v>
      </c>
      <c r="S180" s="12" t="s">
        <v>159</v>
      </c>
      <c r="T180" s="4" t="s">
        <v>188</v>
      </c>
      <c r="U180" s="12" t="s">
        <v>158</v>
      </c>
      <c r="V180" s="5" t="n">
        <v>0</v>
      </c>
      <c r="W180" s="12" t="s">
        <v>159</v>
      </c>
      <c r="X180" s="12" t="n">
        <v>4</v>
      </c>
      <c r="Y180" s="4" t="s">
        <v>216</v>
      </c>
    </row>
    <row r="181" customFormat="false" ht="15" hidden="false" customHeight="false" outlineLevel="0" collapsed="false">
      <c r="A181" s="5" t="n">
        <v>43562</v>
      </c>
      <c r="B181" s="5" t="s">
        <v>74</v>
      </c>
      <c r="C181" s="5" t="s">
        <v>785</v>
      </c>
      <c r="D181" s="4" t="s">
        <v>32</v>
      </c>
      <c r="E181" s="4" t="s">
        <v>171</v>
      </c>
      <c r="F181" s="4" t="s">
        <v>166</v>
      </c>
      <c r="G181" s="4" t="s">
        <v>786</v>
      </c>
      <c r="H181" s="4" t="s">
        <v>787</v>
      </c>
      <c r="I181" s="12" t="s">
        <v>158</v>
      </c>
      <c r="J181" s="4" t="s">
        <v>788</v>
      </c>
      <c r="K181" s="5" t="s">
        <v>158</v>
      </c>
      <c r="L181" s="4" t="s">
        <v>789</v>
      </c>
      <c r="M181" s="12" t="s">
        <v>158</v>
      </c>
      <c r="N181" s="4" t="s">
        <v>790</v>
      </c>
      <c r="O181" s="12" t="s">
        <v>158</v>
      </c>
      <c r="P181" s="4" t="s">
        <v>192</v>
      </c>
      <c r="Q181" s="12" t="s">
        <v>158</v>
      </c>
      <c r="R181" s="5" t="n">
        <v>0</v>
      </c>
      <c r="S181" s="12" t="s">
        <v>159</v>
      </c>
      <c r="T181" s="4" t="s">
        <v>791</v>
      </c>
      <c r="U181" s="12" t="s">
        <v>158</v>
      </c>
      <c r="V181" s="5" t="n">
        <v>0</v>
      </c>
      <c r="W181" s="12" t="s">
        <v>159</v>
      </c>
      <c r="X181" s="12" t="n">
        <v>2</v>
      </c>
      <c r="Y181" s="4" t="s">
        <v>451</v>
      </c>
    </row>
    <row r="182" customFormat="false" ht="23.85" hidden="false" customHeight="false" outlineLevel="0" collapsed="false">
      <c r="A182" s="5" t="n">
        <v>43563</v>
      </c>
      <c r="B182" s="5" t="s">
        <v>74</v>
      </c>
      <c r="C182" s="5" t="s">
        <v>792</v>
      </c>
      <c r="D182" s="4" t="s">
        <v>32</v>
      </c>
      <c r="E182" s="4" t="s">
        <v>171</v>
      </c>
      <c r="F182" s="4" t="s">
        <v>166</v>
      </c>
      <c r="G182" s="4" t="s">
        <v>793</v>
      </c>
      <c r="H182" s="4" t="s">
        <v>794</v>
      </c>
      <c r="I182" s="12" t="s">
        <v>158</v>
      </c>
      <c r="J182" s="4"/>
      <c r="K182" s="5" t="s">
        <v>159</v>
      </c>
      <c r="L182" s="4"/>
      <c r="M182" s="12" t="s">
        <v>159</v>
      </c>
      <c r="N182" s="4"/>
      <c r="O182" s="12" t="s">
        <v>159</v>
      </c>
      <c r="P182" s="4"/>
      <c r="Q182" s="12" t="s">
        <v>159</v>
      </c>
      <c r="R182" s="5" t="n">
        <v>0</v>
      </c>
      <c r="S182" s="12" t="s">
        <v>159</v>
      </c>
      <c r="T182" s="4"/>
      <c r="U182" s="12" t="s">
        <v>159</v>
      </c>
      <c r="V182" s="5" t="n">
        <v>0</v>
      </c>
      <c r="W182" s="12" t="s">
        <v>159</v>
      </c>
      <c r="X182" s="12" t="n">
        <v>7</v>
      </c>
      <c r="Y182" s="4" t="s">
        <v>174</v>
      </c>
    </row>
    <row r="183" customFormat="false" ht="23.85" hidden="false" customHeight="false" outlineLevel="0" collapsed="false">
      <c r="A183" s="5" t="n">
        <v>43564</v>
      </c>
      <c r="B183" s="5" t="s">
        <v>74</v>
      </c>
      <c r="C183" s="5" t="s">
        <v>795</v>
      </c>
      <c r="D183" s="4" t="s">
        <v>32</v>
      </c>
      <c r="E183" s="4" t="s">
        <v>171</v>
      </c>
      <c r="F183" s="4" t="s">
        <v>383</v>
      </c>
      <c r="G183" s="4" t="s">
        <v>796</v>
      </c>
      <c r="H183" s="4" t="s">
        <v>797</v>
      </c>
      <c r="I183" s="12" t="s">
        <v>158</v>
      </c>
      <c r="J183" s="4"/>
      <c r="K183" s="5" t="s">
        <v>159</v>
      </c>
      <c r="L183" s="4"/>
      <c r="M183" s="12" t="s">
        <v>159</v>
      </c>
      <c r="N183" s="4"/>
      <c r="O183" s="12" t="s">
        <v>159</v>
      </c>
      <c r="P183" s="4"/>
      <c r="Q183" s="12" t="s">
        <v>159</v>
      </c>
      <c r="R183" s="5" t="n">
        <v>0</v>
      </c>
      <c r="S183" s="12" t="s">
        <v>159</v>
      </c>
      <c r="T183" s="4"/>
      <c r="U183" s="12" t="s">
        <v>159</v>
      </c>
      <c r="V183" s="5" t="n">
        <v>0</v>
      </c>
      <c r="W183" s="12" t="s">
        <v>159</v>
      </c>
      <c r="X183" s="12" t="n">
        <v>7</v>
      </c>
      <c r="Y183" s="4" t="s">
        <v>174</v>
      </c>
    </row>
    <row r="184" customFormat="false" ht="23.85" hidden="false" customHeight="false" outlineLevel="0" collapsed="false">
      <c r="A184" s="5" t="n">
        <v>43570</v>
      </c>
      <c r="B184" s="5" t="s">
        <v>74</v>
      </c>
      <c r="C184" s="5" t="s">
        <v>439</v>
      </c>
      <c r="D184" s="4" t="s">
        <v>20</v>
      </c>
      <c r="E184" s="4" t="s">
        <v>154</v>
      </c>
      <c r="F184" s="4" t="s">
        <v>155</v>
      </c>
      <c r="G184" s="4" t="s">
        <v>798</v>
      </c>
      <c r="H184" s="4"/>
      <c r="I184" s="12" t="s">
        <v>159</v>
      </c>
      <c r="J184" s="4"/>
      <c r="K184" s="5" t="s">
        <v>159</v>
      </c>
      <c r="L184" s="4"/>
      <c r="M184" s="12" t="s">
        <v>159</v>
      </c>
      <c r="N184" s="4"/>
      <c r="O184" s="12" t="s">
        <v>159</v>
      </c>
      <c r="P184" s="4"/>
      <c r="Q184" s="12" t="s">
        <v>159</v>
      </c>
      <c r="R184" s="5" t="n">
        <v>0</v>
      </c>
      <c r="S184" s="12" t="s">
        <v>159</v>
      </c>
      <c r="T184" s="4"/>
      <c r="U184" s="12" t="s">
        <v>159</v>
      </c>
      <c r="V184" s="5" t="n">
        <v>0</v>
      </c>
      <c r="W184" s="12" t="s">
        <v>159</v>
      </c>
      <c r="X184" s="12" t="n">
        <v>8</v>
      </c>
      <c r="Y184" s="4" t="s">
        <v>285</v>
      </c>
    </row>
    <row r="185" customFormat="false" ht="23.85" hidden="false" customHeight="false" outlineLevel="0" collapsed="false">
      <c r="A185" s="5" t="n">
        <v>43571</v>
      </c>
      <c r="B185" s="5" t="s">
        <v>74</v>
      </c>
      <c r="C185" s="5" t="s">
        <v>799</v>
      </c>
      <c r="D185" s="4" t="s">
        <v>20</v>
      </c>
      <c r="E185" s="4" t="s">
        <v>154</v>
      </c>
      <c r="F185" s="4" t="s">
        <v>155</v>
      </c>
      <c r="G185" s="4" t="s">
        <v>800</v>
      </c>
      <c r="H185" s="4"/>
      <c r="I185" s="12" t="s">
        <v>159</v>
      </c>
      <c r="J185" s="4"/>
      <c r="K185" s="5" t="s">
        <v>159</v>
      </c>
      <c r="L185" s="4"/>
      <c r="M185" s="12" t="s">
        <v>159</v>
      </c>
      <c r="N185" s="4"/>
      <c r="O185" s="12" t="s">
        <v>159</v>
      </c>
      <c r="P185" s="4"/>
      <c r="Q185" s="12" t="s">
        <v>159</v>
      </c>
      <c r="R185" s="5" t="n">
        <v>0</v>
      </c>
      <c r="S185" s="12" t="s">
        <v>159</v>
      </c>
      <c r="T185" s="4"/>
      <c r="U185" s="12" t="s">
        <v>159</v>
      </c>
      <c r="V185" s="5" t="n">
        <v>0</v>
      </c>
      <c r="W185" s="12" t="s">
        <v>159</v>
      </c>
      <c r="X185" s="12" t="n">
        <v>8</v>
      </c>
      <c r="Y185" s="4" t="s">
        <v>285</v>
      </c>
    </row>
    <row r="186" customFormat="false" ht="23.85" hidden="false" customHeight="false" outlineLevel="0" collapsed="false">
      <c r="A186" s="5" t="n">
        <v>43572</v>
      </c>
      <c r="B186" s="5" t="s">
        <v>74</v>
      </c>
      <c r="C186" s="5" t="s">
        <v>801</v>
      </c>
      <c r="D186" s="4" t="s">
        <v>30</v>
      </c>
      <c r="E186" s="4" t="s">
        <v>171</v>
      </c>
      <c r="F186" s="4" t="s">
        <v>383</v>
      </c>
      <c r="G186" s="4" t="s">
        <v>802</v>
      </c>
      <c r="H186" s="4" t="s">
        <v>803</v>
      </c>
      <c r="I186" s="12" t="s">
        <v>158</v>
      </c>
      <c r="J186" s="4"/>
      <c r="K186" s="5" t="s">
        <v>159</v>
      </c>
      <c r="L186" s="4"/>
      <c r="M186" s="12" t="s">
        <v>159</v>
      </c>
      <c r="N186" s="4"/>
      <c r="O186" s="12" t="s">
        <v>159</v>
      </c>
      <c r="P186" s="4" t="s">
        <v>394</v>
      </c>
      <c r="Q186" s="12" t="s">
        <v>158</v>
      </c>
      <c r="R186" s="5" t="n">
        <v>0</v>
      </c>
      <c r="S186" s="12" t="s">
        <v>159</v>
      </c>
      <c r="T186" s="4" t="s">
        <v>188</v>
      </c>
      <c r="U186" s="12" t="s">
        <v>158</v>
      </c>
      <c r="V186" s="5" t="n">
        <v>0</v>
      </c>
      <c r="W186" s="12" t="s">
        <v>159</v>
      </c>
      <c r="X186" s="12" t="n">
        <v>5</v>
      </c>
      <c r="Y186" s="4" t="s">
        <v>235</v>
      </c>
    </row>
    <row r="187" customFormat="false" ht="23.85" hidden="false" customHeight="false" outlineLevel="0" collapsed="false">
      <c r="A187" s="5" t="n">
        <v>43573</v>
      </c>
      <c r="B187" s="5" t="s">
        <v>74</v>
      </c>
      <c r="C187" s="5" t="s">
        <v>804</v>
      </c>
      <c r="D187" s="4" t="s">
        <v>30</v>
      </c>
      <c r="E187" s="4" t="s">
        <v>171</v>
      </c>
      <c r="F187" s="4" t="s">
        <v>383</v>
      </c>
      <c r="G187" s="4" t="s">
        <v>805</v>
      </c>
      <c r="H187" s="4" t="s">
        <v>806</v>
      </c>
      <c r="I187" s="12" t="s">
        <v>158</v>
      </c>
      <c r="J187" s="4"/>
      <c r="K187" s="5" t="s">
        <v>159</v>
      </c>
      <c r="L187" s="4"/>
      <c r="M187" s="12" t="s">
        <v>159</v>
      </c>
      <c r="N187" s="4"/>
      <c r="O187" s="12" t="s">
        <v>159</v>
      </c>
      <c r="P187" s="4" t="s">
        <v>394</v>
      </c>
      <c r="Q187" s="12" t="s">
        <v>158</v>
      </c>
      <c r="R187" s="5" t="n">
        <v>0</v>
      </c>
      <c r="S187" s="12" t="s">
        <v>159</v>
      </c>
      <c r="T187" s="4" t="s">
        <v>188</v>
      </c>
      <c r="U187" s="12" t="s">
        <v>158</v>
      </c>
      <c r="V187" s="5" t="n">
        <v>0</v>
      </c>
      <c r="W187" s="12" t="s">
        <v>159</v>
      </c>
      <c r="X187" s="12" t="n">
        <v>5</v>
      </c>
      <c r="Y187" s="4" t="s">
        <v>235</v>
      </c>
    </row>
    <row r="188" customFormat="false" ht="23.85" hidden="false" customHeight="false" outlineLevel="0" collapsed="false">
      <c r="A188" s="5" t="n">
        <v>43574</v>
      </c>
      <c r="B188" s="5" t="s">
        <v>74</v>
      </c>
      <c r="C188" s="5" t="s">
        <v>635</v>
      </c>
      <c r="D188" s="4" t="s">
        <v>30</v>
      </c>
      <c r="E188" s="4" t="s">
        <v>171</v>
      </c>
      <c r="F188" s="4" t="s">
        <v>383</v>
      </c>
      <c r="G188" s="4" t="s">
        <v>807</v>
      </c>
      <c r="H188" s="4" t="s">
        <v>808</v>
      </c>
      <c r="I188" s="12" t="s">
        <v>158</v>
      </c>
      <c r="J188" s="4"/>
      <c r="K188" s="5" t="s">
        <v>159</v>
      </c>
      <c r="L188" s="4"/>
      <c r="M188" s="12" t="s">
        <v>159</v>
      </c>
      <c r="N188" s="4"/>
      <c r="O188" s="12" t="s">
        <v>159</v>
      </c>
      <c r="P188" s="4" t="s">
        <v>394</v>
      </c>
      <c r="Q188" s="12" t="s">
        <v>158</v>
      </c>
      <c r="R188" s="5" t="n">
        <v>0</v>
      </c>
      <c r="S188" s="12" t="s">
        <v>159</v>
      </c>
      <c r="T188" s="4" t="s">
        <v>188</v>
      </c>
      <c r="U188" s="12" t="s">
        <v>158</v>
      </c>
      <c r="V188" s="5" t="n">
        <v>0</v>
      </c>
      <c r="W188" s="12" t="s">
        <v>159</v>
      </c>
      <c r="X188" s="12" t="n">
        <v>5</v>
      </c>
      <c r="Y188" s="4" t="s">
        <v>235</v>
      </c>
    </row>
    <row r="189" customFormat="false" ht="23.85" hidden="false" customHeight="false" outlineLevel="0" collapsed="false">
      <c r="A189" s="5" t="n">
        <v>43575</v>
      </c>
      <c r="B189" s="5" t="s">
        <v>74</v>
      </c>
      <c r="C189" s="5" t="s">
        <v>725</v>
      </c>
      <c r="D189" s="4" t="s">
        <v>30</v>
      </c>
      <c r="E189" s="4" t="s">
        <v>171</v>
      </c>
      <c r="F189" s="4" t="s">
        <v>383</v>
      </c>
      <c r="G189" s="4" t="s">
        <v>809</v>
      </c>
      <c r="H189" s="4" t="s">
        <v>810</v>
      </c>
      <c r="I189" s="12" t="s">
        <v>158</v>
      </c>
      <c r="J189" s="4"/>
      <c r="K189" s="5" t="s">
        <v>159</v>
      </c>
      <c r="L189" s="4"/>
      <c r="M189" s="12" t="s">
        <v>159</v>
      </c>
      <c r="N189" s="4"/>
      <c r="O189" s="12" t="s">
        <v>159</v>
      </c>
      <c r="P189" s="4" t="s">
        <v>394</v>
      </c>
      <c r="Q189" s="12" t="s">
        <v>158</v>
      </c>
      <c r="R189" s="5" t="n">
        <v>0</v>
      </c>
      <c r="S189" s="12" t="s">
        <v>159</v>
      </c>
      <c r="T189" s="4" t="s">
        <v>188</v>
      </c>
      <c r="U189" s="12" t="s">
        <v>158</v>
      </c>
      <c r="V189" s="5" t="n">
        <v>0</v>
      </c>
      <c r="W189" s="12" t="s">
        <v>159</v>
      </c>
      <c r="X189" s="12" t="n">
        <v>5</v>
      </c>
      <c r="Y189" s="4" t="s">
        <v>235</v>
      </c>
    </row>
    <row r="190" customFormat="false" ht="23.85" hidden="false" customHeight="false" outlineLevel="0" collapsed="false">
      <c r="A190" s="5" t="n">
        <v>43576</v>
      </c>
      <c r="B190" s="5" t="s">
        <v>74</v>
      </c>
      <c r="C190" s="5" t="s">
        <v>811</v>
      </c>
      <c r="D190" s="4" t="s">
        <v>30</v>
      </c>
      <c r="E190" s="4" t="s">
        <v>171</v>
      </c>
      <c r="F190" s="4" t="s">
        <v>383</v>
      </c>
      <c r="G190" s="4" t="s">
        <v>477</v>
      </c>
      <c r="H190" s="4" t="s">
        <v>478</v>
      </c>
      <c r="I190" s="12" t="s">
        <v>158</v>
      </c>
      <c r="J190" s="4"/>
      <c r="K190" s="5" t="s">
        <v>159</v>
      </c>
      <c r="L190" s="4"/>
      <c r="M190" s="12" t="s">
        <v>159</v>
      </c>
      <c r="N190" s="4"/>
      <c r="O190" s="12" t="s">
        <v>159</v>
      </c>
      <c r="P190" s="4" t="s">
        <v>394</v>
      </c>
      <c r="Q190" s="12" t="s">
        <v>158</v>
      </c>
      <c r="R190" s="5" t="n">
        <v>0</v>
      </c>
      <c r="S190" s="12" t="s">
        <v>159</v>
      </c>
      <c r="T190" s="4" t="s">
        <v>188</v>
      </c>
      <c r="U190" s="12" t="s">
        <v>158</v>
      </c>
      <c r="V190" s="5" t="n">
        <v>0</v>
      </c>
      <c r="W190" s="12" t="s">
        <v>159</v>
      </c>
      <c r="X190" s="12" t="n">
        <v>5</v>
      </c>
      <c r="Y190" s="4" t="s">
        <v>235</v>
      </c>
    </row>
    <row r="191" customFormat="false" ht="23.85" hidden="false" customHeight="false" outlineLevel="0" collapsed="false">
      <c r="A191" s="5" t="n">
        <v>43577</v>
      </c>
      <c r="B191" s="5" t="s">
        <v>74</v>
      </c>
      <c r="C191" s="5" t="s">
        <v>812</v>
      </c>
      <c r="D191" s="4" t="s">
        <v>30</v>
      </c>
      <c r="E191" s="4" t="s">
        <v>171</v>
      </c>
      <c r="F191" s="4" t="s">
        <v>383</v>
      </c>
      <c r="G191" s="4" t="s">
        <v>813</v>
      </c>
      <c r="H191" s="4" t="s">
        <v>814</v>
      </c>
      <c r="I191" s="12" t="s">
        <v>158</v>
      </c>
      <c r="J191" s="4"/>
      <c r="K191" s="5" t="s">
        <v>159</v>
      </c>
      <c r="L191" s="4"/>
      <c r="M191" s="12" t="s">
        <v>159</v>
      </c>
      <c r="N191" s="4"/>
      <c r="O191" s="12" t="s">
        <v>159</v>
      </c>
      <c r="P191" s="4" t="s">
        <v>394</v>
      </c>
      <c r="Q191" s="12" t="s">
        <v>158</v>
      </c>
      <c r="R191" s="5" t="n">
        <v>0</v>
      </c>
      <c r="S191" s="12" t="s">
        <v>159</v>
      </c>
      <c r="T191" s="4" t="s">
        <v>163</v>
      </c>
      <c r="U191" s="12" t="s">
        <v>158</v>
      </c>
      <c r="V191" s="5" t="n">
        <v>0</v>
      </c>
      <c r="W191" s="12" t="s">
        <v>159</v>
      </c>
      <c r="X191" s="12" t="n">
        <v>5</v>
      </c>
      <c r="Y191" s="4" t="s">
        <v>235</v>
      </c>
    </row>
    <row r="192" customFormat="false" ht="23.85" hidden="false" customHeight="false" outlineLevel="0" collapsed="false">
      <c r="A192" s="5" t="n">
        <v>43578</v>
      </c>
      <c r="B192" s="5" t="s">
        <v>74</v>
      </c>
      <c r="C192" s="5" t="s">
        <v>815</v>
      </c>
      <c r="D192" s="4" t="s">
        <v>22</v>
      </c>
      <c r="E192" s="4" t="s">
        <v>176</v>
      </c>
      <c r="F192" s="4" t="s">
        <v>155</v>
      </c>
      <c r="G192" s="4" t="s">
        <v>816</v>
      </c>
      <c r="H192" s="4" t="s">
        <v>817</v>
      </c>
      <c r="I192" s="12" t="s">
        <v>158</v>
      </c>
      <c r="J192" s="4"/>
      <c r="K192" s="5" t="s">
        <v>159</v>
      </c>
      <c r="L192" s="4" t="s">
        <v>818</v>
      </c>
      <c r="M192" s="12" t="s">
        <v>158</v>
      </c>
      <c r="N192" s="4"/>
      <c r="O192" s="12" t="s">
        <v>159</v>
      </c>
      <c r="P192" s="4" t="s">
        <v>634</v>
      </c>
      <c r="Q192" s="12" t="s">
        <v>158</v>
      </c>
      <c r="R192" s="5" t="n">
        <v>0</v>
      </c>
      <c r="S192" s="12" t="s">
        <v>159</v>
      </c>
      <c r="T192" s="4" t="s">
        <v>234</v>
      </c>
      <c r="U192" s="12" t="s">
        <v>158</v>
      </c>
      <c r="V192" s="5" t="n">
        <v>50</v>
      </c>
      <c r="W192" s="12" t="s">
        <v>158</v>
      </c>
      <c r="X192" s="12" t="n">
        <v>3</v>
      </c>
      <c r="Y192" s="4" t="s">
        <v>819</v>
      </c>
    </row>
    <row r="193" customFormat="false" ht="23.85" hidden="false" customHeight="false" outlineLevel="0" collapsed="false">
      <c r="A193" s="5" t="n">
        <v>43579</v>
      </c>
      <c r="B193" s="5" t="s">
        <v>74</v>
      </c>
      <c r="C193" s="5" t="s">
        <v>820</v>
      </c>
      <c r="D193" s="4" t="s">
        <v>22</v>
      </c>
      <c r="E193" s="4" t="s">
        <v>176</v>
      </c>
      <c r="F193" s="4" t="s">
        <v>155</v>
      </c>
      <c r="G193" s="4" t="s">
        <v>821</v>
      </c>
      <c r="H193" s="4" t="s">
        <v>822</v>
      </c>
      <c r="I193" s="12" t="s">
        <v>158</v>
      </c>
      <c r="J193" s="4"/>
      <c r="K193" s="5" t="s">
        <v>159</v>
      </c>
      <c r="L193" s="4"/>
      <c r="M193" s="12" t="s">
        <v>159</v>
      </c>
      <c r="N193" s="4"/>
      <c r="O193" s="12" t="s">
        <v>159</v>
      </c>
      <c r="P193" s="4" t="s">
        <v>551</v>
      </c>
      <c r="Q193" s="12" t="s">
        <v>158</v>
      </c>
      <c r="R193" s="5" t="n">
        <v>0</v>
      </c>
      <c r="S193" s="12" t="s">
        <v>159</v>
      </c>
      <c r="T193" s="4" t="s">
        <v>823</v>
      </c>
      <c r="U193" s="12" t="s">
        <v>158</v>
      </c>
      <c r="V193" s="5" t="n">
        <v>0</v>
      </c>
      <c r="W193" s="12" t="s">
        <v>159</v>
      </c>
      <c r="X193" s="12" t="n">
        <v>5</v>
      </c>
      <c r="Y193" s="4" t="s">
        <v>235</v>
      </c>
    </row>
    <row r="194" customFormat="false" ht="23.85" hidden="false" customHeight="false" outlineLevel="0" collapsed="false">
      <c r="A194" s="5" t="n">
        <v>43580</v>
      </c>
      <c r="B194" s="5" t="s">
        <v>74</v>
      </c>
      <c r="C194" s="5" t="s">
        <v>678</v>
      </c>
      <c r="D194" s="4" t="s">
        <v>22</v>
      </c>
      <c r="E194" s="4" t="s">
        <v>176</v>
      </c>
      <c r="F194" s="4" t="s">
        <v>155</v>
      </c>
      <c r="G194" s="4" t="s">
        <v>824</v>
      </c>
      <c r="H194" s="4" t="s">
        <v>825</v>
      </c>
      <c r="I194" s="12" t="s">
        <v>158</v>
      </c>
      <c r="J194" s="4"/>
      <c r="K194" s="5" t="s">
        <v>159</v>
      </c>
      <c r="L194" s="4" t="s">
        <v>826</v>
      </c>
      <c r="M194" s="12" t="s">
        <v>158</v>
      </c>
      <c r="N194" s="4" t="s">
        <v>827</v>
      </c>
      <c r="O194" s="12" t="s">
        <v>158</v>
      </c>
      <c r="P194" s="4" t="s">
        <v>828</v>
      </c>
      <c r="Q194" s="12" t="s">
        <v>158</v>
      </c>
      <c r="R194" s="5" t="n">
        <v>0</v>
      </c>
      <c r="S194" s="12" t="s">
        <v>159</v>
      </c>
      <c r="T194" s="4" t="s">
        <v>188</v>
      </c>
      <c r="U194" s="12" t="s">
        <v>158</v>
      </c>
      <c r="V194" s="5" t="n">
        <v>0</v>
      </c>
      <c r="W194" s="12" t="s">
        <v>159</v>
      </c>
      <c r="X194" s="12" t="n">
        <v>3</v>
      </c>
      <c r="Y194" s="4" t="s">
        <v>164</v>
      </c>
    </row>
    <row r="195" customFormat="false" ht="23.85" hidden="false" customHeight="false" outlineLevel="0" collapsed="false">
      <c r="A195" s="5" t="n">
        <v>43581</v>
      </c>
      <c r="B195" s="5" t="s">
        <v>76</v>
      </c>
      <c r="C195" s="5" t="s">
        <v>829</v>
      </c>
      <c r="D195" s="4" t="s">
        <v>18</v>
      </c>
      <c r="E195" s="4" t="s">
        <v>154</v>
      </c>
      <c r="F195" s="4" t="s">
        <v>383</v>
      </c>
      <c r="G195" s="4" t="s">
        <v>830</v>
      </c>
      <c r="H195" s="4" t="s">
        <v>831</v>
      </c>
      <c r="I195" s="12" t="s">
        <v>158</v>
      </c>
      <c r="J195" s="4"/>
      <c r="K195" s="5" t="s">
        <v>159</v>
      </c>
      <c r="L195" s="4" t="s">
        <v>832</v>
      </c>
      <c r="M195" s="12" t="s">
        <v>158</v>
      </c>
      <c r="N195" s="4" t="s">
        <v>833</v>
      </c>
      <c r="O195" s="12" t="s">
        <v>158</v>
      </c>
      <c r="P195" s="4" t="s">
        <v>834</v>
      </c>
      <c r="Q195" s="12" t="s">
        <v>158</v>
      </c>
      <c r="R195" s="5" t="n">
        <v>0</v>
      </c>
      <c r="S195" s="12" t="s">
        <v>159</v>
      </c>
      <c r="T195" s="4"/>
      <c r="U195" s="12" t="s">
        <v>159</v>
      </c>
      <c r="V195" s="5" t="n">
        <v>0</v>
      </c>
      <c r="W195" s="12" t="s">
        <v>159</v>
      </c>
      <c r="X195" s="12" t="n">
        <v>4</v>
      </c>
      <c r="Y195" s="4" t="s">
        <v>182</v>
      </c>
    </row>
    <row r="196" customFormat="false" ht="23.85" hidden="false" customHeight="false" outlineLevel="0" collapsed="false">
      <c r="A196" s="5" t="n">
        <v>43582</v>
      </c>
      <c r="B196" s="5" t="s">
        <v>76</v>
      </c>
      <c r="C196" s="5" t="s">
        <v>835</v>
      </c>
      <c r="D196" s="4" t="s">
        <v>18</v>
      </c>
      <c r="E196" s="4" t="s">
        <v>154</v>
      </c>
      <c r="F196" s="4" t="s">
        <v>383</v>
      </c>
      <c r="G196" s="4" t="s">
        <v>836</v>
      </c>
      <c r="H196" s="4" t="s">
        <v>836</v>
      </c>
      <c r="I196" s="12" t="s">
        <v>158</v>
      </c>
      <c r="J196" s="4"/>
      <c r="K196" s="5" t="s">
        <v>159</v>
      </c>
      <c r="L196" s="4"/>
      <c r="M196" s="12" t="s">
        <v>159</v>
      </c>
      <c r="N196" s="4"/>
      <c r="O196" s="12" t="s">
        <v>159</v>
      </c>
      <c r="P196" s="4" t="s">
        <v>837</v>
      </c>
      <c r="Q196" s="12" t="s">
        <v>158</v>
      </c>
      <c r="R196" s="5" t="n">
        <v>0</v>
      </c>
      <c r="S196" s="12" t="s">
        <v>159</v>
      </c>
      <c r="T196" s="4"/>
      <c r="U196" s="12" t="s">
        <v>159</v>
      </c>
      <c r="V196" s="5" t="n">
        <v>0</v>
      </c>
      <c r="W196" s="12" t="s">
        <v>159</v>
      </c>
      <c r="X196" s="12" t="n">
        <v>6</v>
      </c>
      <c r="Y196" s="4" t="s">
        <v>267</v>
      </c>
    </row>
    <row r="197" customFormat="false" ht="23.85" hidden="false" customHeight="false" outlineLevel="0" collapsed="false">
      <c r="A197" s="5" t="n">
        <v>43583</v>
      </c>
      <c r="B197" s="5" t="s">
        <v>76</v>
      </c>
      <c r="C197" s="5" t="s">
        <v>838</v>
      </c>
      <c r="D197" s="4" t="s">
        <v>18</v>
      </c>
      <c r="E197" s="4" t="s">
        <v>154</v>
      </c>
      <c r="F197" s="4" t="s">
        <v>383</v>
      </c>
      <c r="G197" s="4" t="s">
        <v>839</v>
      </c>
      <c r="H197" s="4" t="s">
        <v>839</v>
      </c>
      <c r="I197" s="12" t="s">
        <v>158</v>
      </c>
      <c r="J197" s="4"/>
      <c r="K197" s="5" t="s">
        <v>159</v>
      </c>
      <c r="L197" s="4" t="s">
        <v>840</v>
      </c>
      <c r="M197" s="12" t="s">
        <v>158</v>
      </c>
      <c r="N197" s="4"/>
      <c r="O197" s="12" t="s">
        <v>159</v>
      </c>
      <c r="P197" s="4" t="s">
        <v>394</v>
      </c>
      <c r="Q197" s="12" t="s">
        <v>158</v>
      </c>
      <c r="R197" s="5" t="n">
        <v>0</v>
      </c>
      <c r="S197" s="12" t="s">
        <v>159</v>
      </c>
      <c r="T197" s="4"/>
      <c r="U197" s="12" t="s">
        <v>159</v>
      </c>
      <c r="V197" s="5" t="n">
        <v>0</v>
      </c>
      <c r="W197" s="12" t="s">
        <v>159</v>
      </c>
      <c r="X197" s="12" t="n">
        <v>5</v>
      </c>
      <c r="Y197" s="4" t="s">
        <v>310</v>
      </c>
    </row>
    <row r="198" customFormat="false" ht="23.85" hidden="false" customHeight="false" outlineLevel="0" collapsed="false">
      <c r="A198" s="5" t="n">
        <v>43584</v>
      </c>
      <c r="B198" s="5" t="s">
        <v>76</v>
      </c>
      <c r="C198" s="5" t="s">
        <v>841</v>
      </c>
      <c r="D198" s="4" t="s">
        <v>34</v>
      </c>
      <c r="E198" s="4" t="s">
        <v>154</v>
      </c>
      <c r="F198" s="4" t="s">
        <v>166</v>
      </c>
      <c r="G198" s="4" t="s">
        <v>842</v>
      </c>
      <c r="H198" s="4" t="s">
        <v>842</v>
      </c>
      <c r="I198" s="12" t="s">
        <v>158</v>
      </c>
      <c r="J198" s="4"/>
      <c r="K198" s="5" t="s">
        <v>159</v>
      </c>
      <c r="L198" s="4" t="s">
        <v>843</v>
      </c>
      <c r="M198" s="12" t="s">
        <v>158</v>
      </c>
      <c r="N198" s="4" t="s">
        <v>842</v>
      </c>
      <c r="O198" s="12" t="s">
        <v>158</v>
      </c>
      <c r="P198" s="4" t="s">
        <v>163</v>
      </c>
      <c r="Q198" s="12" t="s">
        <v>158</v>
      </c>
      <c r="R198" s="5" t="n">
        <v>0</v>
      </c>
      <c r="S198" s="12" t="s">
        <v>159</v>
      </c>
      <c r="T198" s="4" t="s">
        <v>163</v>
      </c>
      <c r="U198" s="12" t="s">
        <v>158</v>
      </c>
      <c r="V198" s="5" t="n">
        <v>0</v>
      </c>
      <c r="W198" s="12" t="s">
        <v>159</v>
      </c>
      <c r="X198" s="12" t="n">
        <v>3</v>
      </c>
      <c r="Y198" s="4" t="s">
        <v>164</v>
      </c>
    </row>
    <row r="199" customFormat="false" ht="23.85" hidden="false" customHeight="false" outlineLevel="0" collapsed="false">
      <c r="A199" s="5" t="n">
        <v>43586</v>
      </c>
      <c r="B199" s="5" t="s">
        <v>76</v>
      </c>
      <c r="C199" s="5" t="s">
        <v>844</v>
      </c>
      <c r="D199" s="4" t="s">
        <v>34</v>
      </c>
      <c r="E199" s="4" t="s">
        <v>154</v>
      </c>
      <c r="F199" s="4" t="s">
        <v>166</v>
      </c>
      <c r="G199" s="4" t="s">
        <v>845</v>
      </c>
      <c r="H199" s="4" t="s">
        <v>846</v>
      </c>
      <c r="I199" s="12" t="s">
        <v>158</v>
      </c>
      <c r="J199" s="4"/>
      <c r="K199" s="5" t="s">
        <v>159</v>
      </c>
      <c r="L199" s="4" t="s">
        <v>826</v>
      </c>
      <c r="M199" s="12" t="s">
        <v>158</v>
      </c>
      <c r="N199" s="4" t="s">
        <v>847</v>
      </c>
      <c r="O199" s="12" t="s">
        <v>158</v>
      </c>
      <c r="P199" s="4" t="s">
        <v>163</v>
      </c>
      <c r="Q199" s="12" t="s">
        <v>158</v>
      </c>
      <c r="R199" s="5" t="n">
        <v>0</v>
      </c>
      <c r="S199" s="12" t="s">
        <v>159</v>
      </c>
      <c r="T199" s="4" t="s">
        <v>163</v>
      </c>
      <c r="U199" s="12" t="s">
        <v>158</v>
      </c>
      <c r="V199" s="5" t="n">
        <v>0</v>
      </c>
      <c r="W199" s="12" t="s">
        <v>159</v>
      </c>
      <c r="X199" s="12" t="n">
        <v>3</v>
      </c>
      <c r="Y199" s="4" t="s">
        <v>164</v>
      </c>
    </row>
    <row r="200" customFormat="false" ht="23.85" hidden="false" customHeight="false" outlineLevel="0" collapsed="false">
      <c r="A200" s="5" t="n">
        <v>43587</v>
      </c>
      <c r="B200" s="5" t="s">
        <v>76</v>
      </c>
      <c r="C200" s="5" t="s">
        <v>848</v>
      </c>
      <c r="D200" s="4" t="s">
        <v>34</v>
      </c>
      <c r="E200" s="4" t="s">
        <v>154</v>
      </c>
      <c r="F200" s="4" t="s">
        <v>383</v>
      </c>
      <c r="G200" s="4" t="s">
        <v>849</v>
      </c>
      <c r="H200" s="4" t="s">
        <v>850</v>
      </c>
      <c r="I200" s="12" t="s">
        <v>158</v>
      </c>
      <c r="J200" s="4"/>
      <c r="K200" s="5" t="s">
        <v>159</v>
      </c>
      <c r="L200" s="4" t="s">
        <v>851</v>
      </c>
      <c r="M200" s="12" t="s">
        <v>158</v>
      </c>
      <c r="N200" s="4" t="s">
        <v>852</v>
      </c>
      <c r="O200" s="12" t="s">
        <v>158</v>
      </c>
      <c r="P200" s="4" t="s">
        <v>853</v>
      </c>
      <c r="Q200" s="12" t="s">
        <v>158</v>
      </c>
      <c r="R200" s="5" t="n">
        <v>0</v>
      </c>
      <c r="S200" s="12" t="s">
        <v>159</v>
      </c>
      <c r="T200" s="4" t="s">
        <v>163</v>
      </c>
      <c r="U200" s="12" t="s">
        <v>158</v>
      </c>
      <c r="V200" s="5" t="n">
        <v>0</v>
      </c>
      <c r="W200" s="12" t="s">
        <v>159</v>
      </c>
      <c r="X200" s="12" t="n">
        <v>3</v>
      </c>
      <c r="Y200" s="4" t="s">
        <v>164</v>
      </c>
    </row>
    <row r="201" customFormat="false" ht="23.85" hidden="false" customHeight="false" outlineLevel="0" collapsed="false">
      <c r="A201" s="5" t="n">
        <v>43588</v>
      </c>
      <c r="B201" s="5" t="s">
        <v>76</v>
      </c>
      <c r="C201" s="5" t="s">
        <v>382</v>
      </c>
      <c r="D201" s="4" t="s">
        <v>34</v>
      </c>
      <c r="E201" s="4" t="s">
        <v>154</v>
      </c>
      <c r="F201" s="4" t="s">
        <v>166</v>
      </c>
      <c r="G201" s="4" t="s">
        <v>854</v>
      </c>
      <c r="H201" s="4" t="s">
        <v>855</v>
      </c>
      <c r="I201" s="12" t="s">
        <v>158</v>
      </c>
      <c r="J201" s="4"/>
      <c r="K201" s="5" t="s">
        <v>159</v>
      </c>
      <c r="L201" s="4" t="s">
        <v>856</v>
      </c>
      <c r="M201" s="12" t="s">
        <v>158</v>
      </c>
      <c r="N201" s="4" t="s">
        <v>857</v>
      </c>
      <c r="O201" s="12" t="s">
        <v>158</v>
      </c>
      <c r="P201" s="4" t="s">
        <v>163</v>
      </c>
      <c r="Q201" s="12" t="s">
        <v>158</v>
      </c>
      <c r="R201" s="5" t="n">
        <v>0</v>
      </c>
      <c r="S201" s="12" t="s">
        <v>159</v>
      </c>
      <c r="T201" s="4" t="s">
        <v>163</v>
      </c>
      <c r="U201" s="12" t="s">
        <v>158</v>
      </c>
      <c r="V201" s="5" t="n">
        <v>0</v>
      </c>
      <c r="W201" s="12" t="s">
        <v>159</v>
      </c>
      <c r="X201" s="12" t="n">
        <v>3</v>
      </c>
      <c r="Y201" s="4" t="s">
        <v>164</v>
      </c>
    </row>
    <row r="202" customFormat="false" ht="23.85" hidden="false" customHeight="false" outlineLevel="0" collapsed="false">
      <c r="A202" s="5" t="n">
        <v>43589</v>
      </c>
      <c r="B202" s="5" t="s">
        <v>76</v>
      </c>
      <c r="C202" s="5" t="s">
        <v>858</v>
      </c>
      <c r="D202" s="4" t="s">
        <v>34</v>
      </c>
      <c r="E202" s="4" t="s">
        <v>154</v>
      </c>
      <c r="F202" s="4" t="s">
        <v>383</v>
      </c>
      <c r="G202" s="4" t="s">
        <v>859</v>
      </c>
      <c r="H202" s="4" t="s">
        <v>157</v>
      </c>
      <c r="I202" s="12" t="s">
        <v>158</v>
      </c>
      <c r="J202" s="4"/>
      <c r="K202" s="5" t="s">
        <v>159</v>
      </c>
      <c r="L202" s="4" t="s">
        <v>160</v>
      </c>
      <c r="M202" s="12" t="s">
        <v>158</v>
      </c>
      <c r="N202" s="4" t="s">
        <v>860</v>
      </c>
      <c r="O202" s="12" t="s">
        <v>158</v>
      </c>
      <c r="P202" s="4" t="s">
        <v>163</v>
      </c>
      <c r="Q202" s="12" t="s">
        <v>158</v>
      </c>
      <c r="R202" s="5" t="n">
        <v>0</v>
      </c>
      <c r="S202" s="12" t="s">
        <v>159</v>
      </c>
      <c r="T202" s="4" t="s">
        <v>163</v>
      </c>
      <c r="U202" s="12" t="s">
        <v>158</v>
      </c>
      <c r="V202" s="5" t="n">
        <v>0</v>
      </c>
      <c r="W202" s="12" t="s">
        <v>159</v>
      </c>
      <c r="X202" s="12" t="n">
        <v>3</v>
      </c>
      <c r="Y202" s="4" t="s">
        <v>164</v>
      </c>
    </row>
    <row r="203" customFormat="false" ht="23.85" hidden="false" customHeight="false" outlineLevel="0" collapsed="false">
      <c r="A203" s="5" t="n">
        <v>43596</v>
      </c>
      <c r="B203" s="5" t="s">
        <v>76</v>
      </c>
      <c r="C203" s="5" t="s">
        <v>861</v>
      </c>
      <c r="D203" s="4" t="s">
        <v>20</v>
      </c>
      <c r="E203" s="4" t="s">
        <v>154</v>
      </c>
      <c r="F203" s="4" t="s">
        <v>166</v>
      </c>
      <c r="G203" s="4" t="s">
        <v>862</v>
      </c>
      <c r="H203" s="4"/>
      <c r="I203" s="12" t="s">
        <v>159</v>
      </c>
      <c r="J203" s="4"/>
      <c r="K203" s="5" t="s">
        <v>159</v>
      </c>
      <c r="L203" s="4"/>
      <c r="M203" s="12" t="s">
        <v>159</v>
      </c>
      <c r="N203" s="4"/>
      <c r="O203" s="12" t="s">
        <v>159</v>
      </c>
      <c r="P203" s="4"/>
      <c r="Q203" s="12" t="s">
        <v>159</v>
      </c>
      <c r="R203" s="5" t="n">
        <v>0</v>
      </c>
      <c r="S203" s="12" t="s">
        <v>159</v>
      </c>
      <c r="T203" s="4"/>
      <c r="U203" s="12" t="s">
        <v>159</v>
      </c>
      <c r="V203" s="5" t="n">
        <v>0</v>
      </c>
      <c r="W203" s="12" t="s">
        <v>159</v>
      </c>
      <c r="X203" s="12" t="n">
        <v>8</v>
      </c>
      <c r="Y203" s="4" t="s">
        <v>285</v>
      </c>
    </row>
    <row r="204" customFormat="false" ht="23.85" hidden="false" customHeight="false" outlineLevel="0" collapsed="false">
      <c r="A204" s="5" t="n">
        <v>43597</v>
      </c>
      <c r="B204" s="5" t="s">
        <v>76</v>
      </c>
      <c r="C204" s="5" t="s">
        <v>290</v>
      </c>
      <c r="D204" s="4" t="s">
        <v>20</v>
      </c>
      <c r="E204" s="4" t="s">
        <v>154</v>
      </c>
      <c r="F204" s="4" t="s">
        <v>166</v>
      </c>
      <c r="G204" s="4" t="s">
        <v>863</v>
      </c>
      <c r="H204" s="4"/>
      <c r="I204" s="12" t="s">
        <v>159</v>
      </c>
      <c r="J204" s="4"/>
      <c r="K204" s="5" t="s">
        <v>159</v>
      </c>
      <c r="L204" s="4"/>
      <c r="M204" s="12" t="s">
        <v>159</v>
      </c>
      <c r="N204" s="4"/>
      <c r="O204" s="12" t="s">
        <v>159</v>
      </c>
      <c r="P204" s="4"/>
      <c r="Q204" s="12" t="s">
        <v>159</v>
      </c>
      <c r="R204" s="5" t="n">
        <v>0</v>
      </c>
      <c r="S204" s="12" t="s">
        <v>159</v>
      </c>
      <c r="T204" s="4"/>
      <c r="U204" s="12" t="s">
        <v>159</v>
      </c>
      <c r="V204" s="5" t="n">
        <v>0</v>
      </c>
      <c r="W204" s="12" t="s">
        <v>159</v>
      </c>
      <c r="X204" s="12" t="n">
        <v>8</v>
      </c>
      <c r="Y204" s="4" t="s">
        <v>285</v>
      </c>
    </row>
    <row r="205" customFormat="false" ht="23.85" hidden="false" customHeight="false" outlineLevel="0" collapsed="false">
      <c r="A205" s="5" t="n">
        <v>43599</v>
      </c>
      <c r="B205" s="5" t="s">
        <v>76</v>
      </c>
      <c r="C205" s="5" t="s">
        <v>735</v>
      </c>
      <c r="D205" s="4" t="s">
        <v>20</v>
      </c>
      <c r="E205" s="4" t="s">
        <v>154</v>
      </c>
      <c r="F205" s="4" t="s">
        <v>166</v>
      </c>
      <c r="G205" s="4" t="s">
        <v>864</v>
      </c>
      <c r="H205" s="4"/>
      <c r="I205" s="12" t="s">
        <v>159</v>
      </c>
      <c r="J205" s="4"/>
      <c r="K205" s="5" t="s">
        <v>159</v>
      </c>
      <c r="L205" s="4"/>
      <c r="M205" s="12" t="s">
        <v>159</v>
      </c>
      <c r="N205" s="4"/>
      <c r="O205" s="12" t="s">
        <v>159</v>
      </c>
      <c r="P205" s="4"/>
      <c r="Q205" s="12" t="s">
        <v>159</v>
      </c>
      <c r="R205" s="5" t="n">
        <v>0</v>
      </c>
      <c r="S205" s="12" t="s">
        <v>159</v>
      </c>
      <c r="T205" s="4"/>
      <c r="U205" s="12" t="s">
        <v>159</v>
      </c>
      <c r="V205" s="5" t="n">
        <v>0</v>
      </c>
      <c r="W205" s="12" t="s">
        <v>159</v>
      </c>
      <c r="X205" s="12" t="n">
        <v>8</v>
      </c>
      <c r="Y205" s="4" t="s">
        <v>285</v>
      </c>
    </row>
    <row r="206" customFormat="false" ht="23.85" hidden="false" customHeight="false" outlineLevel="0" collapsed="false">
      <c r="A206" s="5" t="n">
        <v>43601</v>
      </c>
      <c r="B206" s="5" t="s">
        <v>76</v>
      </c>
      <c r="C206" s="5" t="s">
        <v>737</v>
      </c>
      <c r="D206" s="4" t="s">
        <v>20</v>
      </c>
      <c r="E206" s="4" t="s">
        <v>154</v>
      </c>
      <c r="F206" s="4" t="s">
        <v>166</v>
      </c>
      <c r="G206" s="4" t="s">
        <v>865</v>
      </c>
      <c r="H206" s="4"/>
      <c r="I206" s="12" t="s">
        <v>159</v>
      </c>
      <c r="J206" s="4"/>
      <c r="K206" s="5" t="s">
        <v>159</v>
      </c>
      <c r="L206" s="4"/>
      <c r="M206" s="12" t="s">
        <v>159</v>
      </c>
      <c r="N206" s="4"/>
      <c r="O206" s="12" t="s">
        <v>159</v>
      </c>
      <c r="P206" s="4"/>
      <c r="Q206" s="12" t="s">
        <v>159</v>
      </c>
      <c r="R206" s="5" t="n">
        <v>0</v>
      </c>
      <c r="S206" s="12" t="s">
        <v>159</v>
      </c>
      <c r="T206" s="4"/>
      <c r="U206" s="12" t="s">
        <v>159</v>
      </c>
      <c r="V206" s="5" t="n">
        <v>0</v>
      </c>
      <c r="W206" s="12" t="s">
        <v>159</v>
      </c>
      <c r="X206" s="12" t="n">
        <v>8</v>
      </c>
      <c r="Y206" s="4" t="s">
        <v>285</v>
      </c>
    </row>
    <row r="207" customFormat="false" ht="23.85" hidden="false" customHeight="false" outlineLevel="0" collapsed="false">
      <c r="A207" s="5" t="n">
        <v>43603</v>
      </c>
      <c r="B207" s="5" t="s">
        <v>76</v>
      </c>
      <c r="C207" s="5" t="s">
        <v>740</v>
      </c>
      <c r="D207" s="4" t="s">
        <v>20</v>
      </c>
      <c r="E207" s="4" t="s">
        <v>154</v>
      </c>
      <c r="F207" s="4" t="s">
        <v>166</v>
      </c>
      <c r="G207" s="4" t="s">
        <v>866</v>
      </c>
      <c r="H207" s="4"/>
      <c r="I207" s="12" t="s">
        <v>159</v>
      </c>
      <c r="J207" s="4"/>
      <c r="K207" s="5" t="s">
        <v>159</v>
      </c>
      <c r="L207" s="4"/>
      <c r="M207" s="12" t="s">
        <v>159</v>
      </c>
      <c r="N207" s="4"/>
      <c r="O207" s="12" t="s">
        <v>159</v>
      </c>
      <c r="P207" s="4"/>
      <c r="Q207" s="12" t="s">
        <v>159</v>
      </c>
      <c r="R207" s="5" t="n">
        <v>0</v>
      </c>
      <c r="S207" s="12" t="s">
        <v>159</v>
      </c>
      <c r="T207" s="4"/>
      <c r="U207" s="12" t="s">
        <v>159</v>
      </c>
      <c r="V207" s="5" t="n">
        <v>0</v>
      </c>
      <c r="W207" s="12" t="s">
        <v>159</v>
      </c>
      <c r="X207" s="12" t="n">
        <v>8</v>
      </c>
      <c r="Y207" s="4" t="s">
        <v>285</v>
      </c>
    </row>
    <row r="208" customFormat="false" ht="23.85" hidden="false" customHeight="false" outlineLevel="0" collapsed="false">
      <c r="A208" s="5" t="n">
        <v>43604</v>
      </c>
      <c r="B208" s="5" t="s">
        <v>76</v>
      </c>
      <c r="C208" s="5" t="s">
        <v>742</v>
      </c>
      <c r="D208" s="4" t="s">
        <v>20</v>
      </c>
      <c r="E208" s="4" t="s">
        <v>154</v>
      </c>
      <c r="F208" s="4" t="s">
        <v>166</v>
      </c>
      <c r="G208" s="4" t="s">
        <v>867</v>
      </c>
      <c r="H208" s="4"/>
      <c r="I208" s="12" t="s">
        <v>159</v>
      </c>
      <c r="J208" s="4"/>
      <c r="K208" s="5" t="s">
        <v>159</v>
      </c>
      <c r="L208" s="4"/>
      <c r="M208" s="12" t="s">
        <v>159</v>
      </c>
      <c r="N208" s="4"/>
      <c r="O208" s="12" t="s">
        <v>159</v>
      </c>
      <c r="P208" s="4"/>
      <c r="Q208" s="12" t="s">
        <v>159</v>
      </c>
      <c r="R208" s="5" t="n">
        <v>0</v>
      </c>
      <c r="S208" s="12" t="s">
        <v>159</v>
      </c>
      <c r="T208" s="4"/>
      <c r="U208" s="12" t="s">
        <v>159</v>
      </c>
      <c r="V208" s="5" t="n">
        <v>0</v>
      </c>
      <c r="W208" s="12" t="s">
        <v>159</v>
      </c>
      <c r="X208" s="12" t="n">
        <v>8</v>
      </c>
      <c r="Y208" s="4" t="s">
        <v>285</v>
      </c>
    </row>
    <row r="209" customFormat="false" ht="23.85" hidden="false" customHeight="false" outlineLevel="0" collapsed="false">
      <c r="A209" s="5" t="n">
        <v>43607</v>
      </c>
      <c r="B209" s="5" t="s">
        <v>76</v>
      </c>
      <c r="C209" s="5" t="s">
        <v>301</v>
      </c>
      <c r="D209" s="4" t="s">
        <v>20</v>
      </c>
      <c r="E209" s="4" t="s">
        <v>154</v>
      </c>
      <c r="F209" s="4" t="s">
        <v>166</v>
      </c>
      <c r="G209" s="4" t="s">
        <v>868</v>
      </c>
      <c r="H209" s="4"/>
      <c r="I209" s="12" t="s">
        <v>159</v>
      </c>
      <c r="J209" s="4"/>
      <c r="K209" s="5" t="s">
        <v>159</v>
      </c>
      <c r="L209" s="4"/>
      <c r="M209" s="12" t="s">
        <v>159</v>
      </c>
      <c r="N209" s="4"/>
      <c r="O209" s="12" t="s">
        <v>159</v>
      </c>
      <c r="P209" s="4"/>
      <c r="Q209" s="12" t="s">
        <v>159</v>
      </c>
      <c r="R209" s="5" t="n">
        <v>0</v>
      </c>
      <c r="S209" s="12" t="s">
        <v>159</v>
      </c>
      <c r="T209" s="4"/>
      <c r="U209" s="12" t="s">
        <v>159</v>
      </c>
      <c r="V209" s="5" t="n">
        <v>0</v>
      </c>
      <c r="W209" s="12" t="s">
        <v>159</v>
      </c>
      <c r="X209" s="12" t="n">
        <v>8</v>
      </c>
      <c r="Y209" s="4" t="s">
        <v>285</v>
      </c>
    </row>
    <row r="210" customFormat="false" ht="23.85" hidden="false" customHeight="false" outlineLevel="0" collapsed="false">
      <c r="A210" s="5" t="n">
        <v>43609</v>
      </c>
      <c r="B210" s="5" t="s">
        <v>76</v>
      </c>
      <c r="C210" s="5" t="s">
        <v>306</v>
      </c>
      <c r="D210" s="4" t="s">
        <v>20</v>
      </c>
      <c r="E210" s="4" t="s">
        <v>154</v>
      </c>
      <c r="F210" s="4" t="s">
        <v>166</v>
      </c>
      <c r="G210" s="4" t="s">
        <v>869</v>
      </c>
      <c r="H210" s="4"/>
      <c r="I210" s="12" t="s">
        <v>159</v>
      </c>
      <c r="J210" s="4"/>
      <c r="K210" s="5" t="s">
        <v>159</v>
      </c>
      <c r="L210" s="4"/>
      <c r="M210" s="12" t="s">
        <v>159</v>
      </c>
      <c r="N210" s="4"/>
      <c r="O210" s="12" t="s">
        <v>159</v>
      </c>
      <c r="P210" s="4"/>
      <c r="Q210" s="12" t="s">
        <v>159</v>
      </c>
      <c r="R210" s="5" t="n">
        <v>0</v>
      </c>
      <c r="S210" s="12" t="s">
        <v>159</v>
      </c>
      <c r="T210" s="4"/>
      <c r="U210" s="12" t="s">
        <v>159</v>
      </c>
      <c r="V210" s="5" t="n">
        <v>0</v>
      </c>
      <c r="W210" s="12" t="s">
        <v>159</v>
      </c>
      <c r="X210" s="12" t="n">
        <v>8</v>
      </c>
      <c r="Y210" s="4" t="s">
        <v>285</v>
      </c>
    </row>
    <row r="211" customFormat="false" ht="23.85" hidden="false" customHeight="false" outlineLevel="0" collapsed="false">
      <c r="A211" s="5" t="n">
        <v>43612</v>
      </c>
      <c r="B211" s="5" t="s">
        <v>76</v>
      </c>
      <c r="C211" s="5" t="s">
        <v>870</v>
      </c>
      <c r="D211" s="4" t="s">
        <v>20</v>
      </c>
      <c r="E211" s="4" t="s">
        <v>154</v>
      </c>
      <c r="F211" s="4" t="s">
        <v>166</v>
      </c>
      <c r="G211" s="4" t="s">
        <v>871</v>
      </c>
      <c r="H211" s="4"/>
      <c r="I211" s="12" t="s">
        <v>159</v>
      </c>
      <c r="J211" s="4"/>
      <c r="K211" s="5" t="s">
        <v>159</v>
      </c>
      <c r="L211" s="4"/>
      <c r="M211" s="12" t="s">
        <v>159</v>
      </c>
      <c r="N211" s="4"/>
      <c r="O211" s="12" t="s">
        <v>159</v>
      </c>
      <c r="P211" s="4"/>
      <c r="Q211" s="12" t="s">
        <v>159</v>
      </c>
      <c r="R211" s="5" t="n">
        <v>0</v>
      </c>
      <c r="S211" s="12" t="s">
        <v>159</v>
      </c>
      <c r="T211" s="4"/>
      <c r="U211" s="12" t="s">
        <v>159</v>
      </c>
      <c r="V211" s="5" t="n">
        <v>0</v>
      </c>
      <c r="W211" s="12" t="s">
        <v>159</v>
      </c>
      <c r="X211" s="12" t="n">
        <v>8</v>
      </c>
      <c r="Y211" s="4" t="s">
        <v>285</v>
      </c>
    </row>
    <row r="212" customFormat="false" ht="23.85" hidden="false" customHeight="false" outlineLevel="0" collapsed="false">
      <c r="A212" s="5" t="n">
        <v>43613</v>
      </c>
      <c r="B212" s="5" t="s">
        <v>76</v>
      </c>
      <c r="C212" s="5" t="s">
        <v>311</v>
      </c>
      <c r="D212" s="4" t="s">
        <v>20</v>
      </c>
      <c r="E212" s="4" t="s">
        <v>154</v>
      </c>
      <c r="F212" s="4" t="s">
        <v>166</v>
      </c>
      <c r="G212" s="4" t="s">
        <v>872</v>
      </c>
      <c r="H212" s="4"/>
      <c r="I212" s="12" t="s">
        <v>159</v>
      </c>
      <c r="J212" s="4"/>
      <c r="K212" s="5" t="s">
        <v>159</v>
      </c>
      <c r="L212" s="4"/>
      <c r="M212" s="12" t="s">
        <v>159</v>
      </c>
      <c r="N212" s="4"/>
      <c r="O212" s="12" t="s">
        <v>159</v>
      </c>
      <c r="P212" s="4"/>
      <c r="Q212" s="12" t="s">
        <v>159</v>
      </c>
      <c r="R212" s="5" t="n">
        <v>0</v>
      </c>
      <c r="S212" s="12" t="s">
        <v>159</v>
      </c>
      <c r="T212" s="4"/>
      <c r="U212" s="12" t="s">
        <v>159</v>
      </c>
      <c r="V212" s="5" t="n">
        <v>0</v>
      </c>
      <c r="W212" s="12" t="s">
        <v>159</v>
      </c>
      <c r="X212" s="12" t="n">
        <v>8</v>
      </c>
      <c r="Y212" s="4" t="s">
        <v>285</v>
      </c>
    </row>
    <row r="213" customFormat="false" ht="23.85" hidden="false" customHeight="false" outlineLevel="0" collapsed="false">
      <c r="A213" s="5" t="n">
        <v>43615</v>
      </c>
      <c r="B213" s="5" t="s">
        <v>76</v>
      </c>
      <c r="C213" s="5" t="s">
        <v>314</v>
      </c>
      <c r="D213" s="4" t="s">
        <v>20</v>
      </c>
      <c r="E213" s="4" t="s">
        <v>154</v>
      </c>
      <c r="F213" s="4" t="s">
        <v>166</v>
      </c>
      <c r="G213" s="4" t="s">
        <v>873</v>
      </c>
      <c r="H213" s="4"/>
      <c r="I213" s="12" t="s">
        <v>159</v>
      </c>
      <c r="J213" s="4"/>
      <c r="K213" s="5" t="s">
        <v>159</v>
      </c>
      <c r="L213" s="4"/>
      <c r="M213" s="12" t="s">
        <v>159</v>
      </c>
      <c r="N213" s="4"/>
      <c r="O213" s="12" t="s">
        <v>159</v>
      </c>
      <c r="P213" s="4"/>
      <c r="Q213" s="12" t="s">
        <v>159</v>
      </c>
      <c r="R213" s="5" t="n">
        <v>0</v>
      </c>
      <c r="S213" s="12" t="s">
        <v>159</v>
      </c>
      <c r="T213" s="4"/>
      <c r="U213" s="12" t="s">
        <v>159</v>
      </c>
      <c r="V213" s="5" t="n">
        <v>0</v>
      </c>
      <c r="W213" s="12" t="s">
        <v>159</v>
      </c>
      <c r="X213" s="12" t="n">
        <v>8</v>
      </c>
      <c r="Y213" s="4" t="s">
        <v>285</v>
      </c>
    </row>
    <row r="214" customFormat="false" ht="23.85" hidden="false" customHeight="false" outlineLevel="0" collapsed="false">
      <c r="A214" s="5" t="n">
        <v>43616</v>
      </c>
      <c r="B214" s="5" t="s">
        <v>76</v>
      </c>
      <c r="C214" s="5" t="s">
        <v>874</v>
      </c>
      <c r="D214" s="4" t="s">
        <v>20</v>
      </c>
      <c r="E214" s="4" t="s">
        <v>154</v>
      </c>
      <c r="F214" s="4" t="s">
        <v>166</v>
      </c>
      <c r="G214" s="4" t="s">
        <v>875</v>
      </c>
      <c r="H214" s="4"/>
      <c r="I214" s="12" t="s">
        <v>159</v>
      </c>
      <c r="J214" s="4"/>
      <c r="K214" s="5" t="s">
        <v>159</v>
      </c>
      <c r="L214" s="4"/>
      <c r="M214" s="12" t="s">
        <v>159</v>
      </c>
      <c r="N214" s="4"/>
      <c r="O214" s="12" t="s">
        <v>159</v>
      </c>
      <c r="P214" s="4"/>
      <c r="Q214" s="12" t="s">
        <v>159</v>
      </c>
      <c r="R214" s="5" t="n">
        <v>0</v>
      </c>
      <c r="S214" s="12" t="s">
        <v>159</v>
      </c>
      <c r="T214" s="4"/>
      <c r="U214" s="12" t="s">
        <v>159</v>
      </c>
      <c r="V214" s="5" t="n">
        <v>0</v>
      </c>
      <c r="W214" s="12" t="s">
        <v>159</v>
      </c>
      <c r="X214" s="12" t="n">
        <v>8</v>
      </c>
      <c r="Y214" s="4" t="s">
        <v>285</v>
      </c>
    </row>
    <row r="215" customFormat="false" ht="23.85" hidden="false" customHeight="false" outlineLevel="0" collapsed="false">
      <c r="A215" s="5" t="n">
        <v>43618</v>
      </c>
      <c r="B215" s="5" t="s">
        <v>76</v>
      </c>
      <c r="C215" s="5" t="s">
        <v>744</v>
      </c>
      <c r="D215" s="4" t="s">
        <v>18</v>
      </c>
      <c r="E215" s="4" t="s">
        <v>154</v>
      </c>
      <c r="F215" s="4" t="s">
        <v>383</v>
      </c>
      <c r="G215" s="4" t="s">
        <v>876</v>
      </c>
      <c r="H215" s="4" t="s">
        <v>877</v>
      </c>
      <c r="I215" s="12" t="s">
        <v>158</v>
      </c>
      <c r="J215" s="4"/>
      <c r="K215" s="5" t="s">
        <v>159</v>
      </c>
      <c r="L215" s="4"/>
      <c r="M215" s="12" t="s">
        <v>159</v>
      </c>
      <c r="N215" s="4"/>
      <c r="O215" s="12" t="s">
        <v>159</v>
      </c>
      <c r="P215" s="4" t="s">
        <v>205</v>
      </c>
      <c r="Q215" s="12" t="s">
        <v>158</v>
      </c>
      <c r="R215" s="5" t="n">
        <v>0</v>
      </c>
      <c r="S215" s="12" t="s">
        <v>159</v>
      </c>
      <c r="T215" s="4"/>
      <c r="U215" s="12" t="s">
        <v>159</v>
      </c>
      <c r="V215" s="5" t="n">
        <v>0</v>
      </c>
      <c r="W215" s="12" t="s">
        <v>159</v>
      </c>
      <c r="X215" s="12" t="n">
        <v>6</v>
      </c>
      <c r="Y215" s="4" t="s">
        <v>267</v>
      </c>
    </row>
    <row r="216" customFormat="false" ht="23.85" hidden="false" customHeight="false" outlineLevel="0" collapsed="false">
      <c r="A216" s="5" t="n">
        <v>43620</v>
      </c>
      <c r="B216" s="5" t="s">
        <v>76</v>
      </c>
      <c r="C216" s="5" t="s">
        <v>878</v>
      </c>
      <c r="D216" s="4" t="s">
        <v>30</v>
      </c>
      <c r="E216" s="4" t="s">
        <v>171</v>
      </c>
      <c r="F216" s="4" t="s">
        <v>383</v>
      </c>
      <c r="G216" s="4" t="s">
        <v>879</v>
      </c>
      <c r="H216" s="4" t="s">
        <v>880</v>
      </c>
      <c r="I216" s="12" t="s">
        <v>158</v>
      </c>
      <c r="J216" s="4"/>
      <c r="K216" s="5" t="s">
        <v>159</v>
      </c>
      <c r="L216" s="4"/>
      <c r="M216" s="12" t="s">
        <v>159</v>
      </c>
      <c r="N216" s="4"/>
      <c r="O216" s="12" t="s">
        <v>159</v>
      </c>
      <c r="P216" s="4" t="s">
        <v>163</v>
      </c>
      <c r="Q216" s="12" t="s">
        <v>158</v>
      </c>
      <c r="R216" s="5" t="n">
        <v>0</v>
      </c>
      <c r="S216" s="12" t="s">
        <v>159</v>
      </c>
      <c r="T216" s="4" t="s">
        <v>163</v>
      </c>
      <c r="U216" s="12" t="s">
        <v>158</v>
      </c>
      <c r="V216" s="5" t="n">
        <v>0</v>
      </c>
      <c r="W216" s="12" t="s">
        <v>159</v>
      </c>
      <c r="X216" s="12" t="n">
        <v>5</v>
      </c>
      <c r="Y216" s="4" t="s">
        <v>235</v>
      </c>
    </row>
    <row r="217" customFormat="false" ht="23.85" hidden="false" customHeight="false" outlineLevel="0" collapsed="false">
      <c r="A217" s="5" t="n">
        <v>43621</v>
      </c>
      <c r="B217" s="5" t="s">
        <v>76</v>
      </c>
      <c r="C217" s="5" t="s">
        <v>881</v>
      </c>
      <c r="D217" s="4" t="s">
        <v>30</v>
      </c>
      <c r="E217" s="4" t="s">
        <v>171</v>
      </c>
      <c r="F217" s="4" t="s">
        <v>383</v>
      </c>
      <c r="G217" s="4" t="s">
        <v>882</v>
      </c>
      <c r="H217" s="4" t="s">
        <v>883</v>
      </c>
      <c r="I217" s="12" t="s">
        <v>158</v>
      </c>
      <c r="J217" s="4"/>
      <c r="K217" s="5" t="s">
        <v>159</v>
      </c>
      <c r="L217" s="4"/>
      <c r="M217" s="12" t="s">
        <v>159</v>
      </c>
      <c r="N217" s="4"/>
      <c r="O217" s="12" t="s">
        <v>159</v>
      </c>
      <c r="P217" s="4" t="s">
        <v>163</v>
      </c>
      <c r="Q217" s="12" t="s">
        <v>158</v>
      </c>
      <c r="R217" s="5" t="n">
        <v>0</v>
      </c>
      <c r="S217" s="12" t="s">
        <v>159</v>
      </c>
      <c r="T217" s="4" t="s">
        <v>163</v>
      </c>
      <c r="U217" s="12" t="s">
        <v>158</v>
      </c>
      <c r="V217" s="5" t="n">
        <v>0</v>
      </c>
      <c r="W217" s="12" t="s">
        <v>159</v>
      </c>
      <c r="X217" s="12" t="n">
        <v>5</v>
      </c>
      <c r="Y217" s="4" t="s">
        <v>235</v>
      </c>
    </row>
    <row r="218" customFormat="false" ht="23.85" hidden="false" customHeight="false" outlineLevel="0" collapsed="false">
      <c r="A218" s="5" t="n">
        <v>43622</v>
      </c>
      <c r="B218" s="5" t="s">
        <v>76</v>
      </c>
      <c r="C218" s="5" t="s">
        <v>175</v>
      </c>
      <c r="D218" s="4" t="s">
        <v>30</v>
      </c>
      <c r="E218" s="4" t="s">
        <v>171</v>
      </c>
      <c r="F218" s="4" t="s">
        <v>383</v>
      </c>
      <c r="G218" s="4" t="s">
        <v>344</v>
      </c>
      <c r="H218" s="4" t="s">
        <v>345</v>
      </c>
      <c r="I218" s="12" t="s">
        <v>158</v>
      </c>
      <c r="J218" s="4"/>
      <c r="K218" s="5" t="s">
        <v>159</v>
      </c>
      <c r="L218" s="4"/>
      <c r="M218" s="12" t="s">
        <v>159</v>
      </c>
      <c r="N218" s="4"/>
      <c r="O218" s="12" t="s">
        <v>159</v>
      </c>
      <c r="P218" s="4" t="s">
        <v>163</v>
      </c>
      <c r="Q218" s="12" t="s">
        <v>158</v>
      </c>
      <c r="R218" s="5" t="n">
        <v>0</v>
      </c>
      <c r="S218" s="12" t="s">
        <v>159</v>
      </c>
      <c r="T218" s="4" t="s">
        <v>163</v>
      </c>
      <c r="U218" s="12" t="s">
        <v>158</v>
      </c>
      <c r="V218" s="5" t="n">
        <v>0</v>
      </c>
      <c r="W218" s="12" t="s">
        <v>159</v>
      </c>
      <c r="X218" s="12" t="n">
        <v>5</v>
      </c>
      <c r="Y218" s="4" t="s">
        <v>235</v>
      </c>
    </row>
    <row r="219" customFormat="false" ht="23.85" hidden="false" customHeight="false" outlineLevel="0" collapsed="false">
      <c r="A219" s="5" t="n">
        <v>43626</v>
      </c>
      <c r="B219" s="5" t="s">
        <v>77</v>
      </c>
      <c r="C219" s="5" t="s">
        <v>884</v>
      </c>
      <c r="D219" s="4" t="s">
        <v>24</v>
      </c>
      <c r="E219" s="4" t="s">
        <v>154</v>
      </c>
      <c r="F219" s="4" t="s">
        <v>383</v>
      </c>
      <c r="G219" s="4" t="s">
        <v>885</v>
      </c>
      <c r="H219" s="4"/>
      <c r="I219" s="12" t="s">
        <v>159</v>
      </c>
      <c r="J219" s="4" t="s">
        <v>886</v>
      </c>
      <c r="K219" s="5" t="s">
        <v>158</v>
      </c>
      <c r="L219" s="4" t="s">
        <v>887</v>
      </c>
      <c r="M219" s="12" t="s">
        <v>158</v>
      </c>
      <c r="N219" s="4" t="s">
        <v>888</v>
      </c>
      <c r="O219" s="12" t="s">
        <v>158</v>
      </c>
      <c r="P219" s="4"/>
      <c r="Q219" s="12" t="s">
        <v>159</v>
      </c>
      <c r="R219" s="5" t="n">
        <v>0</v>
      </c>
      <c r="S219" s="12" t="s">
        <v>159</v>
      </c>
      <c r="T219" s="4"/>
      <c r="U219" s="12" t="s">
        <v>159</v>
      </c>
      <c r="V219" s="5" t="n">
        <v>0</v>
      </c>
      <c r="W219" s="12" t="s">
        <v>159</v>
      </c>
      <c r="X219" s="12" t="n">
        <v>5</v>
      </c>
      <c r="Y219" s="4" t="s">
        <v>889</v>
      </c>
    </row>
    <row r="220" customFormat="false" ht="23.85" hidden="false" customHeight="false" outlineLevel="0" collapsed="false">
      <c r="A220" s="5" t="n">
        <v>43630</v>
      </c>
      <c r="B220" s="5" t="s">
        <v>77</v>
      </c>
      <c r="C220" s="5" t="s">
        <v>890</v>
      </c>
      <c r="D220" s="4" t="s">
        <v>34</v>
      </c>
      <c r="E220" s="4" t="s">
        <v>154</v>
      </c>
      <c r="F220" s="4" t="s">
        <v>155</v>
      </c>
      <c r="G220" s="4" t="s">
        <v>891</v>
      </c>
      <c r="H220" s="4" t="s">
        <v>891</v>
      </c>
      <c r="I220" s="12" t="s">
        <v>158</v>
      </c>
      <c r="J220" s="4"/>
      <c r="K220" s="5" t="s">
        <v>159</v>
      </c>
      <c r="L220" s="4" t="s">
        <v>892</v>
      </c>
      <c r="M220" s="12" t="s">
        <v>158</v>
      </c>
      <c r="N220" s="4" t="s">
        <v>893</v>
      </c>
      <c r="O220" s="12" t="s">
        <v>158</v>
      </c>
      <c r="P220" s="4" t="s">
        <v>894</v>
      </c>
      <c r="Q220" s="12" t="s">
        <v>158</v>
      </c>
      <c r="R220" s="5" t="n">
        <v>0</v>
      </c>
      <c r="S220" s="12" t="s">
        <v>159</v>
      </c>
      <c r="T220" s="4" t="s">
        <v>188</v>
      </c>
      <c r="U220" s="12" t="s">
        <v>158</v>
      </c>
      <c r="V220" s="5" t="n">
        <v>0</v>
      </c>
      <c r="W220" s="12" t="s">
        <v>159</v>
      </c>
      <c r="X220" s="12" t="n">
        <v>3</v>
      </c>
      <c r="Y220" s="4" t="s">
        <v>164</v>
      </c>
    </row>
    <row r="221" customFormat="false" ht="23.85" hidden="false" customHeight="false" outlineLevel="0" collapsed="false">
      <c r="A221" s="5" t="n">
        <v>43636</v>
      </c>
      <c r="B221" s="5" t="s">
        <v>77</v>
      </c>
      <c r="C221" s="5" t="s">
        <v>895</v>
      </c>
      <c r="D221" s="4" t="s">
        <v>34</v>
      </c>
      <c r="E221" s="4" t="s">
        <v>154</v>
      </c>
      <c r="F221" s="4" t="s">
        <v>166</v>
      </c>
      <c r="G221" s="4" t="s">
        <v>896</v>
      </c>
      <c r="H221" s="4" t="s">
        <v>897</v>
      </c>
      <c r="I221" s="12" t="s">
        <v>158</v>
      </c>
      <c r="J221" s="4"/>
      <c r="K221" s="5" t="s">
        <v>159</v>
      </c>
      <c r="L221" s="4" t="s">
        <v>898</v>
      </c>
      <c r="M221" s="12" t="s">
        <v>158</v>
      </c>
      <c r="N221" s="4" t="s">
        <v>897</v>
      </c>
      <c r="O221" s="12" t="s">
        <v>158</v>
      </c>
      <c r="P221" s="4" t="s">
        <v>163</v>
      </c>
      <c r="Q221" s="12" t="s">
        <v>158</v>
      </c>
      <c r="R221" s="5" t="n">
        <v>0</v>
      </c>
      <c r="S221" s="12" t="s">
        <v>159</v>
      </c>
      <c r="T221" s="4" t="s">
        <v>163</v>
      </c>
      <c r="U221" s="12" t="s">
        <v>158</v>
      </c>
      <c r="V221" s="5" t="n">
        <v>0</v>
      </c>
      <c r="W221" s="12" t="s">
        <v>159</v>
      </c>
      <c r="X221" s="12" t="n">
        <v>3</v>
      </c>
      <c r="Y221" s="4" t="s">
        <v>164</v>
      </c>
    </row>
    <row r="222" customFormat="false" ht="23.85" hidden="false" customHeight="false" outlineLevel="0" collapsed="false">
      <c r="A222" s="5" t="n">
        <v>43640</v>
      </c>
      <c r="B222" s="5" t="s">
        <v>77</v>
      </c>
      <c r="C222" s="5" t="s">
        <v>899</v>
      </c>
      <c r="D222" s="4" t="s">
        <v>34</v>
      </c>
      <c r="E222" s="4" t="s">
        <v>154</v>
      </c>
      <c r="F222" s="4" t="s">
        <v>166</v>
      </c>
      <c r="G222" s="4" t="s">
        <v>900</v>
      </c>
      <c r="H222" s="4" t="s">
        <v>901</v>
      </c>
      <c r="I222" s="12" t="s">
        <v>158</v>
      </c>
      <c r="J222" s="4"/>
      <c r="K222" s="5" t="s">
        <v>159</v>
      </c>
      <c r="L222" s="4" t="s">
        <v>902</v>
      </c>
      <c r="M222" s="12" t="s">
        <v>158</v>
      </c>
      <c r="N222" s="4" t="s">
        <v>903</v>
      </c>
      <c r="O222" s="12" t="s">
        <v>158</v>
      </c>
      <c r="P222" s="4" t="s">
        <v>163</v>
      </c>
      <c r="Q222" s="12" t="s">
        <v>158</v>
      </c>
      <c r="R222" s="5" t="n">
        <v>0</v>
      </c>
      <c r="S222" s="12" t="s">
        <v>159</v>
      </c>
      <c r="T222" s="4" t="s">
        <v>163</v>
      </c>
      <c r="U222" s="12" t="s">
        <v>158</v>
      </c>
      <c r="V222" s="5" t="n">
        <v>0</v>
      </c>
      <c r="W222" s="12" t="s">
        <v>159</v>
      </c>
      <c r="X222" s="12" t="n">
        <v>3</v>
      </c>
      <c r="Y222" s="4" t="s">
        <v>164</v>
      </c>
    </row>
    <row r="223" customFormat="false" ht="23.85" hidden="false" customHeight="false" outlineLevel="0" collapsed="false">
      <c r="A223" s="5" t="n">
        <v>43641</v>
      </c>
      <c r="B223" s="5" t="s">
        <v>77</v>
      </c>
      <c r="C223" s="5" t="s">
        <v>904</v>
      </c>
      <c r="D223" s="4" t="s">
        <v>34</v>
      </c>
      <c r="E223" s="4" t="s">
        <v>154</v>
      </c>
      <c r="F223" s="4" t="s">
        <v>166</v>
      </c>
      <c r="G223" s="4" t="s">
        <v>905</v>
      </c>
      <c r="H223" s="4" t="s">
        <v>906</v>
      </c>
      <c r="I223" s="12" t="s">
        <v>158</v>
      </c>
      <c r="J223" s="4"/>
      <c r="K223" s="5" t="s">
        <v>159</v>
      </c>
      <c r="L223" s="4"/>
      <c r="M223" s="12" t="s">
        <v>159</v>
      </c>
      <c r="N223" s="4" t="s">
        <v>907</v>
      </c>
      <c r="O223" s="12" t="s">
        <v>158</v>
      </c>
      <c r="P223" s="4" t="s">
        <v>163</v>
      </c>
      <c r="Q223" s="12" t="s">
        <v>158</v>
      </c>
      <c r="R223" s="5" t="n">
        <v>0</v>
      </c>
      <c r="S223" s="12" t="s">
        <v>159</v>
      </c>
      <c r="T223" s="4" t="s">
        <v>163</v>
      </c>
      <c r="U223" s="12" t="s">
        <v>158</v>
      </c>
      <c r="V223" s="5" t="n">
        <v>0</v>
      </c>
      <c r="W223" s="12" t="s">
        <v>159</v>
      </c>
      <c r="X223" s="12" t="n">
        <v>4</v>
      </c>
      <c r="Y223" s="4" t="s">
        <v>321</v>
      </c>
    </row>
    <row r="224" customFormat="false" ht="23.85" hidden="false" customHeight="false" outlineLevel="0" collapsed="false">
      <c r="A224" s="5" t="n">
        <v>43642</v>
      </c>
      <c r="B224" s="5" t="s">
        <v>77</v>
      </c>
      <c r="C224" s="5" t="s">
        <v>908</v>
      </c>
      <c r="D224" s="4" t="s">
        <v>34</v>
      </c>
      <c r="E224" s="4" t="s">
        <v>154</v>
      </c>
      <c r="F224" s="4" t="s">
        <v>166</v>
      </c>
      <c r="G224" s="4" t="s">
        <v>909</v>
      </c>
      <c r="H224" s="4" t="s">
        <v>910</v>
      </c>
      <c r="I224" s="12" t="s">
        <v>158</v>
      </c>
      <c r="J224" s="4"/>
      <c r="K224" s="5" t="s">
        <v>159</v>
      </c>
      <c r="L224" s="4" t="s">
        <v>910</v>
      </c>
      <c r="M224" s="12" t="s">
        <v>158</v>
      </c>
      <c r="N224" s="4" t="s">
        <v>911</v>
      </c>
      <c r="O224" s="12" t="s">
        <v>158</v>
      </c>
      <c r="P224" s="4" t="s">
        <v>163</v>
      </c>
      <c r="Q224" s="12" t="s">
        <v>158</v>
      </c>
      <c r="R224" s="5" t="n">
        <v>0</v>
      </c>
      <c r="S224" s="12" t="s">
        <v>159</v>
      </c>
      <c r="T224" s="4" t="s">
        <v>163</v>
      </c>
      <c r="U224" s="12" t="s">
        <v>158</v>
      </c>
      <c r="V224" s="5" t="n">
        <v>0</v>
      </c>
      <c r="W224" s="12" t="s">
        <v>159</v>
      </c>
      <c r="X224" s="12" t="n">
        <v>3</v>
      </c>
      <c r="Y224" s="4" t="s">
        <v>164</v>
      </c>
    </row>
    <row r="225" customFormat="false" ht="23.85" hidden="false" customHeight="false" outlineLevel="0" collapsed="false">
      <c r="A225" s="5" t="n">
        <v>43644</v>
      </c>
      <c r="B225" s="5" t="s">
        <v>77</v>
      </c>
      <c r="C225" s="5" t="s">
        <v>317</v>
      </c>
      <c r="D225" s="4" t="s">
        <v>34</v>
      </c>
      <c r="E225" s="4" t="s">
        <v>154</v>
      </c>
      <c r="F225" s="4" t="s">
        <v>166</v>
      </c>
      <c r="G225" s="4" t="s">
        <v>912</v>
      </c>
      <c r="H225" s="4" t="s">
        <v>913</v>
      </c>
      <c r="I225" s="12" t="s">
        <v>158</v>
      </c>
      <c r="J225" s="4"/>
      <c r="K225" s="5" t="s">
        <v>159</v>
      </c>
      <c r="L225" s="4" t="s">
        <v>571</v>
      </c>
      <c r="M225" s="12" t="s">
        <v>158</v>
      </c>
      <c r="N225" s="4" t="s">
        <v>913</v>
      </c>
      <c r="O225" s="12" t="s">
        <v>158</v>
      </c>
      <c r="P225" s="4" t="s">
        <v>163</v>
      </c>
      <c r="Q225" s="12" t="s">
        <v>158</v>
      </c>
      <c r="R225" s="5" t="n">
        <v>0</v>
      </c>
      <c r="S225" s="12" t="s">
        <v>159</v>
      </c>
      <c r="T225" s="4" t="s">
        <v>163</v>
      </c>
      <c r="U225" s="12" t="s">
        <v>158</v>
      </c>
      <c r="V225" s="5" t="n">
        <v>0</v>
      </c>
      <c r="W225" s="12" t="s">
        <v>159</v>
      </c>
      <c r="X225" s="12" t="n">
        <v>3</v>
      </c>
      <c r="Y225" s="4" t="s">
        <v>164</v>
      </c>
    </row>
    <row r="226" customFormat="false" ht="23.85" hidden="false" customHeight="false" outlineLevel="0" collapsed="false">
      <c r="A226" s="5" t="n">
        <v>43647</v>
      </c>
      <c r="B226" s="5" t="s">
        <v>77</v>
      </c>
      <c r="C226" s="5" t="s">
        <v>914</v>
      </c>
      <c r="D226" s="4" t="s">
        <v>34</v>
      </c>
      <c r="E226" s="4" t="s">
        <v>154</v>
      </c>
      <c r="F226" s="4" t="s">
        <v>166</v>
      </c>
      <c r="G226" s="4" t="s">
        <v>915</v>
      </c>
      <c r="H226" s="4" t="s">
        <v>916</v>
      </c>
      <c r="I226" s="12" t="s">
        <v>158</v>
      </c>
      <c r="J226" s="4"/>
      <c r="K226" s="5" t="s">
        <v>159</v>
      </c>
      <c r="L226" s="4" t="s">
        <v>916</v>
      </c>
      <c r="M226" s="12" t="s">
        <v>158</v>
      </c>
      <c r="N226" s="4" t="s">
        <v>917</v>
      </c>
      <c r="O226" s="12" t="s">
        <v>158</v>
      </c>
      <c r="P226" s="4" t="s">
        <v>163</v>
      </c>
      <c r="Q226" s="12" t="s">
        <v>158</v>
      </c>
      <c r="R226" s="5" t="n">
        <v>0</v>
      </c>
      <c r="S226" s="12" t="s">
        <v>159</v>
      </c>
      <c r="T226" s="4" t="s">
        <v>163</v>
      </c>
      <c r="U226" s="12" t="s">
        <v>158</v>
      </c>
      <c r="V226" s="5" t="n">
        <v>0</v>
      </c>
      <c r="W226" s="12" t="s">
        <v>159</v>
      </c>
      <c r="X226" s="12" t="n">
        <v>3</v>
      </c>
      <c r="Y226" s="4" t="s">
        <v>164</v>
      </c>
    </row>
    <row r="227" customFormat="false" ht="23.85" hidden="false" customHeight="false" outlineLevel="0" collapsed="false">
      <c r="A227" s="5" t="n">
        <v>43648</v>
      </c>
      <c r="B227" s="5" t="s">
        <v>77</v>
      </c>
      <c r="C227" s="5" t="s">
        <v>918</v>
      </c>
      <c r="D227" s="4" t="s">
        <v>34</v>
      </c>
      <c r="E227" s="4" t="s">
        <v>154</v>
      </c>
      <c r="F227" s="4" t="s">
        <v>166</v>
      </c>
      <c r="G227" s="4" t="s">
        <v>919</v>
      </c>
      <c r="H227" s="4" t="s">
        <v>768</v>
      </c>
      <c r="I227" s="12" t="s">
        <v>158</v>
      </c>
      <c r="J227" s="4"/>
      <c r="K227" s="5" t="s">
        <v>159</v>
      </c>
      <c r="L227" s="4" t="s">
        <v>920</v>
      </c>
      <c r="M227" s="12" t="s">
        <v>158</v>
      </c>
      <c r="N227" s="4" t="s">
        <v>689</v>
      </c>
      <c r="O227" s="12" t="s">
        <v>158</v>
      </c>
      <c r="P227" s="4" t="s">
        <v>163</v>
      </c>
      <c r="Q227" s="12" t="s">
        <v>158</v>
      </c>
      <c r="R227" s="5" t="n">
        <v>0</v>
      </c>
      <c r="S227" s="12" t="s">
        <v>159</v>
      </c>
      <c r="T227" s="4" t="s">
        <v>163</v>
      </c>
      <c r="U227" s="12" t="s">
        <v>158</v>
      </c>
      <c r="V227" s="5" t="n">
        <v>0</v>
      </c>
      <c r="W227" s="12" t="s">
        <v>159</v>
      </c>
      <c r="X227" s="12" t="n">
        <v>3</v>
      </c>
      <c r="Y227" s="4" t="s">
        <v>164</v>
      </c>
    </row>
    <row r="228" customFormat="false" ht="23.85" hidden="false" customHeight="false" outlineLevel="0" collapsed="false">
      <c r="A228" s="5" t="n">
        <v>43649</v>
      </c>
      <c r="B228" s="5" t="s">
        <v>77</v>
      </c>
      <c r="C228" s="5" t="s">
        <v>921</v>
      </c>
      <c r="D228" s="4" t="s">
        <v>34</v>
      </c>
      <c r="E228" s="4" t="s">
        <v>154</v>
      </c>
      <c r="F228" s="4" t="s">
        <v>166</v>
      </c>
      <c r="G228" s="4" t="s">
        <v>922</v>
      </c>
      <c r="H228" s="4" t="s">
        <v>923</v>
      </c>
      <c r="I228" s="12" t="s">
        <v>158</v>
      </c>
      <c r="J228" s="4"/>
      <c r="K228" s="5" t="s">
        <v>159</v>
      </c>
      <c r="L228" s="4" t="s">
        <v>924</v>
      </c>
      <c r="M228" s="12" t="s">
        <v>158</v>
      </c>
      <c r="N228" s="4" t="s">
        <v>925</v>
      </c>
      <c r="O228" s="12" t="s">
        <v>158</v>
      </c>
      <c r="P228" s="4" t="s">
        <v>163</v>
      </c>
      <c r="Q228" s="12" t="s">
        <v>158</v>
      </c>
      <c r="R228" s="5" t="n">
        <v>0</v>
      </c>
      <c r="S228" s="12" t="s">
        <v>159</v>
      </c>
      <c r="T228" s="4" t="s">
        <v>163</v>
      </c>
      <c r="U228" s="12" t="s">
        <v>158</v>
      </c>
      <c r="V228" s="5" t="n">
        <v>0</v>
      </c>
      <c r="W228" s="12" t="s">
        <v>159</v>
      </c>
      <c r="X228" s="12" t="n">
        <v>3</v>
      </c>
      <c r="Y228" s="4" t="s">
        <v>164</v>
      </c>
    </row>
    <row r="229" customFormat="false" ht="23.85" hidden="false" customHeight="false" outlineLevel="0" collapsed="false">
      <c r="A229" s="5" t="n">
        <v>43650</v>
      </c>
      <c r="B229" s="5" t="s">
        <v>77</v>
      </c>
      <c r="C229" s="5" t="s">
        <v>926</v>
      </c>
      <c r="D229" s="4" t="s">
        <v>34</v>
      </c>
      <c r="E229" s="4" t="s">
        <v>154</v>
      </c>
      <c r="F229" s="4" t="s">
        <v>166</v>
      </c>
      <c r="G229" s="4" t="s">
        <v>927</v>
      </c>
      <c r="H229" s="4" t="s">
        <v>927</v>
      </c>
      <c r="I229" s="12" t="s">
        <v>158</v>
      </c>
      <c r="J229" s="4"/>
      <c r="K229" s="5" t="s">
        <v>159</v>
      </c>
      <c r="L229" s="4"/>
      <c r="M229" s="12" t="s">
        <v>159</v>
      </c>
      <c r="N229" s="4"/>
      <c r="O229" s="12" t="s">
        <v>159</v>
      </c>
      <c r="P229" s="4" t="s">
        <v>163</v>
      </c>
      <c r="Q229" s="12" t="s">
        <v>158</v>
      </c>
      <c r="R229" s="5" t="n">
        <v>0</v>
      </c>
      <c r="S229" s="12" t="s">
        <v>159</v>
      </c>
      <c r="T229" s="4" t="s">
        <v>163</v>
      </c>
      <c r="U229" s="12" t="s">
        <v>158</v>
      </c>
      <c r="V229" s="5" t="n">
        <v>0</v>
      </c>
      <c r="W229" s="12" t="s">
        <v>159</v>
      </c>
      <c r="X229" s="12" t="n">
        <v>5</v>
      </c>
      <c r="Y229" s="4" t="s">
        <v>235</v>
      </c>
    </row>
    <row r="230" customFormat="false" ht="15" hidden="false" customHeight="false" outlineLevel="0" collapsed="false">
      <c r="A230" s="5" t="n">
        <v>43651</v>
      </c>
      <c r="B230" s="5" t="s">
        <v>77</v>
      </c>
      <c r="C230" s="5" t="s">
        <v>928</v>
      </c>
      <c r="D230" s="4" t="s">
        <v>34</v>
      </c>
      <c r="E230" s="4" t="s">
        <v>154</v>
      </c>
      <c r="F230" s="4" t="s">
        <v>166</v>
      </c>
      <c r="G230" s="4" t="s">
        <v>929</v>
      </c>
      <c r="H230" s="4" t="s">
        <v>930</v>
      </c>
      <c r="I230" s="12" t="s">
        <v>158</v>
      </c>
      <c r="J230" s="4" t="s">
        <v>931</v>
      </c>
      <c r="K230" s="5" t="s">
        <v>158</v>
      </c>
      <c r="L230" s="4" t="s">
        <v>932</v>
      </c>
      <c r="M230" s="12" t="s">
        <v>158</v>
      </c>
      <c r="N230" s="4" t="s">
        <v>933</v>
      </c>
      <c r="O230" s="12" t="s">
        <v>158</v>
      </c>
      <c r="P230" s="4" t="s">
        <v>163</v>
      </c>
      <c r="Q230" s="12" t="s">
        <v>158</v>
      </c>
      <c r="R230" s="5" t="n">
        <v>0</v>
      </c>
      <c r="S230" s="12" t="s">
        <v>159</v>
      </c>
      <c r="T230" s="4" t="s">
        <v>163</v>
      </c>
      <c r="U230" s="12" t="s">
        <v>158</v>
      </c>
      <c r="V230" s="5" t="n">
        <v>0</v>
      </c>
      <c r="W230" s="12" t="s">
        <v>159</v>
      </c>
      <c r="X230" s="12" t="n">
        <v>2</v>
      </c>
      <c r="Y230" s="4" t="s">
        <v>451</v>
      </c>
    </row>
    <row r="231" customFormat="false" ht="23.85" hidden="false" customHeight="false" outlineLevel="0" collapsed="false">
      <c r="A231" s="5" t="n">
        <v>43652</v>
      </c>
      <c r="B231" s="5" t="s">
        <v>77</v>
      </c>
      <c r="C231" s="5" t="s">
        <v>934</v>
      </c>
      <c r="D231" s="4" t="s">
        <v>30</v>
      </c>
      <c r="E231" s="4" t="s">
        <v>171</v>
      </c>
      <c r="F231" s="4" t="s">
        <v>383</v>
      </c>
      <c r="G231" s="4" t="s">
        <v>935</v>
      </c>
      <c r="H231" s="4" t="s">
        <v>936</v>
      </c>
      <c r="I231" s="12" t="s">
        <v>158</v>
      </c>
      <c r="J231" s="4"/>
      <c r="K231" s="5" t="s">
        <v>159</v>
      </c>
      <c r="L231" s="4"/>
      <c r="M231" s="12" t="s">
        <v>159</v>
      </c>
      <c r="N231" s="4"/>
      <c r="O231" s="12" t="s">
        <v>159</v>
      </c>
      <c r="P231" s="4" t="s">
        <v>163</v>
      </c>
      <c r="Q231" s="12" t="s">
        <v>158</v>
      </c>
      <c r="R231" s="5" t="n">
        <v>0</v>
      </c>
      <c r="S231" s="12" t="s">
        <v>159</v>
      </c>
      <c r="T231" s="4" t="s">
        <v>163</v>
      </c>
      <c r="U231" s="12" t="s">
        <v>158</v>
      </c>
      <c r="V231" s="5" t="n">
        <v>0</v>
      </c>
      <c r="W231" s="12" t="s">
        <v>159</v>
      </c>
      <c r="X231" s="12" t="n">
        <v>5</v>
      </c>
      <c r="Y231" s="4" t="s">
        <v>235</v>
      </c>
    </row>
    <row r="232" customFormat="false" ht="23.85" hidden="false" customHeight="false" outlineLevel="0" collapsed="false">
      <c r="A232" s="5" t="n">
        <v>43653</v>
      </c>
      <c r="B232" s="5" t="s">
        <v>77</v>
      </c>
      <c r="C232" s="5" t="s">
        <v>937</v>
      </c>
      <c r="D232" s="4" t="s">
        <v>30</v>
      </c>
      <c r="E232" s="4" t="s">
        <v>171</v>
      </c>
      <c r="F232" s="4" t="s">
        <v>383</v>
      </c>
      <c r="G232" s="4" t="s">
        <v>938</v>
      </c>
      <c r="H232" s="4" t="s">
        <v>939</v>
      </c>
      <c r="I232" s="12" t="s">
        <v>158</v>
      </c>
      <c r="J232" s="4"/>
      <c r="K232" s="5" t="s">
        <v>159</v>
      </c>
      <c r="L232" s="4"/>
      <c r="M232" s="12" t="s">
        <v>159</v>
      </c>
      <c r="N232" s="4"/>
      <c r="O232" s="12" t="s">
        <v>159</v>
      </c>
      <c r="P232" s="4" t="s">
        <v>163</v>
      </c>
      <c r="Q232" s="12" t="s">
        <v>158</v>
      </c>
      <c r="R232" s="5" t="n">
        <v>0</v>
      </c>
      <c r="S232" s="12" t="s">
        <v>159</v>
      </c>
      <c r="T232" s="4" t="s">
        <v>163</v>
      </c>
      <c r="U232" s="12" t="s">
        <v>158</v>
      </c>
      <c r="V232" s="5" t="n">
        <v>0</v>
      </c>
      <c r="W232" s="12" t="s">
        <v>159</v>
      </c>
      <c r="X232" s="12" t="n">
        <v>5</v>
      </c>
      <c r="Y232" s="4" t="s">
        <v>235</v>
      </c>
    </row>
    <row r="233" customFormat="false" ht="23.85" hidden="false" customHeight="false" outlineLevel="0" collapsed="false">
      <c r="A233" s="5" t="n">
        <v>43654</v>
      </c>
      <c r="B233" s="5" t="s">
        <v>77</v>
      </c>
      <c r="C233" s="5" t="s">
        <v>940</v>
      </c>
      <c r="D233" s="4" t="s">
        <v>30</v>
      </c>
      <c r="E233" s="4" t="s">
        <v>171</v>
      </c>
      <c r="F233" s="4" t="s">
        <v>383</v>
      </c>
      <c r="G233" s="4" t="s">
        <v>643</v>
      </c>
      <c r="H233" s="4" t="s">
        <v>644</v>
      </c>
      <c r="I233" s="12" t="s">
        <v>158</v>
      </c>
      <c r="J233" s="4"/>
      <c r="K233" s="5" t="s">
        <v>159</v>
      </c>
      <c r="L233" s="4" t="s">
        <v>941</v>
      </c>
      <c r="M233" s="12" t="s">
        <v>158</v>
      </c>
      <c r="N233" s="4"/>
      <c r="O233" s="12" t="s">
        <v>159</v>
      </c>
      <c r="P233" s="4" t="s">
        <v>163</v>
      </c>
      <c r="Q233" s="12" t="s">
        <v>158</v>
      </c>
      <c r="R233" s="5" t="n">
        <v>0</v>
      </c>
      <c r="S233" s="12" t="s">
        <v>159</v>
      </c>
      <c r="T233" s="4" t="s">
        <v>163</v>
      </c>
      <c r="U233" s="12" t="s">
        <v>158</v>
      </c>
      <c r="V233" s="5" t="n">
        <v>0</v>
      </c>
      <c r="W233" s="12" t="s">
        <v>159</v>
      </c>
      <c r="X233" s="12" t="n">
        <v>4</v>
      </c>
      <c r="Y233" s="4" t="s">
        <v>216</v>
      </c>
    </row>
    <row r="234" customFormat="false" ht="23.85" hidden="false" customHeight="false" outlineLevel="0" collapsed="false">
      <c r="A234" s="5" t="n">
        <v>43655</v>
      </c>
      <c r="B234" s="5" t="s">
        <v>77</v>
      </c>
      <c r="C234" s="5" t="s">
        <v>576</v>
      </c>
      <c r="D234" s="4" t="s">
        <v>30</v>
      </c>
      <c r="E234" s="4" t="s">
        <v>171</v>
      </c>
      <c r="F234" s="4" t="s">
        <v>383</v>
      </c>
      <c r="G234" s="4" t="s">
        <v>942</v>
      </c>
      <c r="H234" s="4" t="s">
        <v>943</v>
      </c>
      <c r="I234" s="12" t="s">
        <v>158</v>
      </c>
      <c r="J234" s="4"/>
      <c r="K234" s="5" t="s">
        <v>159</v>
      </c>
      <c r="L234" s="4"/>
      <c r="M234" s="12" t="s">
        <v>159</v>
      </c>
      <c r="N234" s="4"/>
      <c r="O234" s="12" t="s">
        <v>159</v>
      </c>
      <c r="P234" s="4" t="s">
        <v>327</v>
      </c>
      <c r="Q234" s="12" t="s">
        <v>158</v>
      </c>
      <c r="R234" s="5" t="n">
        <v>0</v>
      </c>
      <c r="S234" s="12" t="s">
        <v>159</v>
      </c>
      <c r="T234" s="4" t="s">
        <v>188</v>
      </c>
      <c r="U234" s="12" t="s">
        <v>158</v>
      </c>
      <c r="V234" s="5" t="n">
        <v>0</v>
      </c>
      <c r="W234" s="12" t="s">
        <v>159</v>
      </c>
      <c r="X234" s="12" t="n">
        <v>5</v>
      </c>
      <c r="Y234" s="4" t="s">
        <v>235</v>
      </c>
    </row>
    <row r="235" customFormat="false" ht="23.85" hidden="false" customHeight="false" outlineLevel="0" collapsed="false">
      <c r="A235" s="5" t="n">
        <v>43656</v>
      </c>
      <c r="B235" s="5" t="s">
        <v>77</v>
      </c>
      <c r="C235" s="5" t="s">
        <v>256</v>
      </c>
      <c r="D235" s="4" t="s">
        <v>22</v>
      </c>
      <c r="E235" s="4" t="s">
        <v>176</v>
      </c>
      <c r="F235" s="4" t="s">
        <v>155</v>
      </c>
      <c r="G235" s="4" t="s">
        <v>944</v>
      </c>
      <c r="H235" s="4" t="s">
        <v>945</v>
      </c>
      <c r="I235" s="12" t="s">
        <v>158</v>
      </c>
      <c r="J235" s="4"/>
      <c r="K235" s="5" t="s">
        <v>159</v>
      </c>
      <c r="L235" s="4" t="s">
        <v>946</v>
      </c>
      <c r="M235" s="12" t="s">
        <v>158</v>
      </c>
      <c r="N235" s="4" t="s">
        <v>947</v>
      </c>
      <c r="O235" s="12" t="s">
        <v>158</v>
      </c>
      <c r="P235" s="4" t="s">
        <v>541</v>
      </c>
      <c r="Q235" s="12" t="s">
        <v>158</v>
      </c>
      <c r="R235" s="5" t="n">
        <v>0</v>
      </c>
      <c r="S235" s="12" t="s">
        <v>159</v>
      </c>
      <c r="T235" s="4"/>
      <c r="U235" s="12" t="s">
        <v>159</v>
      </c>
      <c r="V235" s="5" t="n">
        <v>0</v>
      </c>
      <c r="W235" s="12" t="s">
        <v>159</v>
      </c>
      <c r="X235" s="12" t="n">
        <v>4</v>
      </c>
      <c r="Y235" s="4" t="s">
        <v>182</v>
      </c>
    </row>
    <row r="236" customFormat="false" ht="23.85" hidden="false" customHeight="false" outlineLevel="0" collapsed="false">
      <c r="A236" s="5" t="n">
        <v>43657</v>
      </c>
      <c r="B236" s="5" t="s">
        <v>77</v>
      </c>
      <c r="C236" s="5" t="s">
        <v>777</v>
      </c>
      <c r="D236" s="4" t="s">
        <v>18</v>
      </c>
      <c r="E236" s="4" t="s">
        <v>154</v>
      </c>
      <c r="F236" s="4" t="s">
        <v>383</v>
      </c>
      <c r="G236" s="4" t="s">
        <v>948</v>
      </c>
      <c r="H236" s="4" t="s">
        <v>949</v>
      </c>
      <c r="I236" s="12" t="s">
        <v>158</v>
      </c>
      <c r="J236" s="4"/>
      <c r="K236" s="5" t="s">
        <v>159</v>
      </c>
      <c r="L236" s="4"/>
      <c r="M236" s="12" t="s">
        <v>159</v>
      </c>
      <c r="N236" s="4" t="s">
        <v>950</v>
      </c>
      <c r="O236" s="12" t="s">
        <v>158</v>
      </c>
      <c r="P236" s="4" t="s">
        <v>951</v>
      </c>
      <c r="Q236" s="12" t="s">
        <v>158</v>
      </c>
      <c r="R236" s="5" t="n">
        <v>0</v>
      </c>
      <c r="S236" s="12" t="s">
        <v>159</v>
      </c>
      <c r="T236" s="4"/>
      <c r="U236" s="12" t="s">
        <v>159</v>
      </c>
      <c r="V236" s="5" t="n">
        <v>0</v>
      </c>
      <c r="W236" s="12" t="s">
        <v>159</v>
      </c>
      <c r="X236" s="12" t="n">
        <v>5</v>
      </c>
      <c r="Y236" s="4" t="s">
        <v>240</v>
      </c>
    </row>
    <row r="237" customFormat="false" ht="23.85" hidden="false" customHeight="false" outlineLevel="0" collapsed="false">
      <c r="A237" s="5" t="n">
        <v>43658</v>
      </c>
      <c r="B237" s="5" t="s">
        <v>77</v>
      </c>
      <c r="C237" s="5" t="s">
        <v>952</v>
      </c>
      <c r="D237" s="4" t="s">
        <v>18</v>
      </c>
      <c r="E237" s="4" t="s">
        <v>154</v>
      </c>
      <c r="F237" s="4" t="s">
        <v>383</v>
      </c>
      <c r="G237" s="4" t="s">
        <v>953</v>
      </c>
      <c r="H237" s="4" t="s">
        <v>953</v>
      </c>
      <c r="I237" s="12" t="s">
        <v>158</v>
      </c>
      <c r="J237" s="4"/>
      <c r="K237" s="5" t="s">
        <v>159</v>
      </c>
      <c r="L237" s="4" t="s">
        <v>954</v>
      </c>
      <c r="M237" s="12" t="s">
        <v>158</v>
      </c>
      <c r="N237" s="4"/>
      <c r="O237" s="12" t="s">
        <v>159</v>
      </c>
      <c r="P237" s="4" t="s">
        <v>394</v>
      </c>
      <c r="Q237" s="12" t="s">
        <v>158</v>
      </c>
      <c r="R237" s="5" t="n">
        <v>0</v>
      </c>
      <c r="S237" s="12" t="s">
        <v>159</v>
      </c>
      <c r="T237" s="4"/>
      <c r="U237" s="12" t="s">
        <v>159</v>
      </c>
      <c r="V237" s="5" t="n">
        <v>0</v>
      </c>
      <c r="W237" s="12" t="s">
        <v>159</v>
      </c>
      <c r="X237" s="12" t="n">
        <v>5</v>
      </c>
      <c r="Y237" s="4" t="s">
        <v>310</v>
      </c>
    </row>
    <row r="238" customFormat="false" ht="23.85" hidden="false" customHeight="false" outlineLevel="0" collapsed="false">
      <c r="A238" s="5" t="n">
        <v>43660</v>
      </c>
      <c r="B238" s="5" t="s">
        <v>78</v>
      </c>
      <c r="C238" s="5" t="s">
        <v>955</v>
      </c>
      <c r="D238" s="4" t="s">
        <v>34</v>
      </c>
      <c r="E238" s="4" t="s">
        <v>154</v>
      </c>
      <c r="F238" s="4" t="s">
        <v>166</v>
      </c>
      <c r="G238" s="4" t="s">
        <v>956</v>
      </c>
      <c r="H238" s="4" t="s">
        <v>957</v>
      </c>
      <c r="I238" s="12" t="s">
        <v>158</v>
      </c>
      <c r="J238" s="4"/>
      <c r="K238" s="5" t="s">
        <v>159</v>
      </c>
      <c r="L238" s="4" t="s">
        <v>924</v>
      </c>
      <c r="M238" s="12" t="s">
        <v>158</v>
      </c>
      <c r="N238" s="4" t="s">
        <v>957</v>
      </c>
      <c r="O238" s="12" t="s">
        <v>158</v>
      </c>
      <c r="P238" s="4" t="s">
        <v>169</v>
      </c>
      <c r="Q238" s="12" t="s">
        <v>158</v>
      </c>
      <c r="R238" s="5" t="n">
        <v>0</v>
      </c>
      <c r="S238" s="12" t="s">
        <v>159</v>
      </c>
      <c r="T238" s="4" t="s">
        <v>163</v>
      </c>
      <c r="U238" s="12" t="s">
        <v>158</v>
      </c>
      <c r="V238" s="5" t="n">
        <v>0</v>
      </c>
      <c r="W238" s="12" t="s">
        <v>159</v>
      </c>
      <c r="X238" s="12" t="n">
        <v>3</v>
      </c>
      <c r="Y238" s="4" t="s">
        <v>164</v>
      </c>
    </row>
    <row r="239" customFormat="false" ht="23.85" hidden="false" customHeight="false" outlineLevel="0" collapsed="false">
      <c r="A239" s="5" t="n">
        <v>43661</v>
      </c>
      <c r="B239" s="5" t="s">
        <v>78</v>
      </c>
      <c r="C239" s="5" t="s">
        <v>958</v>
      </c>
      <c r="D239" s="4" t="s">
        <v>34</v>
      </c>
      <c r="E239" s="4" t="s">
        <v>154</v>
      </c>
      <c r="F239" s="4" t="s">
        <v>166</v>
      </c>
      <c r="G239" s="4" t="s">
        <v>959</v>
      </c>
      <c r="H239" s="4" t="s">
        <v>960</v>
      </c>
      <c r="I239" s="12" t="s">
        <v>158</v>
      </c>
      <c r="J239" s="4"/>
      <c r="K239" s="5" t="s">
        <v>159</v>
      </c>
      <c r="L239" s="4" t="s">
        <v>961</v>
      </c>
      <c r="M239" s="12" t="s">
        <v>158</v>
      </c>
      <c r="N239" s="4" t="s">
        <v>962</v>
      </c>
      <c r="O239" s="12" t="s">
        <v>158</v>
      </c>
      <c r="P239" s="4" t="s">
        <v>163</v>
      </c>
      <c r="Q239" s="12" t="s">
        <v>158</v>
      </c>
      <c r="R239" s="5" t="n">
        <v>0</v>
      </c>
      <c r="S239" s="12" t="s">
        <v>159</v>
      </c>
      <c r="T239" s="4" t="s">
        <v>163</v>
      </c>
      <c r="U239" s="12" t="s">
        <v>158</v>
      </c>
      <c r="V239" s="5" t="n">
        <v>0</v>
      </c>
      <c r="W239" s="12" t="s">
        <v>159</v>
      </c>
      <c r="X239" s="12" t="n">
        <v>3</v>
      </c>
      <c r="Y239" s="4" t="s">
        <v>164</v>
      </c>
    </row>
    <row r="240" customFormat="false" ht="23.85" hidden="false" customHeight="false" outlineLevel="0" collapsed="false">
      <c r="A240" s="5" t="n">
        <v>43668</v>
      </c>
      <c r="B240" s="5" t="s">
        <v>78</v>
      </c>
      <c r="C240" s="5" t="s">
        <v>963</v>
      </c>
      <c r="D240" s="4" t="s">
        <v>32</v>
      </c>
      <c r="E240" s="4" t="s">
        <v>171</v>
      </c>
      <c r="F240" s="4" t="s">
        <v>166</v>
      </c>
      <c r="G240" s="4" t="s">
        <v>964</v>
      </c>
      <c r="H240" s="4" t="s">
        <v>964</v>
      </c>
      <c r="I240" s="12" t="s">
        <v>158</v>
      </c>
      <c r="J240" s="4"/>
      <c r="K240" s="5" t="s">
        <v>159</v>
      </c>
      <c r="L240" s="4" t="s">
        <v>965</v>
      </c>
      <c r="M240" s="12" t="s">
        <v>158</v>
      </c>
      <c r="N240" s="4" t="s">
        <v>966</v>
      </c>
      <c r="O240" s="12" t="s">
        <v>158</v>
      </c>
      <c r="P240" s="4" t="s">
        <v>234</v>
      </c>
      <c r="Q240" s="12" t="s">
        <v>158</v>
      </c>
      <c r="R240" s="5" t="n">
        <v>0</v>
      </c>
      <c r="S240" s="12" t="s">
        <v>159</v>
      </c>
      <c r="T240" s="4" t="s">
        <v>163</v>
      </c>
      <c r="U240" s="12" t="s">
        <v>158</v>
      </c>
      <c r="V240" s="5" t="n">
        <v>0</v>
      </c>
      <c r="W240" s="12" t="s">
        <v>159</v>
      </c>
      <c r="X240" s="12" t="n">
        <v>3</v>
      </c>
      <c r="Y240" s="4" t="s">
        <v>164</v>
      </c>
    </row>
    <row r="241" customFormat="false" ht="23.85" hidden="false" customHeight="false" outlineLevel="0" collapsed="false">
      <c r="A241" s="5" t="n">
        <v>43669</v>
      </c>
      <c r="B241" s="5" t="s">
        <v>78</v>
      </c>
      <c r="C241" s="5" t="s">
        <v>967</v>
      </c>
      <c r="D241" s="4" t="s">
        <v>32</v>
      </c>
      <c r="E241" s="4" t="s">
        <v>171</v>
      </c>
      <c r="F241" s="4" t="s">
        <v>166</v>
      </c>
      <c r="G241" s="4" t="s">
        <v>968</v>
      </c>
      <c r="H241" s="4" t="s">
        <v>969</v>
      </c>
      <c r="I241" s="12" t="s">
        <v>158</v>
      </c>
      <c r="J241" s="4"/>
      <c r="K241" s="5" t="s">
        <v>159</v>
      </c>
      <c r="L241" s="4" t="s">
        <v>406</v>
      </c>
      <c r="M241" s="12" t="s">
        <v>158</v>
      </c>
      <c r="N241" s="4" t="s">
        <v>970</v>
      </c>
      <c r="O241" s="12" t="s">
        <v>158</v>
      </c>
      <c r="P241" s="4" t="s">
        <v>192</v>
      </c>
      <c r="Q241" s="12" t="s">
        <v>158</v>
      </c>
      <c r="R241" s="5" t="n">
        <v>0</v>
      </c>
      <c r="S241" s="12" t="s">
        <v>159</v>
      </c>
      <c r="T241" s="4" t="s">
        <v>163</v>
      </c>
      <c r="U241" s="12" t="s">
        <v>158</v>
      </c>
      <c r="V241" s="5" t="n">
        <v>0</v>
      </c>
      <c r="W241" s="12" t="s">
        <v>159</v>
      </c>
      <c r="X241" s="12" t="n">
        <v>3</v>
      </c>
      <c r="Y241" s="4" t="s">
        <v>164</v>
      </c>
    </row>
    <row r="242" customFormat="false" ht="23.85" hidden="false" customHeight="false" outlineLevel="0" collapsed="false">
      <c r="A242" s="5" t="n">
        <v>43670</v>
      </c>
      <c r="B242" s="5" t="s">
        <v>78</v>
      </c>
      <c r="C242" s="5" t="s">
        <v>971</v>
      </c>
      <c r="D242" s="4" t="s">
        <v>32</v>
      </c>
      <c r="E242" s="4" t="s">
        <v>171</v>
      </c>
      <c r="F242" s="4" t="s">
        <v>166</v>
      </c>
      <c r="G242" s="4" t="s">
        <v>972</v>
      </c>
      <c r="H242" s="4" t="s">
        <v>972</v>
      </c>
      <c r="I242" s="12" t="s">
        <v>158</v>
      </c>
      <c r="J242" s="4"/>
      <c r="K242" s="5" t="s">
        <v>159</v>
      </c>
      <c r="L242" s="4" t="s">
        <v>973</v>
      </c>
      <c r="M242" s="12" t="s">
        <v>158</v>
      </c>
      <c r="N242" s="4"/>
      <c r="O242" s="12" t="s">
        <v>159</v>
      </c>
      <c r="P242" s="4" t="s">
        <v>192</v>
      </c>
      <c r="Q242" s="12" t="s">
        <v>158</v>
      </c>
      <c r="R242" s="5" t="n">
        <v>0</v>
      </c>
      <c r="S242" s="12" t="s">
        <v>159</v>
      </c>
      <c r="T242" s="4" t="s">
        <v>188</v>
      </c>
      <c r="U242" s="12" t="s">
        <v>158</v>
      </c>
      <c r="V242" s="5" t="n">
        <v>0</v>
      </c>
      <c r="W242" s="12" t="s">
        <v>159</v>
      </c>
      <c r="X242" s="12" t="n">
        <v>4</v>
      </c>
      <c r="Y242" s="4" t="s">
        <v>216</v>
      </c>
    </row>
    <row r="243" customFormat="false" ht="23.85" hidden="false" customHeight="false" outlineLevel="0" collapsed="false">
      <c r="A243" s="5" t="n">
        <v>43671</v>
      </c>
      <c r="B243" s="5" t="s">
        <v>78</v>
      </c>
      <c r="C243" s="5" t="s">
        <v>974</v>
      </c>
      <c r="D243" s="4" t="s">
        <v>32</v>
      </c>
      <c r="E243" s="4" t="s">
        <v>171</v>
      </c>
      <c r="F243" s="4" t="s">
        <v>166</v>
      </c>
      <c r="G243" s="4" t="s">
        <v>975</v>
      </c>
      <c r="H243" s="4" t="s">
        <v>975</v>
      </c>
      <c r="I243" s="12" t="s">
        <v>158</v>
      </c>
      <c r="J243" s="4"/>
      <c r="K243" s="5" t="s">
        <v>159</v>
      </c>
      <c r="L243" s="4"/>
      <c r="M243" s="12" t="s">
        <v>159</v>
      </c>
      <c r="N243" s="4"/>
      <c r="O243" s="12" t="s">
        <v>159</v>
      </c>
      <c r="P243" s="4"/>
      <c r="Q243" s="12" t="s">
        <v>159</v>
      </c>
      <c r="R243" s="5" t="n">
        <v>0</v>
      </c>
      <c r="S243" s="12" t="s">
        <v>159</v>
      </c>
      <c r="T243" s="4"/>
      <c r="U243" s="12" t="s">
        <v>159</v>
      </c>
      <c r="V243" s="5" t="n">
        <v>0</v>
      </c>
      <c r="W243" s="12" t="s">
        <v>159</v>
      </c>
      <c r="X243" s="12" t="n">
        <v>7</v>
      </c>
      <c r="Y243" s="4" t="s">
        <v>174</v>
      </c>
    </row>
    <row r="244" customFormat="false" ht="23.85" hidden="false" customHeight="false" outlineLevel="0" collapsed="false">
      <c r="A244" s="5" t="n">
        <v>43672</v>
      </c>
      <c r="B244" s="5" t="s">
        <v>78</v>
      </c>
      <c r="C244" s="5" t="s">
        <v>727</v>
      </c>
      <c r="D244" s="4" t="s">
        <v>20</v>
      </c>
      <c r="E244" s="4" t="s">
        <v>154</v>
      </c>
      <c r="F244" s="4" t="s">
        <v>166</v>
      </c>
      <c r="G244" s="4" t="s">
        <v>976</v>
      </c>
      <c r="H244" s="4"/>
      <c r="I244" s="12" t="s">
        <v>159</v>
      </c>
      <c r="J244" s="4"/>
      <c r="K244" s="5" t="s">
        <v>159</v>
      </c>
      <c r="L244" s="4"/>
      <c r="M244" s="12" t="s">
        <v>159</v>
      </c>
      <c r="N244" s="4"/>
      <c r="O244" s="12" t="s">
        <v>159</v>
      </c>
      <c r="P244" s="4"/>
      <c r="Q244" s="12" t="s">
        <v>159</v>
      </c>
      <c r="R244" s="5" t="n">
        <v>0</v>
      </c>
      <c r="S244" s="12" t="s">
        <v>159</v>
      </c>
      <c r="T244" s="4"/>
      <c r="U244" s="12" t="s">
        <v>159</v>
      </c>
      <c r="V244" s="5" t="n">
        <v>0</v>
      </c>
      <c r="W244" s="12" t="s">
        <v>159</v>
      </c>
      <c r="X244" s="12" t="n">
        <v>8</v>
      </c>
      <c r="Y244" s="4" t="s">
        <v>285</v>
      </c>
    </row>
    <row r="245" customFormat="false" ht="23.85" hidden="false" customHeight="false" outlineLevel="0" collapsed="false">
      <c r="A245" s="5" t="n">
        <v>43673</v>
      </c>
      <c r="B245" s="5" t="s">
        <v>78</v>
      </c>
      <c r="C245" s="5" t="s">
        <v>658</v>
      </c>
      <c r="D245" s="4" t="s">
        <v>20</v>
      </c>
      <c r="E245" s="4" t="s">
        <v>154</v>
      </c>
      <c r="F245" s="4" t="s">
        <v>166</v>
      </c>
      <c r="G245" s="4" t="s">
        <v>977</v>
      </c>
      <c r="H245" s="4"/>
      <c r="I245" s="12" t="s">
        <v>159</v>
      </c>
      <c r="J245" s="4"/>
      <c r="K245" s="5" t="s">
        <v>159</v>
      </c>
      <c r="L245" s="4"/>
      <c r="M245" s="12" t="s">
        <v>159</v>
      </c>
      <c r="N245" s="4"/>
      <c r="O245" s="12" t="s">
        <v>159</v>
      </c>
      <c r="P245" s="4"/>
      <c r="Q245" s="12" t="s">
        <v>159</v>
      </c>
      <c r="R245" s="5" t="n">
        <v>0</v>
      </c>
      <c r="S245" s="12" t="s">
        <v>159</v>
      </c>
      <c r="T245" s="4"/>
      <c r="U245" s="12" t="s">
        <v>159</v>
      </c>
      <c r="V245" s="5" t="n">
        <v>0</v>
      </c>
      <c r="W245" s="12" t="s">
        <v>159</v>
      </c>
      <c r="X245" s="12" t="n">
        <v>8</v>
      </c>
      <c r="Y245" s="4" t="s">
        <v>285</v>
      </c>
    </row>
    <row r="246" customFormat="false" ht="23.85" hidden="false" customHeight="false" outlineLevel="0" collapsed="false">
      <c r="A246" s="5" t="n">
        <v>43674</v>
      </c>
      <c r="B246" s="5" t="s">
        <v>78</v>
      </c>
      <c r="C246" s="5" t="s">
        <v>899</v>
      </c>
      <c r="D246" s="4" t="s">
        <v>20</v>
      </c>
      <c r="E246" s="4" t="s">
        <v>154</v>
      </c>
      <c r="F246" s="4" t="s">
        <v>166</v>
      </c>
      <c r="G246" s="4" t="s">
        <v>978</v>
      </c>
      <c r="H246" s="4"/>
      <c r="I246" s="12" t="s">
        <v>159</v>
      </c>
      <c r="J246" s="4"/>
      <c r="K246" s="5" t="s">
        <v>159</v>
      </c>
      <c r="L246" s="4"/>
      <c r="M246" s="12" t="s">
        <v>159</v>
      </c>
      <c r="N246" s="4"/>
      <c r="O246" s="12" t="s">
        <v>159</v>
      </c>
      <c r="P246" s="4"/>
      <c r="Q246" s="12" t="s">
        <v>159</v>
      </c>
      <c r="R246" s="5" t="n">
        <v>0</v>
      </c>
      <c r="S246" s="12" t="s">
        <v>159</v>
      </c>
      <c r="T246" s="4"/>
      <c r="U246" s="12" t="s">
        <v>159</v>
      </c>
      <c r="V246" s="5" t="n">
        <v>0</v>
      </c>
      <c r="W246" s="12" t="s">
        <v>159</v>
      </c>
      <c r="X246" s="12" t="n">
        <v>8</v>
      </c>
      <c r="Y246" s="4" t="s">
        <v>285</v>
      </c>
    </row>
    <row r="247" customFormat="false" ht="23.85" hidden="false" customHeight="false" outlineLevel="0" collapsed="false">
      <c r="A247" s="5" t="n">
        <v>43675</v>
      </c>
      <c r="B247" s="5" t="s">
        <v>78</v>
      </c>
      <c r="C247" s="5" t="s">
        <v>979</v>
      </c>
      <c r="D247" s="4" t="s">
        <v>20</v>
      </c>
      <c r="E247" s="4" t="s">
        <v>154</v>
      </c>
      <c r="F247" s="4" t="s">
        <v>166</v>
      </c>
      <c r="G247" s="4" t="s">
        <v>980</v>
      </c>
      <c r="H247" s="4"/>
      <c r="I247" s="12" t="s">
        <v>159</v>
      </c>
      <c r="J247" s="4"/>
      <c r="K247" s="5" t="s">
        <v>159</v>
      </c>
      <c r="L247" s="4"/>
      <c r="M247" s="12" t="s">
        <v>159</v>
      </c>
      <c r="N247" s="4"/>
      <c r="O247" s="12" t="s">
        <v>159</v>
      </c>
      <c r="P247" s="4"/>
      <c r="Q247" s="12" t="s">
        <v>159</v>
      </c>
      <c r="R247" s="5" t="n">
        <v>0</v>
      </c>
      <c r="S247" s="12" t="s">
        <v>159</v>
      </c>
      <c r="T247" s="4"/>
      <c r="U247" s="12" t="s">
        <v>159</v>
      </c>
      <c r="V247" s="5" t="n">
        <v>0</v>
      </c>
      <c r="W247" s="12" t="s">
        <v>159</v>
      </c>
      <c r="X247" s="12" t="n">
        <v>8</v>
      </c>
      <c r="Y247" s="4" t="s">
        <v>285</v>
      </c>
    </row>
    <row r="248" customFormat="false" ht="23.85" hidden="false" customHeight="false" outlineLevel="0" collapsed="false">
      <c r="A248" s="5" t="n">
        <v>43676</v>
      </c>
      <c r="B248" s="5" t="s">
        <v>78</v>
      </c>
      <c r="C248" s="5" t="s">
        <v>981</v>
      </c>
      <c r="D248" s="4" t="s">
        <v>20</v>
      </c>
      <c r="E248" s="4" t="s">
        <v>154</v>
      </c>
      <c r="F248" s="4" t="s">
        <v>166</v>
      </c>
      <c r="G248" s="4" t="s">
        <v>982</v>
      </c>
      <c r="H248" s="4"/>
      <c r="I248" s="12" t="s">
        <v>159</v>
      </c>
      <c r="J248" s="4"/>
      <c r="K248" s="5" t="s">
        <v>159</v>
      </c>
      <c r="L248" s="4"/>
      <c r="M248" s="12" t="s">
        <v>159</v>
      </c>
      <c r="N248" s="4"/>
      <c r="O248" s="12" t="s">
        <v>159</v>
      </c>
      <c r="P248" s="4"/>
      <c r="Q248" s="12" t="s">
        <v>159</v>
      </c>
      <c r="R248" s="5" t="n">
        <v>0</v>
      </c>
      <c r="S248" s="12" t="s">
        <v>159</v>
      </c>
      <c r="T248" s="4"/>
      <c r="U248" s="12" t="s">
        <v>159</v>
      </c>
      <c r="V248" s="5" t="n">
        <v>0</v>
      </c>
      <c r="W248" s="12" t="s">
        <v>159</v>
      </c>
      <c r="X248" s="12" t="n">
        <v>8</v>
      </c>
      <c r="Y248" s="4" t="s">
        <v>285</v>
      </c>
    </row>
    <row r="249" customFormat="false" ht="23.85" hidden="false" customHeight="false" outlineLevel="0" collapsed="false">
      <c r="A249" s="5" t="n">
        <v>43677</v>
      </c>
      <c r="B249" s="5" t="s">
        <v>78</v>
      </c>
      <c r="C249" s="5" t="s">
        <v>983</v>
      </c>
      <c r="D249" s="4" t="s">
        <v>20</v>
      </c>
      <c r="E249" s="4" t="s">
        <v>154</v>
      </c>
      <c r="F249" s="4" t="s">
        <v>166</v>
      </c>
      <c r="G249" s="4" t="s">
        <v>984</v>
      </c>
      <c r="H249" s="4"/>
      <c r="I249" s="12" t="s">
        <v>159</v>
      </c>
      <c r="J249" s="4"/>
      <c r="K249" s="5" t="s">
        <v>159</v>
      </c>
      <c r="L249" s="4"/>
      <c r="M249" s="12" t="s">
        <v>159</v>
      </c>
      <c r="N249" s="4"/>
      <c r="O249" s="12" t="s">
        <v>159</v>
      </c>
      <c r="P249" s="4"/>
      <c r="Q249" s="12" t="s">
        <v>159</v>
      </c>
      <c r="R249" s="5" t="n">
        <v>0</v>
      </c>
      <c r="S249" s="12" t="s">
        <v>159</v>
      </c>
      <c r="T249" s="4"/>
      <c r="U249" s="12" t="s">
        <v>159</v>
      </c>
      <c r="V249" s="5" t="n">
        <v>0</v>
      </c>
      <c r="W249" s="12" t="s">
        <v>159</v>
      </c>
      <c r="X249" s="12" t="n">
        <v>8</v>
      </c>
      <c r="Y249" s="4" t="s">
        <v>285</v>
      </c>
    </row>
    <row r="250" customFormat="false" ht="23.85" hidden="false" customHeight="false" outlineLevel="0" collapsed="false">
      <c r="A250" s="5" t="n">
        <v>43678</v>
      </c>
      <c r="B250" s="5" t="s">
        <v>78</v>
      </c>
      <c r="C250" s="5" t="s">
        <v>985</v>
      </c>
      <c r="D250" s="4" t="s">
        <v>20</v>
      </c>
      <c r="E250" s="4" t="s">
        <v>154</v>
      </c>
      <c r="F250" s="4" t="s">
        <v>166</v>
      </c>
      <c r="G250" s="4" t="s">
        <v>986</v>
      </c>
      <c r="H250" s="4"/>
      <c r="I250" s="12" t="s">
        <v>159</v>
      </c>
      <c r="J250" s="4"/>
      <c r="K250" s="5" t="s">
        <v>159</v>
      </c>
      <c r="L250" s="4"/>
      <c r="M250" s="12" t="s">
        <v>159</v>
      </c>
      <c r="N250" s="4"/>
      <c r="O250" s="12" t="s">
        <v>159</v>
      </c>
      <c r="P250" s="4"/>
      <c r="Q250" s="12" t="s">
        <v>159</v>
      </c>
      <c r="R250" s="5" t="n">
        <v>0</v>
      </c>
      <c r="S250" s="12" t="s">
        <v>159</v>
      </c>
      <c r="T250" s="4"/>
      <c r="U250" s="12" t="s">
        <v>159</v>
      </c>
      <c r="V250" s="5" t="n">
        <v>0</v>
      </c>
      <c r="W250" s="12" t="s">
        <v>159</v>
      </c>
      <c r="X250" s="12" t="n">
        <v>8</v>
      </c>
      <c r="Y250" s="4" t="s">
        <v>285</v>
      </c>
    </row>
    <row r="251" customFormat="false" ht="23.85" hidden="false" customHeight="false" outlineLevel="0" collapsed="false">
      <c r="A251" s="5" t="n">
        <v>43679</v>
      </c>
      <c r="B251" s="5" t="s">
        <v>78</v>
      </c>
      <c r="C251" s="5" t="s">
        <v>904</v>
      </c>
      <c r="D251" s="4" t="s">
        <v>20</v>
      </c>
      <c r="E251" s="4" t="s">
        <v>154</v>
      </c>
      <c r="F251" s="4" t="s">
        <v>155</v>
      </c>
      <c r="G251" s="4" t="s">
        <v>987</v>
      </c>
      <c r="H251" s="4"/>
      <c r="I251" s="12" t="s">
        <v>159</v>
      </c>
      <c r="J251" s="4"/>
      <c r="K251" s="5" t="s">
        <v>159</v>
      </c>
      <c r="L251" s="4"/>
      <c r="M251" s="12" t="s">
        <v>159</v>
      </c>
      <c r="N251" s="4"/>
      <c r="O251" s="12" t="s">
        <v>159</v>
      </c>
      <c r="P251" s="4"/>
      <c r="Q251" s="12" t="s">
        <v>159</v>
      </c>
      <c r="R251" s="5" t="n">
        <v>0</v>
      </c>
      <c r="S251" s="12" t="s">
        <v>159</v>
      </c>
      <c r="T251" s="4"/>
      <c r="U251" s="12" t="s">
        <v>159</v>
      </c>
      <c r="V251" s="5" t="n">
        <v>0</v>
      </c>
      <c r="W251" s="12" t="s">
        <v>159</v>
      </c>
      <c r="X251" s="12" t="n">
        <v>8</v>
      </c>
      <c r="Y251" s="4" t="s">
        <v>285</v>
      </c>
    </row>
    <row r="252" customFormat="false" ht="23.85" hidden="false" customHeight="false" outlineLevel="0" collapsed="false">
      <c r="A252" s="5" t="n">
        <v>43680</v>
      </c>
      <c r="B252" s="5" t="s">
        <v>78</v>
      </c>
      <c r="C252" s="5" t="s">
        <v>404</v>
      </c>
      <c r="D252" s="4" t="s">
        <v>18</v>
      </c>
      <c r="E252" s="4" t="s">
        <v>154</v>
      </c>
      <c r="F252" s="4" t="s">
        <v>383</v>
      </c>
      <c r="G252" s="4" t="s">
        <v>988</v>
      </c>
      <c r="H252" s="4" t="s">
        <v>989</v>
      </c>
      <c r="I252" s="12" t="s">
        <v>158</v>
      </c>
      <c r="J252" s="4"/>
      <c r="K252" s="5" t="s">
        <v>159</v>
      </c>
      <c r="L252" s="4" t="s">
        <v>990</v>
      </c>
      <c r="M252" s="12" t="s">
        <v>158</v>
      </c>
      <c r="N252" s="4" t="s">
        <v>991</v>
      </c>
      <c r="O252" s="12" t="s">
        <v>158</v>
      </c>
      <c r="P252" s="4" t="s">
        <v>205</v>
      </c>
      <c r="Q252" s="12" t="s">
        <v>158</v>
      </c>
      <c r="R252" s="5" t="n">
        <v>0</v>
      </c>
      <c r="S252" s="12" t="s">
        <v>159</v>
      </c>
      <c r="T252" s="4"/>
      <c r="U252" s="12" t="s">
        <v>159</v>
      </c>
      <c r="V252" s="5" t="n">
        <v>0</v>
      </c>
      <c r="W252" s="12" t="s">
        <v>159</v>
      </c>
      <c r="X252" s="12" t="n">
        <v>4</v>
      </c>
      <c r="Y252" s="4" t="s">
        <v>182</v>
      </c>
    </row>
    <row r="253" customFormat="false" ht="23.85" hidden="false" customHeight="false" outlineLevel="0" collapsed="false">
      <c r="A253" s="5" t="n">
        <v>43681</v>
      </c>
      <c r="B253" s="5" t="s">
        <v>78</v>
      </c>
      <c r="C253" s="5" t="s">
        <v>992</v>
      </c>
      <c r="D253" s="4" t="s">
        <v>18</v>
      </c>
      <c r="E253" s="4" t="s">
        <v>154</v>
      </c>
      <c r="F253" s="4" t="s">
        <v>383</v>
      </c>
      <c r="G253" s="4" t="s">
        <v>993</v>
      </c>
      <c r="H253" s="4" t="s">
        <v>993</v>
      </c>
      <c r="I253" s="12" t="s">
        <v>158</v>
      </c>
      <c r="J253" s="4"/>
      <c r="K253" s="5" t="s">
        <v>159</v>
      </c>
      <c r="L253" s="4"/>
      <c r="M253" s="12" t="s">
        <v>159</v>
      </c>
      <c r="N253" s="4" t="s">
        <v>994</v>
      </c>
      <c r="O253" s="12" t="s">
        <v>158</v>
      </c>
      <c r="P253" s="4" t="s">
        <v>995</v>
      </c>
      <c r="Q253" s="12" t="s">
        <v>158</v>
      </c>
      <c r="R253" s="5" t="n">
        <v>0</v>
      </c>
      <c r="S253" s="12" t="s">
        <v>159</v>
      </c>
      <c r="T253" s="4"/>
      <c r="U253" s="12" t="s">
        <v>159</v>
      </c>
      <c r="V253" s="5" t="n">
        <v>0</v>
      </c>
      <c r="W253" s="12" t="s">
        <v>159</v>
      </c>
      <c r="X253" s="12" t="n">
        <v>5</v>
      </c>
      <c r="Y253" s="4" t="s">
        <v>240</v>
      </c>
    </row>
    <row r="254" customFormat="false" ht="23.85" hidden="false" customHeight="false" outlineLevel="0" collapsed="false">
      <c r="A254" s="5" t="n">
        <v>43694</v>
      </c>
      <c r="B254" s="5" t="s">
        <v>78</v>
      </c>
      <c r="C254" s="5" t="s">
        <v>996</v>
      </c>
      <c r="D254" s="4" t="s">
        <v>22</v>
      </c>
      <c r="E254" s="4" t="s">
        <v>176</v>
      </c>
      <c r="F254" s="4" t="s">
        <v>155</v>
      </c>
      <c r="G254" s="4" t="s">
        <v>997</v>
      </c>
      <c r="H254" s="4" t="s">
        <v>998</v>
      </c>
      <c r="I254" s="12" t="s">
        <v>158</v>
      </c>
      <c r="J254" s="4"/>
      <c r="K254" s="5" t="s">
        <v>159</v>
      </c>
      <c r="L254" s="4" t="s">
        <v>999</v>
      </c>
      <c r="M254" s="12" t="s">
        <v>158</v>
      </c>
      <c r="N254" s="4" t="s">
        <v>1000</v>
      </c>
      <c r="O254" s="12" t="s">
        <v>158</v>
      </c>
      <c r="P254" s="4" t="s">
        <v>400</v>
      </c>
      <c r="Q254" s="12" t="s">
        <v>158</v>
      </c>
      <c r="R254" s="5" t="n">
        <v>0</v>
      </c>
      <c r="S254" s="12" t="s">
        <v>159</v>
      </c>
      <c r="T254" s="4" t="s">
        <v>188</v>
      </c>
      <c r="U254" s="12" t="s">
        <v>158</v>
      </c>
      <c r="V254" s="5" t="n">
        <v>0</v>
      </c>
      <c r="W254" s="12" t="s">
        <v>159</v>
      </c>
      <c r="X254" s="12" t="n">
        <v>3</v>
      </c>
      <c r="Y254" s="4" t="s">
        <v>164</v>
      </c>
    </row>
    <row r="255" customFormat="false" ht="23.85" hidden="false" customHeight="false" outlineLevel="0" collapsed="false">
      <c r="A255" s="5" t="n">
        <v>43696</v>
      </c>
      <c r="B255" s="5" t="s">
        <v>78</v>
      </c>
      <c r="C255" s="5" t="s">
        <v>1001</v>
      </c>
      <c r="D255" s="4" t="s">
        <v>22</v>
      </c>
      <c r="E255" s="4" t="s">
        <v>176</v>
      </c>
      <c r="F255" s="4" t="s">
        <v>155</v>
      </c>
      <c r="G255" s="4" t="s">
        <v>1002</v>
      </c>
      <c r="H255" s="4" t="s">
        <v>1003</v>
      </c>
      <c r="I255" s="12" t="s">
        <v>158</v>
      </c>
      <c r="J255" s="4"/>
      <c r="K255" s="5" t="s">
        <v>159</v>
      </c>
      <c r="L255" s="4" t="s">
        <v>1004</v>
      </c>
      <c r="M255" s="12" t="s">
        <v>158</v>
      </c>
      <c r="N255" s="4" t="s">
        <v>1000</v>
      </c>
      <c r="O255" s="12" t="s">
        <v>158</v>
      </c>
      <c r="P255" s="4" t="s">
        <v>400</v>
      </c>
      <c r="Q255" s="12" t="s">
        <v>158</v>
      </c>
      <c r="R255" s="5" t="n">
        <v>0</v>
      </c>
      <c r="S255" s="12" t="s">
        <v>159</v>
      </c>
      <c r="T255" s="4" t="s">
        <v>188</v>
      </c>
      <c r="U255" s="12" t="s">
        <v>158</v>
      </c>
      <c r="V255" s="5" t="n">
        <v>0</v>
      </c>
      <c r="W255" s="12" t="s">
        <v>159</v>
      </c>
      <c r="X255" s="12" t="n">
        <v>3</v>
      </c>
      <c r="Y255" s="4" t="s">
        <v>164</v>
      </c>
    </row>
    <row r="256" customFormat="false" ht="23.85" hidden="false" customHeight="false" outlineLevel="0" collapsed="false">
      <c r="A256" s="5" t="n">
        <v>43697</v>
      </c>
      <c r="B256" s="5" t="s">
        <v>78</v>
      </c>
      <c r="C256" s="5" t="s">
        <v>1005</v>
      </c>
      <c r="D256" s="4" t="s">
        <v>22</v>
      </c>
      <c r="E256" s="4" t="s">
        <v>176</v>
      </c>
      <c r="F256" s="4" t="s">
        <v>155</v>
      </c>
      <c r="G256" s="4" t="s">
        <v>1006</v>
      </c>
      <c r="H256" s="4" t="s">
        <v>1007</v>
      </c>
      <c r="I256" s="12" t="s">
        <v>158</v>
      </c>
      <c r="J256" s="4"/>
      <c r="K256" s="5" t="s">
        <v>159</v>
      </c>
      <c r="L256" s="4" t="s">
        <v>1008</v>
      </c>
      <c r="M256" s="12" t="s">
        <v>158</v>
      </c>
      <c r="N256" s="4"/>
      <c r="O256" s="12" t="s">
        <v>159</v>
      </c>
      <c r="P256" s="4" t="s">
        <v>400</v>
      </c>
      <c r="Q256" s="12" t="s">
        <v>158</v>
      </c>
      <c r="R256" s="5" t="n">
        <v>0</v>
      </c>
      <c r="S256" s="12" t="s">
        <v>159</v>
      </c>
      <c r="T256" s="4" t="s">
        <v>234</v>
      </c>
      <c r="U256" s="12" t="s">
        <v>158</v>
      </c>
      <c r="V256" s="5" t="n">
        <v>0</v>
      </c>
      <c r="W256" s="12" t="s">
        <v>159</v>
      </c>
      <c r="X256" s="12" t="n">
        <v>4</v>
      </c>
      <c r="Y256" s="4" t="s">
        <v>216</v>
      </c>
    </row>
    <row r="257" customFormat="false" ht="23.85" hidden="false" customHeight="false" outlineLevel="0" collapsed="false">
      <c r="A257" s="5" t="n">
        <v>43714</v>
      </c>
      <c r="B257" s="5" t="s">
        <v>79</v>
      </c>
      <c r="C257" s="5" t="s">
        <v>1009</v>
      </c>
      <c r="D257" s="4" t="s">
        <v>34</v>
      </c>
      <c r="E257" s="4" t="s">
        <v>154</v>
      </c>
      <c r="F257" s="4" t="s">
        <v>166</v>
      </c>
      <c r="G257" s="4" t="s">
        <v>1010</v>
      </c>
      <c r="H257" s="4" t="s">
        <v>1011</v>
      </c>
      <c r="I257" s="12" t="s">
        <v>158</v>
      </c>
      <c r="J257" s="4"/>
      <c r="K257" s="5" t="s">
        <v>159</v>
      </c>
      <c r="L257" s="4" t="s">
        <v>946</v>
      </c>
      <c r="M257" s="12" t="s">
        <v>158</v>
      </c>
      <c r="N257" s="4" t="s">
        <v>1012</v>
      </c>
      <c r="O257" s="12" t="s">
        <v>158</v>
      </c>
      <c r="P257" s="4" t="s">
        <v>163</v>
      </c>
      <c r="Q257" s="12" t="s">
        <v>158</v>
      </c>
      <c r="R257" s="5" t="n">
        <v>0</v>
      </c>
      <c r="S257" s="12" t="s">
        <v>159</v>
      </c>
      <c r="T257" s="4" t="s">
        <v>163</v>
      </c>
      <c r="U257" s="12" t="s">
        <v>158</v>
      </c>
      <c r="V257" s="5" t="n">
        <v>0</v>
      </c>
      <c r="W257" s="12" t="s">
        <v>159</v>
      </c>
      <c r="X257" s="12" t="n">
        <v>3</v>
      </c>
      <c r="Y257" s="4" t="s">
        <v>164</v>
      </c>
    </row>
    <row r="258" customFormat="false" ht="23.85" hidden="false" customHeight="false" outlineLevel="0" collapsed="false">
      <c r="A258" s="5" t="n">
        <v>43715</v>
      </c>
      <c r="B258" s="5" t="s">
        <v>79</v>
      </c>
      <c r="C258" s="5" t="s">
        <v>1013</v>
      </c>
      <c r="D258" s="4" t="s">
        <v>24</v>
      </c>
      <c r="E258" s="4" t="s">
        <v>154</v>
      </c>
      <c r="F258" s="4" t="s">
        <v>383</v>
      </c>
      <c r="G258" s="4" t="s">
        <v>1014</v>
      </c>
      <c r="H258" s="4"/>
      <c r="I258" s="12" t="s">
        <v>159</v>
      </c>
      <c r="J258" s="4" t="s">
        <v>1015</v>
      </c>
      <c r="K258" s="5" t="s">
        <v>158</v>
      </c>
      <c r="L258" s="4" t="s">
        <v>1016</v>
      </c>
      <c r="M258" s="12" t="s">
        <v>158</v>
      </c>
      <c r="N258" s="4" t="s">
        <v>1017</v>
      </c>
      <c r="O258" s="12" t="s">
        <v>158</v>
      </c>
      <c r="P258" s="4" t="s">
        <v>192</v>
      </c>
      <c r="Q258" s="12" t="s">
        <v>158</v>
      </c>
      <c r="R258" s="5" t="n">
        <v>0</v>
      </c>
      <c r="S258" s="12" t="s">
        <v>159</v>
      </c>
      <c r="T258" s="4"/>
      <c r="U258" s="12" t="s">
        <v>159</v>
      </c>
      <c r="V258" s="5" t="n">
        <v>0</v>
      </c>
      <c r="W258" s="12" t="s">
        <v>159</v>
      </c>
      <c r="X258" s="12" t="n">
        <v>4</v>
      </c>
      <c r="Y258" s="4" t="s">
        <v>401</v>
      </c>
    </row>
    <row r="259" customFormat="false" ht="23.85" hidden="false" customHeight="false" outlineLevel="0" collapsed="false">
      <c r="A259" s="5" t="n">
        <v>43716</v>
      </c>
      <c r="B259" s="5" t="s">
        <v>79</v>
      </c>
      <c r="C259" s="5" t="s">
        <v>622</v>
      </c>
      <c r="D259" s="4" t="s">
        <v>34</v>
      </c>
      <c r="E259" s="4" t="s">
        <v>154</v>
      </c>
      <c r="F259" s="4" t="s">
        <v>166</v>
      </c>
      <c r="G259" s="4" t="s">
        <v>1018</v>
      </c>
      <c r="H259" s="4" t="s">
        <v>1019</v>
      </c>
      <c r="I259" s="12" t="s">
        <v>158</v>
      </c>
      <c r="J259" s="4"/>
      <c r="K259" s="5" t="s">
        <v>159</v>
      </c>
      <c r="L259" s="4" t="s">
        <v>495</v>
      </c>
      <c r="M259" s="12" t="s">
        <v>158</v>
      </c>
      <c r="N259" s="4" t="s">
        <v>1020</v>
      </c>
      <c r="O259" s="12" t="s">
        <v>158</v>
      </c>
      <c r="P259" s="4" t="s">
        <v>163</v>
      </c>
      <c r="Q259" s="12" t="s">
        <v>158</v>
      </c>
      <c r="R259" s="5" t="n">
        <v>0</v>
      </c>
      <c r="S259" s="12" t="s">
        <v>159</v>
      </c>
      <c r="T259" s="4" t="s">
        <v>163</v>
      </c>
      <c r="U259" s="12" t="s">
        <v>158</v>
      </c>
      <c r="V259" s="5" t="n">
        <v>0</v>
      </c>
      <c r="W259" s="12" t="s">
        <v>159</v>
      </c>
      <c r="X259" s="12" t="n">
        <v>3</v>
      </c>
      <c r="Y259" s="4" t="s">
        <v>164</v>
      </c>
    </row>
    <row r="260" customFormat="false" ht="23.85" hidden="false" customHeight="false" outlineLevel="0" collapsed="false">
      <c r="A260" s="5" t="n">
        <v>43717</v>
      </c>
      <c r="B260" s="5" t="s">
        <v>79</v>
      </c>
      <c r="C260" s="5" t="s">
        <v>314</v>
      </c>
      <c r="D260" s="4" t="s">
        <v>34</v>
      </c>
      <c r="E260" s="4" t="s">
        <v>154</v>
      </c>
      <c r="F260" s="4" t="s">
        <v>166</v>
      </c>
      <c r="G260" s="4" t="s">
        <v>1021</v>
      </c>
      <c r="H260" s="4" t="s">
        <v>1022</v>
      </c>
      <c r="I260" s="12" t="s">
        <v>158</v>
      </c>
      <c r="J260" s="4"/>
      <c r="K260" s="5" t="s">
        <v>159</v>
      </c>
      <c r="L260" s="4" t="s">
        <v>1023</v>
      </c>
      <c r="M260" s="12" t="s">
        <v>158</v>
      </c>
      <c r="N260" s="4" t="s">
        <v>1024</v>
      </c>
      <c r="O260" s="12" t="s">
        <v>158</v>
      </c>
      <c r="P260" s="4" t="s">
        <v>163</v>
      </c>
      <c r="Q260" s="12" t="s">
        <v>158</v>
      </c>
      <c r="R260" s="5" t="n">
        <v>0</v>
      </c>
      <c r="S260" s="12" t="s">
        <v>159</v>
      </c>
      <c r="T260" s="4" t="s">
        <v>163</v>
      </c>
      <c r="U260" s="12" t="s">
        <v>158</v>
      </c>
      <c r="V260" s="5" t="n">
        <v>0</v>
      </c>
      <c r="W260" s="12" t="s">
        <v>159</v>
      </c>
      <c r="X260" s="12" t="n">
        <v>3</v>
      </c>
      <c r="Y260" s="4" t="s">
        <v>164</v>
      </c>
    </row>
    <row r="261" customFormat="false" ht="23.85" hidden="false" customHeight="false" outlineLevel="0" collapsed="false">
      <c r="A261" s="5" t="n">
        <v>43718</v>
      </c>
      <c r="B261" s="5" t="s">
        <v>79</v>
      </c>
      <c r="C261" s="5" t="s">
        <v>1025</v>
      </c>
      <c r="D261" s="4" t="s">
        <v>24</v>
      </c>
      <c r="E261" s="4" t="s">
        <v>154</v>
      </c>
      <c r="F261" s="4" t="s">
        <v>383</v>
      </c>
      <c r="G261" s="4" t="s">
        <v>1026</v>
      </c>
      <c r="H261" s="4" t="s">
        <v>1027</v>
      </c>
      <c r="I261" s="12" t="s">
        <v>158</v>
      </c>
      <c r="J261" s="4"/>
      <c r="K261" s="5" t="s">
        <v>159</v>
      </c>
      <c r="L261" s="4" t="s">
        <v>406</v>
      </c>
      <c r="M261" s="12" t="s">
        <v>158</v>
      </c>
      <c r="N261" s="4"/>
      <c r="O261" s="12" t="s">
        <v>159</v>
      </c>
      <c r="P261" s="4" t="s">
        <v>1028</v>
      </c>
      <c r="Q261" s="12" t="s">
        <v>158</v>
      </c>
      <c r="R261" s="5" t="n">
        <v>0</v>
      </c>
      <c r="S261" s="12" t="s">
        <v>159</v>
      </c>
      <c r="T261" s="4"/>
      <c r="U261" s="12" t="s">
        <v>159</v>
      </c>
      <c r="V261" s="5" t="n">
        <v>0</v>
      </c>
      <c r="W261" s="12" t="s">
        <v>159</v>
      </c>
      <c r="X261" s="12" t="n">
        <v>5</v>
      </c>
      <c r="Y261" s="4" t="s">
        <v>310</v>
      </c>
    </row>
    <row r="262" customFormat="false" ht="23.85" hidden="false" customHeight="false" outlineLevel="0" collapsed="false">
      <c r="A262" s="5" t="n">
        <v>43719</v>
      </c>
      <c r="B262" s="5" t="s">
        <v>79</v>
      </c>
      <c r="C262" s="5" t="s">
        <v>1029</v>
      </c>
      <c r="D262" s="4" t="s">
        <v>24</v>
      </c>
      <c r="E262" s="4" t="s">
        <v>154</v>
      </c>
      <c r="F262" s="4" t="s">
        <v>383</v>
      </c>
      <c r="G262" s="4" t="s">
        <v>1030</v>
      </c>
      <c r="H262" s="4" t="s">
        <v>1031</v>
      </c>
      <c r="I262" s="12" t="s">
        <v>158</v>
      </c>
      <c r="J262" s="4"/>
      <c r="K262" s="5" t="s">
        <v>159</v>
      </c>
      <c r="L262" s="4"/>
      <c r="M262" s="12" t="s">
        <v>159</v>
      </c>
      <c r="N262" s="4"/>
      <c r="O262" s="12" t="s">
        <v>159</v>
      </c>
      <c r="P262" s="4"/>
      <c r="Q262" s="12" t="s">
        <v>159</v>
      </c>
      <c r="R262" s="5" t="n">
        <v>0</v>
      </c>
      <c r="S262" s="12" t="s">
        <v>159</v>
      </c>
      <c r="T262" s="4"/>
      <c r="U262" s="12" t="s">
        <v>159</v>
      </c>
      <c r="V262" s="5" t="n">
        <v>0</v>
      </c>
      <c r="W262" s="12" t="s">
        <v>159</v>
      </c>
      <c r="X262" s="12" t="n">
        <v>7</v>
      </c>
      <c r="Y262" s="4" t="s">
        <v>174</v>
      </c>
    </row>
    <row r="263" customFormat="false" ht="23.85" hidden="false" customHeight="false" outlineLevel="0" collapsed="false">
      <c r="A263" s="5" t="n">
        <v>43720</v>
      </c>
      <c r="B263" s="5" t="s">
        <v>79</v>
      </c>
      <c r="C263" s="5" t="s">
        <v>1029</v>
      </c>
      <c r="D263" s="4" t="s">
        <v>34</v>
      </c>
      <c r="E263" s="4" t="s">
        <v>154</v>
      </c>
      <c r="F263" s="4" t="s">
        <v>166</v>
      </c>
      <c r="G263" s="4" t="s">
        <v>1032</v>
      </c>
      <c r="H263" s="4" t="s">
        <v>1033</v>
      </c>
      <c r="I263" s="12" t="s">
        <v>158</v>
      </c>
      <c r="J263" s="4"/>
      <c r="K263" s="5" t="s">
        <v>159</v>
      </c>
      <c r="L263" s="4" t="s">
        <v>1034</v>
      </c>
      <c r="M263" s="12" t="s">
        <v>158</v>
      </c>
      <c r="N263" s="4" t="s">
        <v>1033</v>
      </c>
      <c r="O263" s="12" t="s">
        <v>158</v>
      </c>
      <c r="P263" s="4" t="s">
        <v>163</v>
      </c>
      <c r="Q263" s="12" t="s">
        <v>158</v>
      </c>
      <c r="R263" s="5" t="n">
        <v>0</v>
      </c>
      <c r="S263" s="12" t="s">
        <v>159</v>
      </c>
      <c r="T263" s="4" t="s">
        <v>163</v>
      </c>
      <c r="U263" s="12" t="s">
        <v>158</v>
      </c>
      <c r="V263" s="5" t="n">
        <v>0</v>
      </c>
      <c r="W263" s="12" t="s">
        <v>159</v>
      </c>
      <c r="X263" s="12" t="n">
        <v>3</v>
      </c>
      <c r="Y263" s="4" t="s">
        <v>164</v>
      </c>
    </row>
    <row r="264" customFormat="false" ht="23.85" hidden="false" customHeight="false" outlineLevel="0" collapsed="false">
      <c r="A264" s="5" t="n">
        <v>43721</v>
      </c>
      <c r="B264" s="5" t="s">
        <v>79</v>
      </c>
      <c r="C264" s="5" t="s">
        <v>513</v>
      </c>
      <c r="D264" s="4" t="s">
        <v>34</v>
      </c>
      <c r="E264" s="4" t="s">
        <v>154</v>
      </c>
      <c r="F264" s="4" t="s">
        <v>166</v>
      </c>
      <c r="G264" s="4" t="s">
        <v>1035</v>
      </c>
      <c r="H264" s="4" t="s">
        <v>1036</v>
      </c>
      <c r="I264" s="12" t="s">
        <v>158</v>
      </c>
      <c r="J264" s="4"/>
      <c r="K264" s="5" t="s">
        <v>159</v>
      </c>
      <c r="L264" s="4" t="s">
        <v>1036</v>
      </c>
      <c r="M264" s="12" t="s">
        <v>158</v>
      </c>
      <c r="N264" s="4" t="s">
        <v>1037</v>
      </c>
      <c r="O264" s="12" t="s">
        <v>158</v>
      </c>
      <c r="P264" s="4" t="s">
        <v>163</v>
      </c>
      <c r="Q264" s="12" t="s">
        <v>158</v>
      </c>
      <c r="R264" s="5" t="n">
        <v>0</v>
      </c>
      <c r="S264" s="12" t="s">
        <v>159</v>
      </c>
      <c r="T264" s="4" t="s">
        <v>163</v>
      </c>
      <c r="U264" s="12" t="s">
        <v>158</v>
      </c>
      <c r="V264" s="5" t="n">
        <v>0</v>
      </c>
      <c r="W264" s="12" t="s">
        <v>159</v>
      </c>
      <c r="X264" s="12" t="n">
        <v>3</v>
      </c>
      <c r="Y264" s="4" t="s">
        <v>164</v>
      </c>
    </row>
    <row r="265" customFormat="false" ht="23.85" hidden="false" customHeight="false" outlineLevel="0" collapsed="false">
      <c r="A265" s="5" t="n">
        <v>43722</v>
      </c>
      <c r="B265" s="5" t="s">
        <v>79</v>
      </c>
      <c r="C265" s="5" t="s">
        <v>1038</v>
      </c>
      <c r="D265" s="4" t="s">
        <v>20</v>
      </c>
      <c r="E265" s="4" t="s">
        <v>154</v>
      </c>
      <c r="F265" s="4" t="s">
        <v>383</v>
      </c>
      <c r="G265" s="4" t="s">
        <v>1039</v>
      </c>
      <c r="H265" s="4"/>
      <c r="I265" s="12" t="s">
        <v>159</v>
      </c>
      <c r="J265" s="4"/>
      <c r="K265" s="5" t="s">
        <v>159</v>
      </c>
      <c r="L265" s="4"/>
      <c r="M265" s="12" t="s">
        <v>159</v>
      </c>
      <c r="N265" s="4"/>
      <c r="O265" s="12" t="s">
        <v>159</v>
      </c>
      <c r="P265" s="4"/>
      <c r="Q265" s="12" t="s">
        <v>159</v>
      </c>
      <c r="R265" s="5" t="n">
        <v>0</v>
      </c>
      <c r="S265" s="12" t="s">
        <v>159</v>
      </c>
      <c r="T265" s="4"/>
      <c r="U265" s="12" t="s">
        <v>159</v>
      </c>
      <c r="V265" s="5" t="n">
        <v>0</v>
      </c>
      <c r="W265" s="12" t="s">
        <v>159</v>
      </c>
      <c r="X265" s="12" t="n">
        <v>8</v>
      </c>
      <c r="Y265" s="4" t="s">
        <v>285</v>
      </c>
    </row>
    <row r="266" customFormat="false" ht="23.85" hidden="false" customHeight="false" outlineLevel="0" collapsed="false">
      <c r="A266" s="5" t="n">
        <v>43723</v>
      </c>
      <c r="B266" s="5" t="s">
        <v>79</v>
      </c>
      <c r="C266" s="5" t="s">
        <v>1040</v>
      </c>
      <c r="D266" s="4" t="s">
        <v>34</v>
      </c>
      <c r="E266" s="4" t="s">
        <v>154</v>
      </c>
      <c r="F266" s="4" t="s">
        <v>498</v>
      </c>
      <c r="G266" s="4" t="s">
        <v>1041</v>
      </c>
      <c r="H266" s="4" t="s">
        <v>1042</v>
      </c>
      <c r="I266" s="12" t="s">
        <v>158</v>
      </c>
      <c r="J266" s="4"/>
      <c r="K266" s="5" t="s">
        <v>159</v>
      </c>
      <c r="L266" s="4" t="s">
        <v>1043</v>
      </c>
      <c r="M266" s="12" t="s">
        <v>158</v>
      </c>
      <c r="N266" s="4" t="s">
        <v>1044</v>
      </c>
      <c r="O266" s="12" t="s">
        <v>158</v>
      </c>
      <c r="P266" s="4" t="s">
        <v>169</v>
      </c>
      <c r="Q266" s="12" t="s">
        <v>158</v>
      </c>
      <c r="R266" s="5" t="n">
        <v>0</v>
      </c>
      <c r="S266" s="12" t="s">
        <v>159</v>
      </c>
      <c r="T266" s="4" t="s">
        <v>163</v>
      </c>
      <c r="U266" s="12" t="s">
        <v>158</v>
      </c>
      <c r="V266" s="5" t="n">
        <v>0</v>
      </c>
      <c r="W266" s="12" t="s">
        <v>159</v>
      </c>
      <c r="X266" s="12" t="n">
        <v>3</v>
      </c>
      <c r="Y266" s="4" t="s">
        <v>164</v>
      </c>
    </row>
    <row r="267" customFormat="false" ht="23.85" hidden="false" customHeight="false" outlineLevel="0" collapsed="false">
      <c r="A267" s="5" t="n">
        <v>43724</v>
      </c>
      <c r="B267" s="5" t="s">
        <v>79</v>
      </c>
      <c r="C267" s="5" t="s">
        <v>665</v>
      </c>
      <c r="D267" s="4" t="s">
        <v>34</v>
      </c>
      <c r="E267" s="4" t="s">
        <v>154</v>
      </c>
      <c r="F267" s="4" t="s">
        <v>166</v>
      </c>
      <c r="G267" s="4" t="s">
        <v>1045</v>
      </c>
      <c r="H267" s="4" t="s">
        <v>1046</v>
      </c>
      <c r="I267" s="12" t="s">
        <v>158</v>
      </c>
      <c r="J267" s="4"/>
      <c r="K267" s="5" t="s">
        <v>159</v>
      </c>
      <c r="L267" s="4" t="s">
        <v>898</v>
      </c>
      <c r="M267" s="12" t="s">
        <v>158</v>
      </c>
      <c r="N267" s="4" t="s">
        <v>1047</v>
      </c>
      <c r="O267" s="12" t="s">
        <v>158</v>
      </c>
      <c r="P267" s="4" t="s">
        <v>169</v>
      </c>
      <c r="Q267" s="12" t="s">
        <v>158</v>
      </c>
      <c r="R267" s="5" t="n">
        <v>0</v>
      </c>
      <c r="S267" s="12" t="s">
        <v>159</v>
      </c>
      <c r="T267" s="4" t="s">
        <v>163</v>
      </c>
      <c r="U267" s="12" t="s">
        <v>158</v>
      </c>
      <c r="V267" s="5" t="n">
        <v>0</v>
      </c>
      <c r="W267" s="12" t="s">
        <v>159</v>
      </c>
      <c r="X267" s="12" t="n">
        <v>3</v>
      </c>
      <c r="Y267" s="4" t="s">
        <v>164</v>
      </c>
    </row>
    <row r="268" customFormat="false" ht="23.85" hidden="false" customHeight="false" outlineLevel="0" collapsed="false">
      <c r="A268" s="5" t="n">
        <v>43725</v>
      </c>
      <c r="B268" s="5" t="s">
        <v>79</v>
      </c>
      <c r="C268" s="5" t="s">
        <v>1048</v>
      </c>
      <c r="D268" s="4" t="s">
        <v>34</v>
      </c>
      <c r="E268" s="4" t="s">
        <v>154</v>
      </c>
      <c r="F268" s="4" t="s">
        <v>155</v>
      </c>
      <c r="G268" s="4" t="s">
        <v>1049</v>
      </c>
      <c r="H268" s="4" t="s">
        <v>1019</v>
      </c>
      <c r="I268" s="12" t="s">
        <v>158</v>
      </c>
      <c r="J268" s="4"/>
      <c r="K268" s="5" t="s">
        <v>159</v>
      </c>
      <c r="L268" s="4" t="s">
        <v>495</v>
      </c>
      <c r="M268" s="12" t="s">
        <v>158</v>
      </c>
      <c r="N268" s="4" t="s">
        <v>852</v>
      </c>
      <c r="O268" s="12" t="s">
        <v>158</v>
      </c>
      <c r="P268" s="4" t="s">
        <v>169</v>
      </c>
      <c r="Q268" s="12" t="s">
        <v>158</v>
      </c>
      <c r="R268" s="5" t="n">
        <v>0</v>
      </c>
      <c r="S268" s="12" t="s">
        <v>159</v>
      </c>
      <c r="T268" s="4" t="s">
        <v>163</v>
      </c>
      <c r="U268" s="12" t="s">
        <v>158</v>
      </c>
      <c r="V268" s="5" t="n">
        <v>0</v>
      </c>
      <c r="W268" s="12" t="s">
        <v>159</v>
      </c>
      <c r="X268" s="12" t="n">
        <v>3</v>
      </c>
      <c r="Y268" s="4" t="s">
        <v>164</v>
      </c>
    </row>
    <row r="269" customFormat="false" ht="23.85" hidden="false" customHeight="false" outlineLevel="0" collapsed="false">
      <c r="A269" s="5" t="n">
        <v>43726</v>
      </c>
      <c r="B269" s="5" t="s">
        <v>79</v>
      </c>
      <c r="C269" s="5" t="s">
        <v>1050</v>
      </c>
      <c r="D269" s="4" t="s">
        <v>18</v>
      </c>
      <c r="E269" s="4" t="s">
        <v>154</v>
      </c>
      <c r="F269" s="4" t="s">
        <v>383</v>
      </c>
      <c r="G269" s="4" t="s">
        <v>1051</v>
      </c>
      <c r="H269" s="4" t="s">
        <v>1052</v>
      </c>
      <c r="I269" s="12" t="s">
        <v>158</v>
      </c>
      <c r="J269" s="4"/>
      <c r="K269" s="5" t="s">
        <v>159</v>
      </c>
      <c r="L269" s="4" t="s">
        <v>1053</v>
      </c>
      <c r="M269" s="12" t="s">
        <v>158</v>
      </c>
      <c r="N269" s="4"/>
      <c r="O269" s="12" t="s">
        <v>159</v>
      </c>
      <c r="P269" s="4" t="s">
        <v>394</v>
      </c>
      <c r="Q269" s="12" t="s">
        <v>158</v>
      </c>
      <c r="R269" s="5" t="n">
        <v>0</v>
      </c>
      <c r="S269" s="12" t="s">
        <v>159</v>
      </c>
      <c r="T269" s="4"/>
      <c r="U269" s="12" t="s">
        <v>159</v>
      </c>
      <c r="V269" s="5" t="n">
        <v>0</v>
      </c>
      <c r="W269" s="12" t="s">
        <v>159</v>
      </c>
      <c r="X269" s="12" t="n">
        <v>5</v>
      </c>
      <c r="Y269" s="4" t="s">
        <v>310</v>
      </c>
    </row>
    <row r="270" customFormat="false" ht="23.85" hidden="false" customHeight="false" outlineLevel="0" collapsed="false">
      <c r="A270" s="5" t="n">
        <v>43727</v>
      </c>
      <c r="B270" s="5" t="s">
        <v>79</v>
      </c>
      <c r="C270" s="5" t="s">
        <v>1054</v>
      </c>
      <c r="D270" s="4" t="s">
        <v>18</v>
      </c>
      <c r="E270" s="4" t="s">
        <v>154</v>
      </c>
      <c r="F270" s="4" t="s">
        <v>383</v>
      </c>
      <c r="G270" s="4" t="s">
        <v>1055</v>
      </c>
      <c r="H270" s="4" t="s">
        <v>1055</v>
      </c>
      <c r="I270" s="12" t="s">
        <v>158</v>
      </c>
      <c r="J270" s="4"/>
      <c r="K270" s="5" t="s">
        <v>159</v>
      </c>
      <c r="L270" s="4"/>
      <c r="M270" s="12" t="s">
        <v>159</v>
      </c>
      <c r="N270" s="4" t="s">
        <v>1056</v>
      </c>
      <c r="O270" s="12" t="s">
        <v>158</v>
      </c>
      <c r="P270" s="4" t="s">
        <v>205</v>
      </c>
      <c r="Q270" s="12" t="s">
        <v>158</v>
      </c>
      <c r="R270" s="5" t="n">
        <v>0</v>
      </c>
      <c r="S270" s="12" t="s">
        <v>159</v>
      </c>
      <c r="T270" s="4"/>
      <c r="U270" s="12" t="s">
        <v>159</v>
      </c>
      <c r="V270" s="5" t="n">
        <v>0</v>
      </c>
      <c r="W270" s="12" t="s">
        <v>159</v>
      </c>
      <c r="X270" s="12" t="n">
        <v>5</v>
      </c>
      <c r="Y270" s="4" t="s">
        <v>240</v>
      </c>
    </row>
    <row r="271" customFormat="false" ht="23.85" hidden="false" customHeight="false" outlineLevel="0" collapsed="false">
      <c r="A271" s="5" t="n">
        <v>43728</v>
      </c>
      <c r="B271" s="5" t="s">
        <v>79</v>
      </c>
      <c r="C271" s="5" t="s">
        <v>1057</v>
      </c>
      <c r="D271" s="4" t="s">
        <v>18</v>
      </c>
      <c r="E271" s="4" t="s">
        <v>154</v>
      </c>
      <c r="F271" s="4" t="s">
        <v>383</v>
      </c>
      <c r="G271" s="4" t="s">
        <v>1058</v>
      </c>
      <c r="H271" s="4" t="s">
        <v>1058</v>
      </c>
      <c r="I271" s="12" t="s">
        <v>158</v>
      </c>
      <c r="J271" s="4"/>
      <c r="K271" s="5" t="s">
        <v>159</v>
      </c>
      <c r="L271" s="4" t="s">
        <v>261</v>
      </c>
      <c r="M271" s="12" t="s">
        <v>158</v>
      </c>
      <c r="N271" s="4"/>
      <c r="O271" s="12" t="s">
        <v>159</v>
      </c>
      <c r="P271" s="4" t="s">
        <v>394</v>
      </c>
      <c r="Q271" s="12" t="s">
        <v>158</v>
      </c>
      <c r="R271" s="5" t="n">
        <v>0</v>
      </c>
      <c r="S271" s="12" t="s">
        <v>159</v>
      </c>
      <c r="T271" s="4"/>
      <c r="U271" s="12" t="s">
        <v>159</v>
      </c>
      <c r="V271" s="5" t="n">
        <v>0</v>
      </c>
      <c r="W271" s="12" t="s">
        <v>159</v>
      </c>
      <c r="X271" s="12" t="n">
        <v>5</v>
      </c>
      <c r="Y271" s="4" t="s">
        <v>310</v>
      </c>
    </row>
    <row r="272" customFormat="false" ht="23.85" hidden="false" customHeight="false" outlineLevel="0" collapsed="false">
      <c r="A272" s="5" t="n">
        <v>43729</v>
      </c>
      <c r="B272" s="5" t="s">
        <v>79</v>
      </c>
      <c r="C272" s="5" t="s">
        <v>1059</v>
      </c>
      <c r="D272" s="4" t="s">
        <v>32</v>
      </c>
      <c r="E272" s="4" t="s">
        <v>171</v>
      </c>
      <c r="F272" s="4" t="s">
        <v>383</v>
      </c>
      <c r="G272" s="4" t="s">
        <v>1060</v>
      </c>
      <c r="H272" s="4" t="s">
        <v>1061</v>
      </c>
      <c r="I272" s="12" t="s">
        <v>158</v>
      </c>
      <c r="J272" s="4"/>
      <c r="K272" s="5" t="s">
        <v>159</v>
      </c>
      <c r="L272" s="4"/>
      <c r="M272" s="12" t="s">
        <v>159</v>
      </c>
      <c r="N272" s="4"/>
      <c r="O272" s="12" t="s">
        <v>159</v>
      </c>
      <c r="P272" s="4"/>
      <c r="Q272" s="12" t="s">
        <v>159</v>
      </c>
      <c r="R272" s="5" t="n">
        <v>0</v>
      </c>
      <c r="S272" s="12" t="s">
        <v>159</v>
      </c>
      <c r="T272" s="4"/>
      <c r="U272" s="12" t="s">
        <v>159</v>
      </c>
      <c r="V272" s="5" t="n">
        <v>0</v>
      </c>
      <c r="W272" s="12" t="s">
        <v>159</v>
      </c>
      <c r="X272" s="12" t="n">
        <v>7</v>
      </c>
      <c r="Y272" s="4" t="s">
        <v>174</v>
      </c>
    </row>
    <row r="273" customFormat="false" ht="23.85" hidden="false" customHeight="false" outlineLevel="0" collapsed="false">
      <c r="A273" s="5" t="n">
        <v>43730</v>
      </c>
      <c r="B273" s="5" t="s">
        <v>79</v>
      </c>
      <c r="C273" s="5" t="s">
        <v>1062</v>
      </c>
      <c r="D273" s="4" t="s">
        <v>30</v>
      </c>
      <c r="E273" s="4" t="s">
        <v>171</v>
      </c>
      <c r="F273" s="4" t="s">
        <v>383</v>
      </c>
      <c r="G273" s="4" t="s">
        <v>1063</v>
      </c>
      <c r="H273" s="4" t="s">
        <v>1064</v>
      </c>
      <c r="I273" s="12" t="s">
        <v>158</v>
      </c>
      <c r="J273" s="4"/>
      <c r="K273" s="5" t="s">
        <v>159</v>
      </c>
      <c r="L273" s="4" t="s">
        <v>1065</v>
      </c>
      <c r="M273" s="12" t="s">
        <v>158</v>
      </c>
      <c r="N273" s="4"/>
      <c r="O273" s="12" t="s">
        <v>159</v>
      </c>
      <c r="P273" s="4" t="s">
        <v>163</v>
      </c>
      <c r="Q273" s="12" t="s">
        <v>158</v>
      </c>
      <c r="R273" s="5" t="n">
        <v>0</v>
      </c>
      <c r="S273" s="12" t="s">
        <v>159</v>
      </c>
      <c r="T273" s="4" t="s">
        <v>163</v>
      </c>
      <c r="U273" s="12" t="s">
        <v>158</v>
      </c>
      <c r="V273" s="5" t="n">
        <v>0</v>
      </c>
      <c r="W273" s="12" t="s">
        <v>159</v>
      </c>
      <c r="X273" s="12" t="n">
        <v>4</v>
      </c>
      <c r="Y273" s="4" t="s">
        <v>216</v>
      </c>
    </row>
    <row r="274" customFormat="false" ht="23.85" hidden="false" customHeight="false" outlineLevel="0" collapsed="false">
      <c r="A274" s="5" t="n">
        <v>43731</v>
      </c>
      <c r="B274" s="5" t="s">
        <v>79</v>
      </c>
      <c r="C274" s="5" t="s">
        <v>1066</v>
      </c>
      <c r="D274" s="4" t="s">
        <v>30</v>
      </c>
      <c r="E274" s="4" t="s">
        <v>171</v>
      </c>
      <c r="F274" s="4" t="s">
        <v>383</v>
      </c>
      <c r="G274" s="4" t="s">
        <v>1067</v>
      </c>
      <c r="H274" s="4" t="s">
        <v>1068</v>
      </c>
      <c r="I274" s="12" t="s">
        <v>158</v>
      </c>
      <c r="J274" s="4"/>
      <c r="K274" s="5" t="s">
        <v>159</v>
      </c>
      <c r="L274" s="4" t="s">
        <v>1069</v>
      </c>
      <c r="M274" s="12" t="s">
        <v>158</v>
      </c>
      <c r="N274" s="4" t="s">
        <v>1068</v>
      </c>
      <c r="O274" s="12" t="s">
        <v>158</v>
      </c>
      <c r="P274" s="4" t="s">
        <v>163</v>
      </c>
      <c r="Q274" s="12" t="s">
        <v>158</v>
      </c>
      <c r="R274" s="5" t="n">
        <v>0</v>
      </c>
      <c r="S274" s="12" t="s">
        <v>159</v>
      </c>
      <c r="T274" s="4" t="s">
        <v>163</v>
      </c>
      <c r="U274" s="12" t="s">
        <v>158</v>
      </c>
      <c r="V274" s="5" t="n">
        <v>0</v>
      </c>
      <c r="W274" s="12" t="s">
        <v>159</v>
      </c>
      <c r="X274" s="12" t="n">
        <v>3</v>
      </c>
      <c r="Y274" s="4" t="s">
        <v>164</v>
      </c>
    </row>
    <row r="275" customFormat="false" ht="23.85" hidden="false" customHeight="false" outlineLevel="0" collapsed="false">
      <c r="A275" s="5" t="n">
        <v>43732</v>
      </c>
      <c r="B275" s="5" t="s">
        <v>79</v>
      </c>
      <c r="C275" s="5" t="s">
        <v>1070</v>
      </c>
      <c r="D275" s="4" t="s">
        <v>30</v>
      </c>
      <c r="E275" s="4" t="s">
        <v>171</v>
      </c>
      <c r="F275" s="4" t="s">
        <v>383</v>
      </c>
      <c r="G275" s="4" t="s">
        <v>1071</v>
      </c>
      <c r="H275" s="4" t="s">
        <v>1072</v>
      </c>
      <c r="I275" s="12" t="s">
        <v>158</v>
      </c>
      <c r="J275" s="4"/>
      <c r="K275" s="5" t="s">
        <v>159</v>
      </c>
      <c r="L275" s="4"/>
      <c r="M275" s="12" t="s">
        <v>159</v>
      </c>
      <c r="N275" s="4"/>
      <c r="O275" s="12" t="s">
        <v>159</v>
      </c>
      <c r="P275" s="4" t="s">
        <v>163</v>
      </c>
      <c r="Q275" s="12" t="s">
        <v>158</v>
      </c>
      <c r="R275" s="5" t="n">
        <v>0</v>
      </c>
      <c r="S275" s="12" t="s">
        <v>159</v>
      </c>
      <c r="T275" s="4" t="s">
        <v>163</v>
      </c>
      <c r="U275" s="12" t="s">
        <v>158</v>
      </c>
      <c r="V275" s="5" t="n">
        <v>0</v>
      </c>
      <c r="W275" s="12" t="s">
        <v>159</v>
      </c>
      <c r="X275" s="12" t="n">
        <v>5</v>
      </c>
      <c r="Y275" s="4" t="s">
        <v>235</v>
      </c>
    </row>
    <row r="276" customFormat="false" ht="23.85" hidden="false" customHeight="false" outlineLevel="0" collapsed="false">
      <c r="A276" s="5" t="n">
        <v>43733</v>
      </c>
      <c r="B276" s="5" t="s">
        <v>79</v>
      </c>
      <c r="C276" s="5" t="s">
        <v>1073</v>
      </c>
      <c r="D276" s="4" t="s">
        <v>30</v>
      </c>
      <c r="E276" s="4" t="s">
        <v>171</v>
      </c>
      <c r="F276" s="4" t="s">
        <v>383</v>
      </c>
      <c r="G276" s="4" t="s">
        <v>1074</v>
      </c>
      <c r="H276" s="4" t="s">
        <v>1075</v>
      </c>
      <c r="I276" s="12" t="s">
        <v>158</v>
      </c>
      <c r="J276" s="4"/>
      <c r="K276" s="5" t="s">
        <v>159</v>
      </c>
      <c r="L276" s="4"/>
      <c r="M276" s="12" t="s">
        <v>159</v>
      </c>
      <c r="N276" s="4"/>
      <c r="O276" s="12" t="s">
        <v>159</v>
      </c>
      <c r="P276" s="4" t="s">
        <v>205</v>
      </c>
      <c r="Q276" s="12" t="s">
        <v>158</v>
      </c>
      <c r="R276" s="5" t="n">
        <v>0</v>
      </c>
      <c r="S276" s="12" t="s">
        <v>159</v>
      </c>
      <c r="T276" s="4" t="s">
        <v>188</v>
      </c>
      <c r="U276" s="12" t="s">
        <v>158</v>
      </c>
      <c r="V276" s="5" t="n">
        <v>0</v>
      </c>
      <c r="W276" s="12" t="s">
        <v>159</v>
      </c>
      <c r="X276" s="12" t="n">
        <v>5</v>
      </c>
      <c r="Y276" s="4" t="s">
        <v>235</v>
      </c>
    </row>
    <row r="277" customFormat="false" ht="23.85" hidden="false" customHeight="false" outlineLevel="0" collapsed="false">
      <c r="A277" s="5" t="n">
        <v>43734</v>
      </c>
      <c r="B277" s="5" t="s">
        <v>79</v>
      </c>
      <c r="C277" s="5" t="s">
        <v>1076</v>
      </c>
      <c r="D277" s="4" t="s">
        <v>30</v>
      </c>
      <c r="E277" s="4" t="s">
        <v>171</v>
      </c>
      <c r="F277" s="4" t="s">
        <v>383</v>
      </c>
      <c r="G277" s="4" t="s">
        <v>636</v>
      </c>
      <c r="H277" s="4" t="s">
        <v>220</v>
      </c>
      <c r="I277" s="12" t="s">
        <v>158</v>
      </c>
      <c r="J277" s="4"/>
      <c r="K277" s="5" t="s">
        <v>159</v>
      </c>
      <c r="L277" s="4"/>
      <c r="M277" s="12" t="s">
        <v>159</v>
      </c>
      <c r="N277" s="4"/>
      <c r="O277" s="12" t="s">
        <v>159</v>
      </c>
      <c r="P277" s="4" t="s">
        <v>163</v>
      </c>
      <c r="Q277" s="12" t="s">
        <v>158</v>
      </c>
      <c r="R277" s="5" t="n">
        <v>0</v>
      </c>
      <c r="S277" s="12" t="s">
        <v>159</v>
      </c>
      <c r="T277" s="4" t="s">
        <v>163</v>
      </c>
      <c r="U277" s="12" t="s">
        <v>158</v>
      </c>
      <c r="V277" s="5" t="n">
        <v>0</v>
      </c>
      <c r="W277" s="12" t="s">
        <v>159</v>
      </c>
      <c r="X277" s="12" t="n">
        <v>5</v>
      </c>
      <c r="Y277" s="4" t="s">
        <v>235</v>
      </c>
    </row>
    <row r="278" customFormat="false" ht="23.85" hidden="false" customHeight="false" outlineLevel="0" collapsed="false">
      <c r="A278" s="5" t="n">
        <v>43735</v>
      </c>
      <c r="B278" s="5" t="s">
        <v>79</v>
      </c>
      <c r="C278" s="5" t="s">
        <v>934</v>
      </c>
      <c r="D278" s="4" t="s">
        <v>30</v>
      </c>
      <c r="E278" s="4" t="s">
        <v>171</v>
      </c>
      <c r="F278" s="4" t="s">
        <v>383</v>
      </c>
      <c r="G278" s="4" t="s">
        <v>1077</v>
      </c>
      <c r="H278" s="4" t="s">
        <v>1078</v>
      </c>
      <c r="I278" s="12" t="s">
        <v>158</v>
      </c>
      <c r="J278" s="4"/>
      <c r="K278" s="5" t="s">
        <v>159</v>
      </c>
      <c r="L278" s="4"/>
      <c r="M278" s="12" t="s">
        <v>159</v>
      </c>
      <c r="N278" s="4"/>
      <c r="O278" s="12" t="s">
        <v>159</v>
      </c>
      <c r="P278" s="4" t="s">
        <v>163</v>
      </c>
      <c r="Q278" s="12" t="s">
        <v>158</v>
      </c>
      <c r="R278" s="5" t="n">
        <v>0</v>
      </c>
      <c r="S278" s="12" t="s">
        <v>159</v>
      </c>
      <c r="T278" s="4" t="s">
        <v>163</v>
      </c>
      <c r="U278" s="12" t="s">
        <v>158</v>
      </c>
      <c r="V278" s="5" t="n">
        <v>0</v>
      </c>
      <c r="W278" s="12" t="s">
        <v>159</v>
      </c>
      <c r="X278" s="12" t="n">
        <v>5</v>
      </c>
      <c r="Y278" s="4" t="s">
        <v>235</v>
      </c>
    </row>
    <row r="279" customFormat="false" ht="23.85" hidden="false" customHeight="false" outlineLevel="0" collapsed="false">
      <c r="A279" s="5" t="n">
        <v>43752</v>
      </c>
      <c r="B279" s="5" t="s">
        <v>80</v>
      </c>
      <c r="C279" s="5" t="s">
        <v>1079</v>
      </c>
      <c r="D279" s="4" t="s">
        <v>20</v>
      </c>
      <c r="E279" s="4" t="s">
        <v>154</v>
      </c>
      <c r="F279" s="4" t="s">
        <v>166</v>
      </c>
      <c r="G279" s="4" t="s">
        <v>1080</v>
      </c>
      <c r="H279" s="4"/>
      <c r="I279" s="12" t="s">
        <v>159</v>
      </c>
      <c r="J279" s="4"/>
      <c r="K279" s="5" t="s">
        <v>159</v>
      </c>
      <c r="L279" s="4" t="s">
        <v>1081</v>
      </c>
      <c r="M279" s="12" t="s">
        <v>158</v>
      </c>
      <c r="N279" s="4"/>
      <c r="O279" s="12" t="s">
        <v>159</v>
      </c>
      <c r="P279" s="4"/>
      <c r="Q279" s="12" t="s">
        <v>159</v>
      </c>
      <c r="R279" s="5" t="n">
        <v>0</v>
      </c>
      <c r="S279" s="12" t="s">
        <v>159</v>
      </c>
      <c r="T279" s="4"/>
      <c r="U279" s="12" t="s">
        <v>159</v>
      </c>
      <c r="V279" s="5" t="n">
        <v>0</v>
      </c>
      <c r="W279" s="12" t="s">
        <v>159</v>
      </c>
      <c r="X279" s="12" t="n">
        <v>7</v>
      </c>
      <c r="Y279" s="4" t="s">
        <v>581</v>
      </c>
    </row>
    <row r="280" customFormat="false" ht="23.85" hidden="false" customHeight="false" outlineLevel="0" collapsed="false">
      <c r="A280" s="5" t="n">
        <v>43753</v>
      </c>
      <c r="B280" s="5" t="s">
        <v>80</v>
      </c>
      <c r="C280" s="5" t="s">
        <v>1082</v>
      </c>
      <c r="D280" s="4" t="s">
        <v>20</v>
      </c>
      <c r="E280" s="4" t="s">
        <v>154</v>
      </c>
      <c r="F280" s="4" t="s">
        <v>166</v>
      </c>
      <c r="G280" s="4" t="s">
        <v>1083</v>
      </c>
      <c r="H280" s="4"/>
      <c r="I280" s="12" t="s">
        <v>159</v>
      </c>
      <c r="J280" s="4"/>
      <c r="K280" s="5" t="s">
        <v>159</v>
      </c>
      <c r="L280" s="4"/>
      <c r="M280" s="12" t="s">
        <v>159</v>
      </c>
      <c r="N280" s="4"/>
      <c r="O280" s="12" t="s">
        <v>159</v>
      </c>
      <c r="P280" s="4"/>
      <c r="Q280" s="12" t="s">
        <v>159</v>
      </c>
      <c r="R280" s="5" t="n">
        <v>0</v>
      </c>
      <c r="S280" s="12" t="s">
        <v>159</v>
      </c>
      <c r="T280" s="4"/>
      <c r="U280" s="12" t="s">
        <v>159</v>
      </c>
      <c r="V280" s="5" t="n">
        <v>0</v>
      </c>
      <c r="W280" s="12" t="s">
        <v>159</v>
      </c>
      <c r="X280" s="12" t="n">
        <v>8</v>
      </c>
      <c r="Y280" s="4" t="s">
        <v>285</v>
      </c>
    </row>
    <row r="281" customFormat="false" ht="23.85" hidden="false" customHeight="false" outlineLevel="0" collapsed="false">
      <c r="A281" s="5" t="n">
        <v>43754</v>
      </c>
      <c r="B281" s="5" t="s">
        <v>80</v>
      </c>
      <c r="C281" s="5" t="s">
        <v>971</v>
      </c>
      <c r="D281" s="4" t="s">
        <v>20</v>
      </c>
      <c r="E281" s="4" t="s">
        <v>154</v>
      </c>
      <c r="F281" s="4" t="s">
        <v>166</v>
      </c>
      <c r="G281" s="4" t="s">
        <v>1084</v>
      </c>
      <c r="H281" s="4"/>
      <c r="I281" s="12" t="s">
        <v>159</v>
      </c>
      <c r="J281" s="4"/>
      <c r="K281" s="5" t="s">
        <v>159</v>
      </c>
      <c r="L281" s="4"/>
      <c r="M281" s="12" t="s">
        <v>159</v>
      </c>
      <c r="N281" s="4"/>
      <c r="O281" s="12" t="s">
        <v>159</v>
      </c>
      <c r="P281" s="4"/>
      <c r="Q281" s="12" t="s">
        <v>159</v>
      </c>
      <c r="R281" s="5" t="n">
        <v>0</v>
      </c>
      <c r="S281" s="12" t="s">
        <v>159</v>
      </c>
      <c r="T281" s="4"/>
      <c r="U281" s="12" t="s">
        <v>159</v>
      </c>
      <c r="V281" s="5" t="n">
        <v>0</v>
      </c>
      <c r="W281" s="12" t="s">
        <v>159</v>
      </c>
      <c r="X281" s="12" t="n">
        <v>8</v>
      </c>
      <c r="Y281" s="4" t="s">
        <v>285</v>
      </c>
    </row>
    <row r="282" customFormat="false" ht="23.85" hidden="false" customHeight="false" outlineLevel="0" collapsed="false">
      <c r="A282" s="5" t="n">
        <v>43758</v>
      </c>
      <c r="B282" s="5" t="s">
        <v>80</v>
      </c>
      <c r="C282" s="5" t="s">
        <v>1085</v>
      </c>
      <c r="D282" s="4" t="s">
        <v>32</v>
      </c>
      <c r="E282" s="4" t="s">
        <v>171</v>
      </c>
      <c r="F282" s="4" t="s">
        <v>166</v>
      </c>
      <c r="G282" s="4" t="s">
        <v>1086</v>
      </c>
      <c r="H282" s="4" t="s">
        <v>1087</v>
      </c>
      <c r="I282" s="12" t="s">
        <v>158</v>
      </c>
      <c r="J282" s="4"/>
      <c r="K282" s="5" t="s">
        <v>159</v>
      </c>
      <c r="L282" s="4" t="s">
        <v>1088</v>
      </c>
      <c r="M282" s="12" t="s">
        <v>158</v>
      </c>
      <c r="N282" s="4" t="s">
        <v>1089</v>
      </c>
      <c r="O282" s="12" t="s">
        <v>158</v>
      </c>
      <c r="P282" s="4"/>
      <c r="Q282" s="12" t="s">
        <v>159</v>
      </c>
      <c r="R282" s="5" t="n">
        <v>0</v>
      </c>
      <c r="S282" s="12" t="s">
        <v>159</v>
      </c>
      <c r="T282" s="4"/>
      <c r="U282" s="12" t="s">
        <v>159</v>
      </c>
      <c r="V282" s="5" t="n">
        <v>0</v>
      </c>
      <c r="W282" s="12" t="s">
        <v>159</v>
      </c>
      <c r="X282" s="12" t="n">
        <v>5</v>
      </c>
      <c r="Y282" s="4" t="s">
        <v>360</v>
      </c>
    </row>
    <row r="283" customFormat="false" ht="23.85" hidden="false" customHeight="false" outlineLevel="0" collapsed="false">
      <c r="A283" s="5" t="n">
        <v>43761</v>
      </c>
      <c r="B283" s="5" t="s">
        <v>80</v>
      </c>
      <c r="C283" s="5" t="s">
        <v>1090</v>
      </c>
      <c r="D283" s="4" t="s">
        <v>18</v>
      </c>
      <c r="E283" s="4" t="s">
        <v>154</v>
      </c>
      <c r="F283" s="4" t="s">
        <v>383</v>
      </c>
      <c r="G283" s="4" t="s">
        <v>1091</v>
      </c>
      <c r="H283" s="4" t="s">
        <v>1092</v>
      </c>
      <c r="I283" s="12" t="s">
        <v>158</v>
      </c>
      <c r="J283" s="4"/>
      <c r="K283" s="5" t="s">
        <v>159</v>
      </c>
      <c r="L283" s="4" t="s">
        <v>1093</v>
      </c>
      <c r="M283" s="12" t="s">
        <v>158</v>
      </c>
      <c r="N283" s="4"/>
      <c r="O283" s="12" t="s">
        <v>159</v>
      </c>
      <c r="P283" s="4" t="s">
        <v>1094</v>
      </c>
      <c r="Q283" s="12" t="s">
        <v>158</v>
      </c>
      <c r="R283" s="5" t="n">
        <v>0</v>
      </c>
      <c r="S283" s="12" t="s">
        <v>159</v>
      </c>
      <c r="T283" s="4"/>
      <c r="U283" s="12" t="s">
        <v>159</v>
      </c>
      <c r="V283" s="5" t="n">
        <v>0</v>
      </c>
      <c r="W283" s="12" t="s">
        <v>159</v>
      </c>
      <c r="X283" s="12" t="n">
        <v>5</v>
      </c>
      <c r="Y283" s="4" t="s">
        <v>310</v>
      </c>
    </row>
    <row r="284" customFormat="false" ht="23.85" hidden="false" customHeight="false" outlineLevel="0" collapsed="false">
      <c r="A284" s="5" t="n">
        <v>43764</v>
      </c>
      <c r="B284" s="5" t="s">
        <v>80</v>
      </c>
      <c r="C284" s="5" t="s">
        <v>1095</v>
      </c>
      <c r="D284" s="4" t="s">
        <v>18</v>
      </c>
      <c r="E284" s="4" t="s">
        <v>154</v>
      </c>
      <c r="F284" s="4" t="s">
        <v>1096</v>
      </c>
      <c r="G284" s="4" t="s">
        <v>1097</v>
      </c>
      <c r="H284" s="4" t="s">
        <v>1098</v>
      </c>
      <c r="I284" s="12" t="s">
        <v>158</v>
      </c>
      <c r="J284" s="4"/>
      <c r="K284" s="5" t="s">
        <v>159</v>
      </c>
      <c r="L284" s="4" t="s">
        <v>1099</v>
      </c>
      <c r="M284" s="12" t="s">
        <v>158</v>
      </c>
      <c r="N284" s="4" t="s">
        <v>1100</v>
      </c>
      <c r="O284" s="12" t="s">
        <v>158</v>
      </c>
      <c r="P284" s="4" t="s">
        <v>169</v>
      </c>
      <c r="Q284" s="12" t="s">
        <v>158</v>
      </c>
      <c r="R284" s="5" t="n">
        <v>0</v>
      </c>
      <c r="S284" s="12" t="s">
        <v>159</v>
      </c>
      <c r="T284" s="4"/>
      <c r="U284" s="12" t="s">
        <v>159</v>
      </c>
      <c r="V284" s="5" t="n">
        <v>0</v>
      </c>
      <c r="W284" s="12" t="s">
        <v>159</v>
      </c>
      <c r="X284" s="12" t="n">
        <v>4</v>
      </c>
      <c r="Y284" s="4" t="s">
        <v>182</v>
      </c>
    </row>
    <row r="285" customFormat="false" ht="23.85" hidden="false" customHeight="false" outlineLevel="0" collapsed="false">
      <c r="A285" s="5" t="n">
        <v>43766</v>
      </c>
      <c r="B285" s="5" t="s">
        <v>80</v>
      </c>
      <c r="C285" s="5" t="s">
        <v>1101</v>
      </c>
      <c r="D285" s="4" t="s">
        <v>18</v>
      </c>
      <c r="E285" s="4" t="s">
        <v>154</v>
      </c>
      <c r="F285" s="4" t="s">
        <v>383</v>
      </c>
      <c r="G285" s="4" t="s">
        <v>1102</v>
      </c>
      <c r="H285" s="4" t="s">
        <v>1102</v>
      </c>
      <c r="I285" s="12" t="s">
        <v>158</v>
      </c>
      <c r="J285" s="4"/>
      <c r="K285" s="5" t="s">
        <v>159</v>
      </c>
      <c r="L285" s="4"/>
      <c r="M285" s="12" t="s">
        <v>159</v>
      </c>
      <c r="N285" s="4"/>
      <c r="O285" s="12" t="s">
        <v>159</v>
      </c>
      <c r="P285" s="4" t="s">
        <v>394</v>
      </c>
      <c r="Q285" s="12" t="s">
        <v>158</v>
      </c>
      <c r="R285" s="5" t="n">
        <v>0</v>
      </c>
      <c r="S285" s="12" t="s">
        <v>159</v>
      </c>
      <c r="T285" s="4"/>
      <c r="U285" s="12" t="s">
        <v>159</v>
      </c>
      <c r="V285" s="5" t="n">
        <v>0</v>
      </c>
      <c r="W285" s="12" t="s">
        <v>159</v>
      </c>
      <c r="X285" s="12" t="n">
        <v>6</v>
      </c>
      <c r="Y285" s="4" t="s">
        <v>267</v>
      </c>
    </row>
    <row r="286" customFormat="false" ht="23.85" hidden="false" customHeight="false" outlineLevel="0" collapsed="false">
      <c r="A286" s="5" t="n">
        <v>43768</v>
      </c>
      <c r="B286" s="5" t="s">
        <v>80</v>
      </c>
      <c r="C286" s="5" t="s">
        <v>1103</v>
      </c>
      <c r="D286" s="4" t="s">
        <v>18</v>
      </c>
      <c r="E286" s="4" t="s">
        <v>154</v>
      </c>
      <c r="F286" s="4" t="s">
        <v>383</v>
      </c>
      <c r="G286" s="4" t="s">
        <v>1104</v>
      </c>
      <c r="H286" s="4" t="s">
        <v>1104</v>
      </c>
      <c r="I286" s="12" t="s">
        <v>158</v>
      </c>
      <c r="J286" s="4"/>
      <c r="K286" s="5" t="s">
        <v>159</v>
      </c>
      <c r="L286" s="4"/>
      <c r="M286" s="12" t="s">
        <v>159</v>
      </c>
      <c r="N286" s="4" t="s">
        <v>1105</v>
      </c>
      <c r="O286" s="12" t="s">
        <v>158</v>
      </c>
      <c r="P286" s="4" t="s">
        <v>205</v>
      </c>
      <c r="Q286" s="12" t="s">
        <v>158</v>
      </c>
      <c r="R286" s="5" t="n">
        <v>0</v>
      </c>
      <c r="S286" s="12" t="s">
        <v>159</v>
      </c>
      <c r="T286" s="4"/>
      <c r="U286" s="12" t="s">
        <v>159</v>
      </c>
      <c r="V286" s="5" t="n">
        <v>0</v>
      </c>
      <c r="W286" s="12" t="s">
        <v>159</v>
      </c>
      <c r="X286" s="12" t="n">
        <v>5</v>
      </c>
      <c r="Y286" s="4" t="s">
        <v>240</v>
      </c>
    </row>
    <row r="287" customFormat="false" ht="23.85" hidden="false" customHeight="false" outlineLevel="0" collapsed="false">
      <c r="A287" s="5" t="n">
        <v>43769</v>
      </c>
      <c r="B287" s="5" t="s">
        <v>80</v>
      </c>
      <c r="C287" s="5" t="s">
        <v>1106</v>
      </c>
      <c r="D287" s="4" t="s">
        <v>18</v>
      </c>
      <c r="E287" s="4" t="s">
        <v>154</v>
      </c>
      <c r="F287" s="4" t="s">
        <v>383</v>
      </c>
      <c r="G287" s="4" t="s">
        <v>1107</v>
      </c>
      <c r="H287" s="4" t="s">
        <v>1107</v>
      </c>
      <c r="I287" s="12" t="s">
        <v>158</v>
      </c>
      <c r="J287" s="4"/>
      <c r="K287" s="5" t="s">
        <v>159</v>
      </c>
      <c r="L287" s="4"/>
      <c r="M287" s="12" t="s">
        <v>159</v>
      </c>
      <c r="N287" s="4" t="s">
        <v>1108</v>
      </c>
      <c r="O287" s="12" t="s">
        <v>158</v>
      </c>
      <c r="P287" s="4" t="s">
        <v>205</v>
      </c>
      <c r="Q287" s="12" t="s">
        <v>158</v>
      </c>
      <c r="R287" s="5" t="n">
        <v>0</v>
      </c>
      <c r="S287" s="12" t="s">
        <v>159</v>
      </c>
      <c r="T287" s="4"/>
      <c r="U287" s="12" t="s">
        <v>159</v>
      </c>
      <c r="V287" s="5" t="n">
        <v>0</v>
      </c>
      <c r="W287" s="12" t="s">
        <v>159</v>
      </c>
      <c r="X287" s="12" t="n">
        <v>5</v>
      </c>
      <c r="Y287" s="4" t="s">
        <v>240</v>
      </c>
    </row>
    <row r="288" customFormat="false" ht="23.85" hidden="false" customHeight="false" outlineLevel="0" collapsed="false">
      <c r="A288" s="5" t="n">
        <v>43770</v>
      </c>
      <c r="B288" s="5" t="s">
        <v>80</v>
      </c>
      <c r="C288" s="5" t="s">
        <v>1073</v>
      </c>
      <c r="D288" s="4" t="s">
        <v>30</v>
      </c>
      <c r="E288" s="4" t="s">
        <v>171</v>
      </c>
      <c r="F288" s="4" t="s">
        <v>383</v>
      </c>
      <c r="G288" s="4" t="s">
        <v>1109</v>
      </c>
      <c r="H288" s="4" t="s">
        <v>1110</v>
      </c>
      <c r="I288" s="12" t="s">
        <v>158</v>
      </c>
      <c r="J288" s="4"/>
      <c r="K288" s="5" t="s">
        <v>159</v>
      </c>
      <c r="L288" s="4" t="s">
        <v>1111</v>
      </c>
      <c r="M288" s="12" t="s">
        <v>158</v>
      </c>
      <c r="N288" s="4"/>
      <c r="O288" s="12" t="s">
        <v>159</v>
      </c>
      <c r="P288" s="4" t="s">
        <v>163</v>
      </c>
      <c r="Q288" s="12" t="s">
        <v>158</v>
      </c>
      <c r="R288" s="5" t="n">
        <v>0</v>
      </c>
      <c r="S288" s="12" t="s">
        <v>159</v>
      </c>
      <c r="T288" s="4"/>
      <c r="U288" s="12" t="s">
        <v>159</v>
      </c>
      <c r="V288" s="5" t="n">
        <v>0</v>
      </c>
      <c r="W288" s="12" t="s">
        <v>159</v>
      </c>
      <c r="X288" s="12" t="n">
        <v>5</v>
      </c>
      <c r="Y288" s="4" t="s">
        <v>310</v>
      </c>
    </row>
    <row r="289" customFormat="false" ht="23.85" hidden="false" customHeight="false" outlineLevel="0" collapsed="false">
      <c r="A289" s="5" t="n">
        <v>43771</v>
      </c>
      <c r="B289" s="5" t="s">
        <v>80</v>
      </c>
      <c r="C289" s="5" t="s">
        <v>1076</v>
      </c>
      <c r="D289" s="4" t="s">
        <v>30</v>
      </c>
      <c r="E289" s="4" t="s">
        <v>171</v>
      </c>
      <c r="F289" s="4" t="s">
        <v>383</v>
      </c>
      <c r="G289" s="4" t="s">
        <v>1112</v>
      </c>
      <c r="H289" s="4" t="s">
        <v>1113</v>
      </c>
      <c r="I289" s="12" t="s">
        <v>158</v>
      </c>
      <c r="J289" s="4"/>
      <c r="K289" s="5" t="s">
        <v>159</v>
      </c>
      <c r="L289" s="4"/>
      <c r="M289" s="12" t="s">
        <v>159</v>
      </c>
      <c r="N289" s="4"/>
      <c r="O289" s="12" t="s">
        <v>159</v>
      </c>
      <c r="P289" s="4" t="s">
        <v>163</v>
      </c>
      <c r="Q289" s="12" t="s">
        <v>158</v>
      </c>
      <c r="R289" s="5" t="n">
        <v>0</v>
      </c>
      <c r="S289" s="12" t="s">
        <v>159</v>
      </c>
      <c r="T289" s="4" t="s">
        <v>163</v>
      </c>
      <c r="U289" s="12" t="s">
        <v>158</v>
      </c>
      <c r="V289" s="5" t="n">
        <v>0</v>
      </c>
      <c r="W289" s="12" t="s">
        <v>159</v>
      </c>
      <c r="X289" s="12" t="n">
        <v>5</v>
      </c>
      <c r="Y289" s="4" t="s">
        <v>235</v>
      </c>
    </row>
    <row r="290" customFormat="false" ht="23.85" hidden="false" customHeight="false" outlineLevel="0" collapsed="false">
      <c r="A290" s="5" t="n">
        <v>43772</v>
      </c>
      <c r="B290" s="5" t="s">
        <v>80</v>
      </c>
      <c r="C290" s="5" t="s">
        <v>515</v>
      </c>
      <c r="D290" s="4" t="s">
        <v>30</v>
      </c>
      <c r="E290" s="4" t="s">
        <v>171</v>
      </c>
      <c r="F290" s="4" t="s">
        <v>383</v>
      </c>
      <c r="G290" s="4" t="s">
        <v>1114</v>
      </c>
      <c r="H290" s="4" t="s">
        <v>1115</v>
      </c>
      <c r="I290" s="12" t="s">
        <v>158</v>
      </c>
      <c r="J290" s="4"/>
      <c r="K290" s="5" t="s">
        <v>159</v>
      </c>
      <c r="L290" s="4"/>
      <c r="M290" s="12" t="s">
        <v>159</v>
      </c>
      <c r="N290" s="4"/>
      <c r="O290" s="12" t="s">
        <v>159</v>
      </c>
      <c r="P290" s="4" t="s">
        <v>163</v>
      </c>
      <c r="Q290" s="12" t="s">
        <v>158</v>
      </c>
      <c r="R290" s="5" t="n">
        <v>0</v>
      </c>
      <c r="S290" s="12" t="s">
        <v>159</v>
      </c>
      <c r="T290" s="4" t="s">
        <v>163</v>
      </c>
      <c r="U290" s="12" t="s">
        <v>158</v>
      </c>
      <c r="V290" s="5" t="n">
        <v>0</v>
      </c>
      <c r="W290" s="12" t="s">
        <v>159</v>
      </c>
      <c r="X290" s="12" t="n">
        <v>5</v>
      </c>
      <c r="Y290" s="4" t="s">
        <v>235</v>
      </c>
    </row>
    <row r="291" customFormat="false" ht="23.85" hidden="false" customHeight="false" outlineLevel="0" collapsed="false">
      <c r="A291" s="5" t="n">
        <v>43773</v>
      </c>
      <c r="B291" s="5" t="s">
        <v>80</v>
      </c>
      <c r="C291" s="5" t="s">
        <v>937</v>
      </c>
      <c r="D291" s="4" t="s">
        <v>30</v>
      </c>
      <c r="E291" s="4" t="s">
        <v>171</v>
      </c>
      <c r="F291" s="4" t="s">
        <v>383</v>
      </c>
      <c r="G291" s="4" t="s">
        <v>1116</v>
      </c>
      <c r="H291" s="4" t="s">
        <v>1117</v>
      </c>
      <c r="I291" s="12" t="s">
        <v>158</v>
      </c>
      <c r="J291" s="4"/>
      <c r="K291" s="5" t="s">
        <v>159</v>
      </c>
      <c r="L291" s="4"/>
      <c r="M291" s="12" t="s">
        <v>159</v>
      </c>
      <c r="N291" s="4"/>
      <c r="O291" s="12" t="s">
        <v>159</v>
      </c>
      <c r="P291" s="4" t="s">
        <v>163</v>
      </c>
      <c r="Q291" s="12" t="s">
        <v>158</v>
      </c>
      <c r="R291" s="5" t="n">
        <v>0</v>
      </c>
      <c r="S291" s="12" t="s">
        <v>159</v>
      </c>
      <c r="T291" s="4" t="s">
        <v>163</v>
      </c>
      <c r="U291" s="12" t="s">
        <v>158</v>
      </c>
      <c r="V291" s="5" t="n">
        <v>0</v>
      </c>
      <c r="W291" s="12" t="s">
        <v>159</v>
      </c>
      <c r="X291" s="12" t="n">
        <v>5</v>
      </c>
      <c r="Y291" s="4" t="s">
        <v>235</v>
      </c>
    </row>
    <row r="292" customFormat="false" ht="23.85" hidden="false" customHeight="false" outlineLevel="0" collapsed="false">
      <c r="A292" s="5" t="n">
        <v>43774</v>
      </c>
      <c r="B292" s="5" t="s">
        <v>80</v>
      </c>
      <c r="C292" s="5" t="s">
        <v>1118</v>
      </c>
      <c r="D292" s="4" t="s">
        <v>30</v>
      </c>
      <c r="E292" s="4" t="s">
        <v>171</v>
      </c>
      <c r="F292" s="4" t="s">
        <v>383</v>
      </c>
      <c r="G292" s="4" t="s">
        <v>1119</v>
      </c>
      <c r="H292" s="4" t="s">
        <v>1120</v>
      </c>
      <c r="I292" s="12" t="s">
        <v>158</v>
      </c>
      <c r="J292" s="4"/>
      <c r="K292" s="5" t="s">
        <v>159</v>
      </c>
      <c r="L292" s="4"/>
      <c r="M292" s="12" t="s">
        <v>159</v>
      </c>
      <c r="N292" s="4"/>
      <c r="O292" s="12" t="s">
        <v>159</v>
      </c>
      <c r="P292" s="4" t="s">
        <v>205</v>
      </c>
      <c r="Q292" s="12" t="s">
        <v>158</v>
      </c>
      <c r="R292" s="5" t="n">
        <v>0</v>
      </c>
      <c r="S292" s="12" t="s">
        <v>159</v>
      </c>
      <c r="T292" s="4" t="s">
        <v>188</v>
      </c>
      <c r="U292" s="12" t="s">
        <v>158</v>
      </c>
      <c r="V292" s="5" t="n">
        <v>0</v>
      </c>
      <c r="W292" s="12" t="s">
        <v>159</v>
      </c>
      <c r="X292" s="12" t="n">
        <v>5</v>
      </c>
      <c r="Y292" s="4" t="s">
        <v>235</v>
      </c>
    </row>
    <row r="293" customFormat="false" ht="23.85" hidden="false" customHeight="false" outlineLevel="0" collapsed="false">
      <c r="A293" s="5" t="n">
        <v>43789</v>
      </c>
      <c r="B293" s="5" t="s">
        <v>81</v>
      </c>
      <c r="C293" s="5" t="s">
        <v>1121</v>
      </c>
      <c r="D293" s="4" t="s">
        <v>24</v>
      </c>
      <c r="E293" s="4" t="s">
        <v>154</v>
      </c>
      <c r="F293" s="4" t="s">
        <v>383</v>
      </c>
      <c r="G293" s="4" t="s">
        <v>1122</v>
      </c>
      <c r="H293" s="4"/>
      <c r="I293" s="12" t="s">
        <v>159</v>
      </c>
      <c r="J293" s="4"/>
      <c r="K293" s="5" t="s">
        <v>159</v>
      </c>
      <c r="L293" s="4"/>
      <c r="M293" s="12" t="s">
        <v>159</v>
      </c>
      <c r="N293" s="4"/>
      <c r="O293" s="12" t="s">
        <v>159</v>
      </c>
      <c r="P293" s="4" t="s">
        <v>1123</v>
      </c>
      <c r="Q293" s="12" t="s">
        <v>158</v>
      </c>
      <c r="R293" s="5" t="n">
        <v>0</v>
      </c>
      <c r="S293" s="12" t="s">
        <v>159</v>
      </c>
      <c r="T293" s="4"/>
      <c r="U293" s="12" t="s">
        <v>159</v>
      </c>
      <c r="V293" s="5" t="n">
        <v>0</v>
      </c>
      <c r="W293" s="12" t="s">
        <v>159</v>
      </c>
      <c r="X293" s="12" t="n">
        <v>7</v>
      </c>
      <c r="Y293" s="4" t="s">
        <v>328</v>
      </c>
    </row>
    <row r="294" customFormat="false" ht="23.85" hidden="false" customHeight="false" outlineLevel="0" collapsed="false">
      <c r="A294" s="5" t="n">
        <v>43790</v>
      </c>
      <c r="B294" s="5" t="s">
        <v>81</v>
      </c>
      <c r="C294" s="5" t="s">
        <v>1124</v>
      </c>
      <c r="D294" s="4" t="s">
        <v>24</v>
      </c>
      <c r="E294" s="4" t="s">
        <v>154</v>
      </c>
      <c r="F294" s="4" t="s">
        <v>383</v>
      </c>
      <c r="G294" s="4" t="s">
        <v>1125</v>
      </c>
      <c r="H294" s="4"/>
      <c r="I294" s="12" t="s">
        <v>159</v>
      </c>
      <c r="J294" s="4"/>
      <c r="K294" s="5" t="s">
        <v>159</v>
      </c>
      <c r="L294" s="4" t="s">
        <v>1126</v>
      </c>
      <c r="M294" s="12" t="s">
        <v>158</v>
      </c>
      <c r="N294" s="4" t="s">
        <v>1127</v>
      </c>
      <c r="O294" s="12" t="s">
        <v>158</v>
      </c>
      <c r="P294" s="4"/>
      <c r="Q294" s="12" t="s">
        <v>159</v>
      </c>
      <c r="R294" s="5" t="n">
        <v>0</v>
      </c>
      <c r="S294" s="12" t="s">
        <v>159</v>
      </c>
      <c r="T294" s="4"/>
      <c r="U294" s="12" t="s">
        <v>159</v>
      </c>
      <c r="V294" s="5" t="n">
        <v>0</v>
      </c>
      <c r="W294" s="12" t="s">
        <v>159</v>
      </c>
      <c r="X294" s="12" t="n">
        <v>6</v>
      </c>
      <c r="Y294" s="4" t="s">
        <v>408</v>
      </c>
    </row>
    <row r="295" customFormat="false" ht="23.85" hidden="false" customHeight="false" outlineLevel="0" collapsed="false">
      <c r="A295" s="5" t="n">
        <v>43793</v>
      </c>
      <c r="B295" s="5" t="s">
        <v>81</v>
      </c>
      <c r="C295" s="5" t="s">
        <v>1128</v>
      </c>
      <c r="D295" s="4" t="s">
        <v>34</v>
      </c>
      <c r="E295" s="4" t="s">
        <v>154</v>
      </c>
      <c r="F295" s="4" t="s">
        <v>498</v>
      </c>
      <c r="G295" s="4" t="s">
        <v>1129</v>
      </c>
      <c r="H295" s="4" t="s">
        <v>1130</v>
      </c>
      <c r="I295" s="12" t="s">
        <v>158</v>
      </c>
      <c r="J295" s="4"/>
      <c r="K295" s="5" t="s">
        <v>159</v>
      </c>
      <c r="L295" s="4" t="s">
        <v>1131</v>
      </c>
      <c r="M295" s="12" t="s">
        <v>158</v>
      </c>
      <c r="N295" s="4" t="s">
        <v>1132</v>
      </c>
      <c r="O295" s="12" t="s">
        <v>158</v>
      </c>
      <c r="P295" s="4" t="s">
        <v>163</v>
      </c>
      <c r="Q295" s="12" t="s">
        <v>158</v>
      </c>
      <c r="R295" s="5" t="n">
        <v>0</v>
      </c>
      <c r="S295" s="12" t="s">
        <v>159</v>
      </c>
      <c r="T295" s="4" t="s">
        <v>163</v>
      </c>
      <c r="U295" s="12" t="s">
        <v>158</v>
      </c>
      <c r="V295" s="5" t="n">
        <v>0</v>
      </c>
      <c r="W295" s="12" t="s">
        <v>159</v>
      </c>
      <c r="X295" s="12" t="n">
        <v>3</v>
      </c>
      <c r="Y295" s="4" t="s">
        <v>164</v>
      </c>
    </row>
    <row r="296" customFormat="false" ht="23.85" hidden="false" customHeight="false" outlineLevel="0" collapsed="false">
      <c r="A296" s="5" t="n">
        <v>43794</v>
      </c>
      <c r="B296" s="5" t="s">
        <v>81</v>
      </c>
      <c r="C296" s="5" t="s">
        <v>735</v>
      </c>
      <c r="D296" s="4" t="s">
        <v>34</v>
      </c>
      <c r="E296" s="4" t="s">
        <v>154</v>
      </c>
      <c r="F296" s="4" t="s">
        <v>166</v>
      </c>
      <c r="G296" s="4" t="s">
        <v>1133</v>
      </c>
      <c r="H296" s="4" t="s">
        <v>1134</v>
      </c>
      <c r="I296" s="12" t="s">
        <v>158</v>
      </c>
      <c r="J296" s="4"/>
      <c r="K296" s="5" t="s">
        <v>159</v>
      </c>
      <c r="L296" s="4" t="s">
        <v>1135</v>
      </c>
      <c r="M296" s="12" t="s">
        <v>158</v>
      </c>
      <c r="N296" s="4" t="s">
        <v>1136</v>
      </c>
      <c r="O296" s="12" t="s">
        <v>158</v>
      </c>
      <c r="P296" s="4" t="s">
        <v>163</v>
      </c>
      <c r="Q296" s="12" t="s">
        <v>158</v>
      </c>
      <c r="R296" s="5" t="n">
        <v>0</v>
      </c>
      <c r="S296" s="12" t="s">
        <v>159</v>
      </c>
      <c r="T296" s="4" t="s">
        <v>163</v>
      </c>
      <c r="U296" s="12" t="s">
        <v>158</v>
      </c>
      <c r="V296" s="5" t="n">
        <v>0</v>
      </c>
      <c r="W296" s="12" t="s">
        <v>159</v>
      </c>
      <c r="X296" s="12" t="n">
        <v>3</v>
      </c>
      <c r="Y296" s="4" t="s">
        <v>164</v>
      </c>
    </row>
    <row r="297" customFormat="false" ht="23.85" hidden="false" customHeight="false" outlineLevel="0" collapsed="false">
      <c r="A297" s="5" t="n">
        <v>43795</v>
      </c>
      <c r="B297" s="5" t="s">
        <v>81</v>
      </c>
      <c r="C297" s="5" t="s">
        <v>1137</v>
      </c>
      <c r="D297" s="4" t="s">
        <v>34</v>
      </c>
      <c r="E297" s="4" t="s">
        <v>154</v>
      </c>
      <c r="F297" s="4" t="s">
        <v>166</v>
      </c>
      <c r="G297" s="4" t="s">
        <v>1138</v>
      </c>
      <c r="H297" s="4" t="s">
        <v>1139</v>
      </c>
      <c r="I297" s="12" t="s">
        <v>158</v>
      </c>
      <c r="J297" s="4"/>
      <c r="K297" s="5" t="s">
        <v>159</v>
      </c>
      <c r="L297" s="4" t="s">
        <v>501</v>
      </c>
      <c r="M297" s="12" t="s">
        <v>158</v>
      </c>
      <c r="N297" s="4" t="s">
        <v>1140</v>
      </c>
      <c r="O297" s="12" t="s">
        <v>158</v>
      </c>
      <c r="P297" s="4" t="s">
        <v>163</v>
      </c>
      <c r="Q297" s="12" t="s">
        <v>158</v>
      </c>
      <c r="R297" s="5" t="n">
        <v>0</v>
      </c>
      <c r="S297" s="12" t="s">
        <v>159</v>
      </c>
      <c r="T297" s="4" t="s">
        <v>163</v>
      </c>
      <c r="U297" s="12" t="s">
        <v>158</v>
      </c>
      <c r="V297" s="5" t="n">
        <v>0</v>
      </c>
      <c r="W297" s="12" t="s">
        <v>159</v>
      </c>
      <c r="X297" s="12" t="n">
        <v>3</v>
      </c>
      <c r="Y297" s="4" t="s">
        <v>164</v>
      </c>
    </row>
    <row r="298" customFormat="false" ht="23.85" hidden="false" customHeight="false" outlineLevel="0" collapsed="false">
      <c r="A298" s="5" t="n">
        <v>43796</v>
      </c>
      <c r="B298" s="5" t="s">
        <v>81</v>
      </c>
      <c r="C298" s="5" t="s">
        <v>1141</v>
      </c>
      <c r="D298" s="4" t="s">
        <v>34</v>
      </c>
      <c r="E298" s="4" t="s">
        <v>154</v>
      </c>
      <c r="F298" s="4" t="s">
        <v>166</v>
      </c>
      <c r="G298" s="4" t="s">
        <v>1142</v>
      </c>
      <c r="H298" s="4" t="s">
        <v>1143</v>
      </c>
      <c r="I298" s="12" t="s">
        <v>158</v>
      </c>
      <c r="J298" s="4"/>
      <c r="K298" s="5" t="s">
        <v>159</v>
      </c>
      <c r="L298" s="4" t="s">
        <v>1144</v>
      </c>
      <c r="M298" s="12" t="s">
        <v>158</v>
      </c>
      <c r="N298" s="4" t="s">
        <v>1145</v>
      </c>
      <c r="O298" s="12" t="s">
        <v>158</v>
      </c>
      <c r="P298" s="4" t="s">
        <v>163</v>
      </c>
      <c r="Q298" s="12" t="s">
        <v>158</v>
      </c>
      <c r="R298" s="5" t="n">
        <v>0</v>
      </c>
      <c r="S298" s="12" t="s">
        <v>159</v>
      </c>
      <c r="T298" s="4" t="s">
        <v>163</v>
      </c>
      <c r="U298" s="12" t="s">
        <v>158</v>
      </c>
      <c r="V298" s="5" t="n">
        <v>0</v>
      </c>
      <c r="W298" s="12" t="s">
        <v>159</v>
      </c>
      <c r="X298" s="12" t="n">
        <v>3</v>
      </c>
      <c r="Y298" s="4" t="s">
        <v>164</v>
      </c>
    </row>
    <row r="299" customFormat="false" ht="23.85" hidden="false" customHeight="false" outlineLevel="0" collapsed="false">
      <c r="A299" s="5" t="n">
        <v>43797</v>
      </c>
      <c r="B299" s="5" t="s">
        <v>81</v>
      </c>
      <c r="C299" s="5" t="s">
        <v>1146</v>
      </c>
      <c r="D299" s="4" t="s">
        <v>34</v>
      </c>
      <c r="E299" s="4" t="s">
        <v>154</v>
      </c>
      <c r="F299" s="4" t="s">
        <v>166</v>
      </c>
      <c r="G299" s="4" t="s">
        <v>1147</v>
      </c>
      <c r="H299" s="4" t="s">
        <v>1140</v>
      </c>
      <c r="I299" s="12" t="s">
        <v>158</v>
      </c>
      <c r="J299" s="4"/>
      <c r="K299" s="5" t="s">
        <v>159</v>
      </c>
      <c r="L299" s="4" t="s">
        <v>1148</v>
      </c>
      <c r="M299" s="12" t="s">
        <v>158</v>
      </c>
      <c r="N299" s="4" t="s">
        <v>1140</v>
      </c>
      <c r="O299" s="12" t="s">
        <v>158</v>
      </c>
      <c r="P299" s="4" t="s">
        <v>163</v>
      </c>
      <c r="Q299" s="12" t="s">
        <v>158</v>
      </c>
      <c r="R299" s="5" t="n">
        <v>0</v>
      </c>
      <c r="S299" s="12" t="s">
        <v>159</v>
      </c>
      <c r="T299" s="4" t="s">
        <v>163</v>
      </c>
      <c r="U299" s="12" t="s">
        <v>158</v>
      </c>
      <c r="V299" s="5" t="n">
        <v>0</v>
      </c>
      <c r="W299" s="12" t="s">
        <v>159</v>
      </c>
      <c r="X299" s="12" t="n">
        <v>3</v>
      </c>
      <c r="Y299" s="4" t="s">
        <v>164</v>
      </c>
    </row>
    <row r="300" customFormat="false" ht="23.85" hidden="false" customHeight="false" outlineLevel="0" collapsed="false">
      <c r="A300" s="5" t="n">
        <v>43798</v>
      </c>
      <c r="B300" s="5" t="s">
        <v>81</v>
      </c>
      <c r="C300" s="5" t="s">
        <v>1149</v>
      </c>
      <c r="D300" s="4" t="s">
        <v>34</v>
      </c>
      <c r="E300" s="4" t="s">
        <v>154</v>
      </c>
      <c r="F300" s="4" t="s">
        <v>166</v>
      </c>
      <c r="G300" s="4" t="s">
        <v>1150</v>
      </c>
      <c r="H300" s="4" t="s">
        <v>1151</v>
      </c>
      <c r="I300" s="12" t="s">
        <v>158</v>
      </c>
      <c r="J300" s="4"/>
      <c r="K300" s="5" t="s">
        <v>159</v>
      </c>
      <c r="L300" s="4" t="s">
        <v>946</v>
      </c>
      <c r="M300" s="12" t="s">
        <v>158</v>
      </c>
      <c r="N300" s="4" t="s">
        <v>1152</v>
      </c>
      <c r="O300" s="12" t="s">
        <v>158</v>
      </c>
      <c r="P300" s="4" t="s">
        <v>163</v>
      </c>
      <c r="Q300" s="12" t="s">
        <v>158</v>
      </c>
      <c r="R300" s="5" t="n">
        <v>0</v>
      </c>
      <c r="S300" s="12" t="s">
        <v>159</v>
      </c>
      <c r="T300" s="4" t="s">
        <v>163</v>
      </c>
      <c r="U300" s="12" t="s">
        <v>158</v>
      </c>
      <c r="V300" s="5" t="n">
        <v>0</v>
      </c>
      <c r="W300" s="12" t="s">
        <v>159</v>
      </c>
      <c r="X300" s="12" t="n">
        <v>3</v>
      </c>
      <c r="Y300" s="4" t="s">
        <v>164</v>
      </c>
    </row>
    <row r="301" customFormat="false" ht="23.85" hidden="false" customHeight="false" outlineLevel="0" collapsed="false">
      <c r="A301" s="5" t="n">
        <v>43799</v>
      </c>
      <c r="B301" s="5" t="s">
        <v>81</v>
      </c>
      <c r="C301" s="5" t="s">
        <v>1153</v>
      </c>
      <c r="D301" s="4" t="s">
        <v>34</v>
      </c>
      <c r="E301" s="4" t="s">
        <v>154</v>
      </c>
      <c r="F301" s="4" t="s">
        <v>166</v>
      </c>
      <c r="G301" s="4" t="s">
        <v>1154</v>
      </c>
      <c r="H301" s="4" t="s">
        <v>1155</v>
      </c>
      <c r="I301" s="12" t="s">
        <v>158</v>
      </c>
      <c r="J301" s="4"/>
      <c r="K301" s="5" t="s">
        <v>159</v>
      </c>
      <c r="L301" s="4" t="s">
        <v>1156</v>
      </c>
      <c r="M301" s="12" t="s">
        <v>158</v>
      </c>
      <c r="N301" s="4" t="s">
        <v>1157</v>
      </c>
      <c r="O301" s="12" t="s">
        <v>158</v>
      </c>
      <c r="P301" s="4" t="s">
        <v>163</v>
      </c>
      <c r="Q301" s="12" t="s">
        <v>158</v>
      </c>
      <c r="R301" s="5" t="n">
        <v>0</v>
      </c>
      <c r="S301" s="12" t="s">
        <v>159</v>
      </c>
      <c r="T301" s="4" t="s">
        <v>163</v>
      </c>
      <c r="U301" s="12" t="s">
        <v>158</v>
      </c>
      <c r="V301" s="5" t="n">
        <v>0</v>
      </c>
      <c r="W301" s="12" t="s">
        <v>159</v>
      </c>
      <c r="X301" s="12" t="n">
        <v>3</v>
      </c>
      <c r="Y301" s="4" t="s">
        <v>164</v>
      </c>
    </row>
    <row r="302" customFormat="false" ht="23.85" hidden="false" customHeight="false" outlineLevel="0" collapsed="false">
      <c r="A302" s="5" t="n">
        <v>43800</v>
      </c>
      <c r="B302" s="5" t="s">
        <v>81</v>
      </c>
      <c r="C302" s="5" t="s">
        <v>1158</v>
      </c>
      <c r="D302" s="4" t="s">
        <v>34</v>
      </c>
      <c r="E302" s="4" t="s">
        <v>154</v>
      </c>
      <c r="F302" s="4" t="s">
        <v>498</v>
      </c>
      <c r="G302" s="4" t="s">
        <v>1159</v>
      </c>
      <c r="H302" s="4" t="s">
        <v>1160</v>
      </c>
      <c r="I302" s="12" t="s">
        <v>158</v>
      </c>
      <c r="J302" s="4"/>
      <c r="K302" s="5" t="s">
        <v>159</v>
      </c>
      <c r="L302" s="4" t="s">
        <v>580</v>
      </c>
      <c r="M302" s="12" t="s">
        <v>158</v>
      </c>
      <c r="N302" s="4" t="s">
        <v>1161</v>
      </c>
      <c r="O302" s="12" t="s">
        <v>158</v>
      </c>
      <c r="P302" s="4" t="s">
        <v>163</v>
      </c>
      <c r="Q302" s="12" t="s">
        <v>158</v>
      </c>
      <c r="R302" s="5" t="n">
        <v>0</v>
      </c>
      <c r="S302" s="12" t="s">
        <v>159</v>
      </c>
      <c r="T302" s="4" t="s">
        <v>163</v>
      </c>
      <c r="U302" s="12" t="s">
        <v>158</v>
      </c>
      <c r="V302" s="5" t="n">
        <v>0</v>
      </c>
      <c r="W302" s="12" t="s">
        <v>159</v>
      </c>
      <c r="X302" s="12" t="n">
        <v>3</v>
      </c>
      <c r="Y302" s="4" t="s">
        <v>164</v>
      </c>
    </row>
    <row r="303" customFormat="false" ht="23.85" hidden="false" customHeight="false" outlineLevel="0" collapsed="false">
      <c r="A303" s="5" t="n">
        <v>43801</v>
      </c>
      <c r="B303" s="5" t="s">
        <v>81</v>
      </c>
      <c r="C303" s="5" t="s">
        <v>1162</v>
      </c>
      <c r="D303" s="4" t="s">
        <v>34</v>
      </c>
      <c r="E303" s="4" t="s">
        <v>154</v>
      </c>
      <c r="F303" s="4" t="s">
        <v>155</v>
      </c>
      <c r="G303" s="4" t="s">
        <v>1163</v>
      </c>
      <c r="H303" s="4" t="s">
        <v>1164</v>
      </c>
      <c r="I303" s="12" t="s">
        <v>158</v>
      </c>
      <c r="J303" s="4"/>
      <c r="K303" s="5" t="s">
        <v>159</v>
      </c>
      <c r="L303" s="4" t="s">
        <v>1165</v>
      </c>
      <c r="M303" s="12" t="s">
        <v>158</v>
      </c>
      <c r="N303" s="4" t="s">
        <v>1166</v>
      </c>
      <c r="O303" s="12" t="s">
        <v>158</v>
      </c>
      <c r="P303" s="4" t="s">
        <v>163</v>
      </c>
      <c r="Q303" s="12" t="s">
        <v>158</v>
      </c>
      <c r="R303" s="5" t="n">
        <v>0</v>
      </c>
      <c r="S303" s="12" t="s">
        <v>159</v>
      </c>
      <c r="T303" s="4" t="s">
        <v>163</v>
      </c>
      <c r="U303" s="12" t="s">
        <v>158</v>
      </c>
      <c r="V303" s="5" t="n">
        <v>0</v>
      </c>
      <c r="W303" s="12" t="s">
        <v>159</v>
      </c>
      <c r="X303" s="12" t="n">
        <v>3</v>
      </c>
      <c r="Y303" s="4" t="s">
        <v>164</v>
      </c>
    </row>
    <row r="304" customFormat="false" ht="23.85" hidden="false" customHeight="false" outlineLevel="0" collapsed="false">
      <c r="A304" s="5" t="n">
        <v>43802</v>
      </c>
      <c r="B304" s="5" t="s">
        <v>81</v>
      </c>
      <c r="C304" s="5" t="s">
        <v>921</v>
      </c>
      <c r="D304" s="4" t="s">
        <v>20</v>
      </c>
      <c r="E304" s="4" t="s">
        <v>154</v>
      </c>
      <c r="F304" s="4" t="s">
        <v>166</v>
      </c>
      <c r="G304" s="4" t="s">
        <v>1167</v>
      </c>
      <c r="H304" s="4"/>
      <c r="I304" s="12" t="s">
        <v>159</v>
      </c>
      <c r="J304" s="4"/>
      <c r="K304" s="5" t="s">
        <v>159</v>
      </c>
      <c r="L304" s="4"/>
      <c r="M304" s="12" t="s">
        <v>159</v>
      </c>
      <c r="N304" s="4"/>
      <c r="O304" s="12" t="s">
        <v>159</v>
      </c>
      <c r="P304" s="4"/>
      <c r="Q304" s="12" t="s">
        <v>159</v>
      </c>
      <c r="R304" s="5" t="n">
        <v>0</v>
      </c>
      <c r="S304" s="12" t="s">
        <v>159</v>
      </c>
      <c r="T304" s="4"/>
      <c r="U304" s="12" t="s">
        <v>159</v>
      </c>
      <c r="V304" s="5" t="n">
        <v>0</v>
      </c>
      <c r="W304" s="12" t="s">
        <v>159</v>
      </c>
      <c r="X304" s="12" t="n">
        <v>8</v>
      </c>
      <c r="Y304" s="4" t="s">
        <v>285</v>
      </c>
    </row>
    <row r="305" customFormat="false" ht="23.85" hidden="false" customHeight="false" outlineLevel="0" collapsed="false">
      <c r="A305" s="5" t="n">
        <v>43803</v>
      </c>
      <c r="B305" s="5" t="s">
        <v>81</v>
      </c>
      <c r="C305" s="5" t="s">
        <v>1168</v>
      </c>
      <c r="D305" s="4" t="s">
        <v>20</v>
      </c>
      <c r="E305" s="4" t="s">
        <v>154</v>
      </c>
      <c r="F305" s="4" t="s">
        <v>383</v>
      </c>
      <c r="G305" s="4" t="s">
        <v>1169</v>
      </c>
      <c r="H305" s="4"/>
      <c r="I305" s="12" t="s">
        <v>159</v>
      </c>
      <c r="J305" s="4"/>
      <c r="K305" s="5" t="s">
        <v>159</v>
      </c>
      <c r="L305" s="4"/>
      <c r="M305" s="12" t="s">
        <v>159</v>
      </c>
      <c r="N305" s="4"/>
      <c r="O305" s="12" t="s">
        <v>159</v>
      </c>
      <c r="P305" s="4"/>
      <c r="Q305" s="12" t="s">
        <v>159</v>
      </c>
      <c r="R305" s="5" t="n">
        <v>0</v>
      </c>
      <c r="S305" s="12" t="s">
        <v>159</v>
      </c>
      <c r="T305" s="4"/>
      <c r="U305" s="12" t="s">
        <v>159</v>
      </c>
      <c r="V305" s="5" t="n">
        <v>0</v>
      </c>
      <c r="W305" s="12" t="s">
        <v>159</v>
      </c>
      <c r="X305" s="12" t="n">
        <v>8</v>
      </c>
      <c r="Y305" s="4" t="s">
        <v>285</v>
      </c>
    </row>
    <row r="306" customFormat="false" ht="23.85" hidden="false" customHeight="false" outlineLevel="0" collapsed="false">
      <c r="A306" s="5" t="n">
        <v>43806</v>
      </c>
      <c r="B306" s="5" t="s">
        <v>81</v>
      </c>
      <c r="C306" s="5" t="s">
        <v>1085</v>
      </c>
      <c r="D306" s="4" t="s">
        <v>34</v>
      </c>
      <c r="E306" s="4" t="s">
        <v>154</v>
      </c>
      <c r="F306" s="4" t="s">
        <v>166</v>
      </c>
      <c r="G306" s="4" t="s">
        <v>1170</v>
      </c>
      <c r="H306" s="4" t="s">
        <v>1171</v>
      </c>
      <c r="I306" s="12" t="s">
        <v>158</v>
      </c>
      <c r="J306" s="4"/>
      <c r="K306" s="5" t="s">
        <v>159</v>
      </c>
      <c r="L306" s="4" t="s">
        <v>571</v>
      </c>
      <c r="M306" s="12" t="s">
        <v>158</v>
      </c>
      <c r="N306" s="4" t="s">
        <v>1172</v>
      </c>
      <c r="O306" s="12" t="s">
        <v>158</v>
      </c>
      <c r="P306" s="4" t="s">
        <v>163</v>
      </c>
      <c r="Q306" s="12" t="s">
        <v>158</v>
      </c>
      <c r="R306" s="5" t="n">
        <v>0</v>
      </c>
      <c r="S306" s="12" t="s">
        <v>159</v>
      </c>
      <c r="T306" s="4" t="s">
        <v>163</v>
      </c>
      <c r="U306" s="12" t="s">
        <v>158</v>
      </c>
      <c r="V306" s="5" t="n">
        <v>0</v>
      </c>
      <c r="W306" s="12" t="s">
        <v>159</v>
      </c>
      <c r="X306" s="12" t="n">
        <v>3</v>
      </c>
      <c r="Y306" s="4" t="s">
        <v>164</v>
      </c>
    </row>
    <row r="307" customFormat="false" ht="23.85" hidden="false" customHeight="false" outlineLevel="0" collapsed="false">
      <c r="A307" s="5" t="n">
        <v>43808</v>
      </c>
      <c r="B307" s="5" t="s">
        <v>81</v>
      </c>
      <c r="C307" s="5" t="s">
        <v>1173</v>
      </c>
      <c r="D307" s="4" t="s">
        <v>34</v>
      </c>
      <c r="E307" s="4" t="s">
        <v>154</v>
      </c>
      <c r="F307" s="4" t="s">
        <v>383</v>
      </c>
      <c r="G307" s="4" t="s">
        <v>1174</v>
      </c>
      <c r="H307" s="4"/>
      <c r="I307" s="12" t="s">
        <v>159</v>
      </c>
      <c r="J307" s="4"/>
      <c r="K307" s="5" t="s">
        <v>159</v>
      </c>
      <c r="L307" s="4" t="s">
        <v>1175</v>
      </c>
      <c r="M307" s="12" t="s">
        <v>158</v>
      </c>
      <c r="N307" s="4"/>
      <c r="O307" s="12" t="s">
        <v>159</v>
      </c>
      <c r="P307" s="4" t="s">
        <v>163</v>
      </c>
      <c r="Q307" s="12" t="s">
        <v>158</v>
      </c>
      <c r="R307" s="5" t="n">
        <v>0</v>
      </c>
      <c r="S307" s="12" t="s">
        <v>159</v>
      </c>
      <c r="T307" s="4" t="s">
        <v>163</v>
      </c>
      <c r="U307" s="12" t="s">
        <v>158</v>
      </c>
      <c r="V307" s="5" t="n">
        <v>0</v>
      </c>
      <c r="W307" s="12" t="s">
        <v>159</v>
      </c>
      <c r="X307" s="12" t="n">
        <v>5</v>
      </c>
      <c r="Y307" s="4" t="s">
        <v>1176</v>
      </c>
    </row>
    <row r="308" customFormat="false" ht="23.85" hidden="false" customHeight="false" outlineLevel="0" collapsed="false">
      <c r="A308" s="5" t="n">
        <v>43809</v>
      </c>
      <c r="B308" s="5" t="s">
        <v>81</v>
      </c>
      <c r="C308" s="5" t="s">
        <v>1177</v>
      </c>
      <c r="D308" s="4" t="s">
        <v>34</v>
      </c>
      <c r="E308" s="4" t="s">
        <v>154</v>
      </c>
      <c r="F308" s="4" t="s">
        <v>166</v>
      </c>
      <c r="G308" s="4" t="s">
        <v>1178</v>
      </c>
      <c r="H308" s="4" t="s">
        <v>1179</v>
      </c>
      <c r="I308" s="12" t="s">
        <v>158</v>
      </c>
      <c r="J308" s="4"/>
      <c r="K308" s="5" t="s">
        <v>159</v>
      </c>
      <c r="L308" s="4" t="s">
        <v>1180</v>
      </c>
      <c r="M308" s="12" t="s">
        <v>158</v>
      </c>
      <c r="N308" s="4" t="s">
        <v>1181</v>
      </c>
      <c r="O308" s="12" t="s">
        <v>158</v>
      </c>
      <c r="P308" s="4" t="s">
        <v>163</v>
      </c>
      <c r="Q308" s="12" t="s">
        <v>158</v>
      </c>
      <c r="R308" s="5" t="n">
        <v>0</v>
      </c>
      <c r="S308" s="12" t="s">
        <v>159</v>
      </c>
      <c r="T308" s="4" t="s">
        <v>163</v>
      </c>
      <c r="U308" s="12" t="s">
        <v>158</v>
      </c>
      <c r="V308" s="5" t="n">
        <v>0</v>
      </c>
      <c r="W308" s="12" t="s">
        <v>159</v>
      </c>
      <c r="X308" s="12" t="n">
        <v>3</v>
      </c>
      <c r="Y308" s="4" t="s">
        <v>164</v>
      </c>
    </row>
    <row r="309" customFormat="false" ht="23.85" hidden="false" customHeight="false" outlineLevel="0" collapsed="false">
      <c r="A309" s="5" t="n">
        <v>43810</v>
      </c>
      <c r="B309" s="5" t="s">
        <v>81</v>
      </c>
      <c r="C309" s="5" t="s">
        <v>1182</v>
      </c>
      <c r="D309" s="4" t="s">
        <v>30</v>
      </c>
      <c r="E309" s="4" t="s">
        <v>171</v>
      </c>
      <c r="F309" s="4" t="s">
        <v>383</v>
      </c>
      <c r="G309" s="4" t="s">
        <v>1183</v>
      </c>
      <c r="H309" s="4" t="s">
        <v>1184</v>
      </c>
      <c r="I309" s="12" t="s">
        <v>158</v>
      </c>
      <c r="J309" s="4"/>
      <c r="K309" s="5" t="s">
        <v>159</v>
      </c>
      <c r="L309" s="4"/>
      <c r="M309" s="12" t="s">
        <v>159</v>
      </c>
      <c r="N309" s="4"/>
      <c r="O309" s="12" t="s">
        <v>159</v>
      </c>
      <c r="P309" s="4" t="s">
        <v>205</v>
      </c>
      <c r="Q309" s="12" t="s">
        <v>158</v>
      </c>
      <c r="R309" s="5" t="n">
        <v>0</v>
      </c>
      <c r="S309" s="12" t="s">
        <v>159</v>
      </c>
      <c r="T309" s="4" t="s">
        <v>188</v>
      </c>
      <c r="U309" s="12" t="s">
        <v>158</v>
      </c>
      <c r="V309" s="5" t="n">
        <v>0</v>
      </c>
      <c r="W309" s="12" t="s">
        <v>159</v>
      </c>
      <c r="X309" s="12" t="n">
        <v>5</v>
      </c>
      <c r="Y309" s="4" t="s">
        <v>235</v>
      </c>
    </row>
    <row r="310" customFormat="false" ht="23.85" hidden="false" customHeight="false" outlineLevel="0" collapsed="false">
      <c r="A310" s="5" t="n">
        <v>43811</v>
      </c>
      <c r="B310" s="5" t="s">
        <v>81</v>
      </c>
      <c r="C310" s="5" t="s">
        <v>1185</v>
      </c>
      <c r="D310" s="4" t="s">
        <v>30</v>
      </c>
      <c r="E310" s="4" t="s">
        <v>171</v>
      </c>
      <c r="F310" s="4" t="s">
        <v>383</v>
      </c>
      <c r="G310" s="4" t="s">
        <v>1186</v>
      </c>
      <c r="H310" s="4" t="s">
        <v>1187</v>
      </c>
      <c r="I310" s="12" t="s">
        <v>158</v>
      </c>
      <c r="J310" s="4"/>
      <c r="K310" s="5" t="s">
        <v>159</v>
      </c>
      <c r="L310" s="4"/>
      <c r="M310" s="12" t="s">
        <v>159</v>
      </c>
      <c r="N310" s="4"/>
      <c r="O310" s="12" t="s">
        <v>159</v>
      </c>
      <c r="P310" s="4" t="s">
        <v>394</v>
      </c>
      <c r="Q310" s="12" t="s">
        <v>158</v>
      </c>
      <c r="R310" s="5" t="n">
        <v>0</v>
      </c>
      <c r="S310" s="12" t="s">
        <v>159</v>
      </c>
      <c r="T310" s="4" t="s">
        <v>188</v>
      </c>
      <c r="U310" s="12" t="s">
        <v>158</v>
      </c>
      <c r="V310" s="5" t="n">
        <v>0</v>
      </c>
      <c r="W310" s="12" t="s">
        <v>159</v>
      </c>
      <c r="X310" s="12" t="n">
        <v>5</v>
      </c>
      <c r="Y310" s="4" t="s">
        <v>235</v>
      </c>
    </row>
    <row r="311" customFormat="false" ht="23.85" hidden="false" customHeight="false" outlineLevel="0" collapsed="false">
      <c r="A311" s="5" t="n">
        <v>43812</v>
      </c>
      <c r="B311" s="5" t="s">
        <v>81</v>
      </c>
      <c r="C311" s="5" t="s">
        <v>1188</v>
      </c>
      <c r="D311" s="4" t="s">
        <v>30</v>
      </c>
      <c r="E311" s="4" t="s">
        <v>171</v>
      </c>
      <c r="F311" s="4" t="s">
        <v>383</v>
      </c>
      <c r="G311" s="4" t="s">
        <v>942</v>
      </c>
      <c r="H311" s="4" t="s">
        <v>943</v>
      </c>
      <c r="I311" s="12" t="s">
        <v>158</v>
      </c>
      <c r="J311" s="4"/>
      <c r="K311" s="5" t="s">
        <v>159</v>
      </c>
      <c r="L311" s="4"/>
      <c r="M311" s="12" t="s">
        <v>159</v>
      </c>
      <c r="N311" s="4"/>
      <c r="O311" s="12" t="s">
        <v>159</v>
      </c>
      <c r="P311" s="4"/>
      <c r="Q311" s="12" t="s">
        <v>159</v>
      </c>
      <c r="R311" s="5" t="n">
        <v>0</v>
      </c>
      <c r="S311" s="12" t="s">
        <v>159</v>
      </c>
      <c r="T311" s="4"/>
      <c r="U311" s="12" t="s">
        <v>159</v>
      </c>
      <c r="V311" s="5" t="n">
        <v>0</v>
      </c>
      <c r="W311" s="12" t="s">
        <v>159</v>
      </c>
      <c r="X311" s="12" t="n">
        <v>7</v>
      </c>
      <c r="Y311" s="4" t="s">
        <v>174</v>
      </c>
    </row>
    <row r="312" customFormat="false" ht="23.85" hidden="false" customHeight="false" outlineLevel="0" collapsed="false">
      <c r="A312" s="5" t="n">
        <v>43815</v>
      </c>
      <c r="B312" s="5" t="s">
        <v>82</v>
      </c>
      <c r="C312" s="5" t="s">
        <v>1189</v>
      </c>
      <c r="D312" s="4" t="s">
        <v>18</v>
      </c>
      <c r="E312" s="4" t="s">
        <v>154</v>
      </c>
      <c r="F312" s="4" t="s">
        <v>383</v>
      </c>
      <c r="G312" s="4" t="s">
        <v>1190</v>
      </c>
      <c r="H312" s="4" t="s">
        <v>1191</v>
      </c>
      <c r="I312" s="12" t="s">
        <v>158</v>
      </c>
      <c r="J312" s="4"/>
      <c r="K312" s="5" t="s">
        <v>159</v>
      </c>
      <c r="L312" s="4" t="s">
        <v>1192</v>
      </c>
      <c r="M312" s="12" t="s">
        <v>158</v>
      </c>
      <c r="N312" s="4"/>
      <c r="O312" s="12" t="s">
        <v>159</v>
      </c>
      <c r="P312" s="4" t="s">
        <v>394</v>
      </c>
      <c r="Q312" s="12" t="s">
        <v>158</v>
      </c>
      <c r="R312" s="5" t="n">
        <v>0</v>
      </c>
      <c r="S312" s="12" t="s">
        <v>159</v>
      </c>
      <c r="T312" s="4"/>
      <c r="U312" s="12" t="s">
        <v>159</v>
      </c>
      <c r="V312" s="5" t="n">
        <v>0</v>
      </c>
      <c r="W312" s="12" t="s">
        <v>159</v>
      </c>
      <c r="X312" s="12" t="n">
        <v>5</v>
      </c>
      <c r="Y312" s="4" t="s">
        <v>310</v>
      </c>
    </row>
    <row r="313" customFormat="false" ht="23.85" hidden="false" customHeight="false" outlineLevel="0" collapsed="false">
      <c r="A313" s="5" t="n">
        <v>43824</v>
      </c>
      <c r="B313" s="5" t="s">
        <v>83</v>
      </c>
      <c r="C313" s="5" t="s">
        <v>1193</v>
      </c>
      <c r="D313" s="4" t="s">
        <v>34</v>
      </c>
      <c r="E313" s="4" t="s">
        <v>154</v>
      </c>
      <c r="F313" s="4" t="s">
        <v>166</v>
      </c>
      <c r="G313" s="4" t="s">
        <v>1194</v>
      </c>
      <c r="H313" s="4" t="s">
        <v>1019</v>
      </c>
      <c r="I313" s="12" t="s">
        <v>158</v>
      </c>
      <c r="J313" s="4"/>
      <c r="K313" s="5" t="s">
        <v>159</v>
      </c>
      <c r="L313" s="4" t="s">
        <v>495</v>
      </c>
      <c r="M313" s="12" t="s">
        <v>158</v>
      </c>
      <c r="N313" s="4" t="s">
        <v>1195</v>
      </c>
      <c r="O313" s="12" t="s">
        <v>158</v>
      </c>
      <c r="P313" s="4" t="s">
        <v>169</v>
      </c>
      <c r="Q313" s="12" t="s">
        <v>158</v>
      </c>
      <c r="R313" s="5" t="n">
        <v>0</v>
      </c>
      <c r="S313" s="12" t="s">
        <v>159</v>
      </c>
      <c r="T313" s="4" t="s">
        <v>163</v>
      </c>
      <c r="U313" s="12" t="s">
        <v>158</v>
      </c>
      <c r="V313" s="5" t="n">
        <v>0</v>
      </c>
      <c r="W313" s="12" t="s">
        <v>159</v>
      </c>
      <c r="X313" s="12" t="n">
        <v>3</v>
      </c>
      <c r="Y313" s="4" t="s">
        <v>164</v>
      </c>
    </row>
    <row r="314" customFormat="false" ht="23.85" hidden="false" customHeight="false" outlineLevel="0" collapsed="false">
      <c r="A314" s="5" t="n">
        <v>43828</v>
      </c>
      <c r="B314" s="5" t="s">
        <v>83</v>
      </c>
      <c r="C314" s="5" t="s">
        <v>202</v>
      </c>
      <c r="D314" s="4" t="s">
        <v>24</v>
      </c>
      <c r="E314" s="4" t="s">
        <v>154</v>
      </c>
      <c r="F314" s="4" t="s">
        <v>383</v>
      </c>
      <c r="G314" s="4" t="s">
        <v>1196</v>
      </c>
      <c r="H314" s="4"/>
      <c r="I314" s="12" t="s">
        <v>159</v>
      </c>
      <c r="J314" s="4"/>
      <c r="K314" s="5" t="s">
        <v>159</v>
      </c>
      <c r="L314" s="4"/>
      <c r="M314" s="12" t="s">
        <v>159</v>
      </c>
      <c r="N314" s="4"/>
      <c r="O314" s="12" t="s">
        <v>159</v>
      </c>
      <c r="P314" s="4"/>
      <c r="Q314" s="12" t="s">
        <v>159</v>
      </c>
      <c r="R314" s="5" t="n">
        <v>0</v>
      </c>
      <c r="S314" s="12" t="s">
        <v>159</v>
      </c>
      <c r="T314" s="4"/>
      <c r="U314" s="12" t="s">
        <v>159</v>
      </c>
      <c r="V314" s="5" t="n">
        <v>0</v>
      </c>
      <c r="W314" s="12" t="s">
        <v>159</v>
      </c>
      <c r="X314" s="12" t="n">
        <v>8</v>
      </c>
      <c r="Y314" s="4" t="s">
        <v>285</v>
      </c>
    </row>
    <row r="315" customFormat="false" ht="15" hidden="false" customHeight="false" outlineLevel="0" collapsed="false">
      <c r="A315" s="5" t="n">
        <v>43836</v>
      </c>
      <c r="B315" s="5" t="s">
        <v>83</v>
      </c>
      <c r="C315" s="5" t="s">
        <v>1197</v>
      </c>
      <c r="D315" s="4" t="s">
        <v>34</v>
      </c>
      <c r="E315" s="4" t="s">
        <v>154</v>
      </c>
      <c r="F315" s="4" t="s">
        <v>155</v>
      </c>
      <c r="G315" s="4" t="s">
        <v>1198</v>
      </c>
      <c r="H315" s="4" t="s">
        <v>1155</v>
      </c>
      <c r="I315" s="12" t="s">
        <v>158</v>
      </c>
      <c r="J315" s="4" t="s">
        <v>398</v>
      </c>
      <c r="K315" s="5" t="s">
        <v>158</v>
      </c>
      <c r="L315" s="4" t="s">
        <v>1156</v>
      </c>
      <c r="M315" s="12" t="s">
        <v>158</v>
      </c>
      <c r="N315" s="4" t="s">
        <v>1199</v>
      </c>
      <c r="O315" s="12" t="s">
        <v>158</v>
      </c>
      <c r="P315" s="4" t="s">
        <v>163</v>
      </c>
      <c r="Q315" s="12" t="s">
        <v>158</v>
      </c>
      <c r="R315" s="5" t="n">
        <v>0</v>
      </c>
      <c r="S315" s="12" t="s">
        <v>159</v>
      </c>
      <c r="T315" s="4" t="s">
        <v>163</v>
      </c>
      <c r="U315" s="12" t="s">
        <v>158</v>
      </c>
      <c r="V315" s="5" t="n">
        <v>0</v>
      </c>
      <c r="W315" s="12" t="s">
        <v>159</v>
      </c>
      <c r="X315" s="12" t="n">
        <v>2</v>
      </c>
      <c r="Y315" s="4" t="s">
        <v>451</v>
      </c>
    </row>
    <row r="316" customFormat="false" ht="23.85" hidden="false" customHeight="false" outlineLevel="0" collapsed="false">
      <c r="A316" s="5" t="n">
        <v>43837</v>
      </c>
      <c r="B316" s="5" t="s">
        <v>83</v>
      </c>
      <c r="C316" s="5" t="s">
        <v>1200</v>
      </c>
      <c r="D316" s="4" t="s">
        <v>34</v>
      </c>
      <c r="E316" s="4" t="s">
        <v>154</v>
      </c>
      <c r="F316" s="4" t="s">
        <v>383</v>
      </c>
      <c r="G316" s="4" t="s">
        <v>1201</v>
      </c>
      <c r="H316" s="4" t="s">
        <v>609</v>
      </c>
      <c r="I316" s="12" t="s">
        <v>158</v>
      </c>
      <c r="J316" s="4"/>
      <c r="K316" s="5" t="s">
        <v>159</v>
      </c>
      <c r="L316" s="4" t="s">
        <v>571</v>
      </c>
      <c r="M316" s="12" t="s">
        <v>158</v>
      </c>
      <c r="N316" s="4" t="s">
        <v>1202</v>
      </c>
      <c r="O316" s="12" t="s">
        <v>158</v>
      </c>
      <c r="P316" s="4" t="s">
        <v>1203</v>
      </c>
      <c r="Q316" s="12" t="s">
        <v>158</v>
      </c>
      <c r="R316" s="5" t="n">
        <v>0</v>
      </c>
      <c r="S316" s="12" t="s">
        <v>159</v>
      </c>
      <c r="T316" s="4" t="s">
        <v>163</v>
      </c>
      <c r="U316" s="12" t="s">
        <v>158</v>
      </c>
      <c r="V316" s="5" t="n">
        <v>0</v>
      </c>
      <c r="W316" s="12" t="s">
        <v>159</v>
      </c>
      <c r="X316" s="12" t="n">
        <v>3</v>
      </c>
      <c r="Y316" s="4" t="s">
        <v>164</v>
      </c>
    </row>
    <row r="317" customFormat="false" ht="23.85" hidden="false" customHeight="false" outlineLevel="0" collapsed="false">
      <c r="A317" s="5" t="n">
        <v>43847</v>
      </c>
      <c r="B317" s="5" t="s">
        <v>83</v>
      </c>
      <c r="C317" s="5" t="s">
        <v>306</v>
      </c>
      <c r="D317" s="4" t="s">
        <v>34</v>
      </c>
      <c r="E317" s="4" t="s">
        <v>154</v>
      </c>
      <c r="F317" s="4" t="s">
        <v>166</v>
      </c>
      <c r="G317" s="4" t="s">
        <v>1204</v>
      </c>
      <c r="H317" s="4" t="s">
        <v>1205</v>
      </c>
      <c r="I317" s="12" t="s">
        <v>158</v>
      </c>
      <c r="J317" s="4"/>
      <c r="K317" s="5" t="s">
        <v>159</v>
      </c>
      <c r="L317" s="4" t="s">
        <v>784</v>
      </c>
      <c r="M317" s="12" t="s">
        <v>158</v>
      </c>
      <c r="N317" s="4" t="s">
        <v>1206</v>
      </c>
      <c r="O317" s="12" t="s">
        <v>158</v>
      </c>
      <c r="P317" s="4" t="s">
        <v>163</v>
      </c>
      <c r="Q317" s="12" t="s">
        <v>158</v>
      </c>
      <c r="R317" s="5" t="n">
        <v>0</v>
      </c>
      <c r="S317" s="12" t="s">
        <v>159</v>
      </c>
      <c r="T317" s="4" t="s">
        <v>163</v>
      </c>
      <c r="U317" s="12" t="s">
        <v>158</v>
      </c>
      <c r="V317" s="5" t="n">
        <v>0</v>
      </c>
      <c r="W317" s="12" t="s">
        <v>159</v>
      </c>
      <c r="X317" s="12" t="n">
        <v>3</v>
      </c>
      <c r="Y317" s="4" t="s">
        <v>164</v>
      </c>
    </row>
    <row r="318" customFormat="false" ht="23.85" hidden="false" customHeight="false" outlineLevel="0" collapsed="false">
      <c r="A318" s="5" t="n">
        <v>43848</v>
      </c>
      <c r="B318" s="5" t="s">
        <v>83</v>
      </c>
      <c r="C318" s="5" t="s">
        <v>1141</v>
      </c>
      <c r="D318" s="4" t="s">
        <v>34</v>
      </c>
      <c r="E318" s="4" t="s">
        <v>154</v>
      </c>
      <c r="F318" s="4" t="s">
        <v>383</v>
      </c>
      <c r="G318" s="4" t="s">
        <v>1207</v>
      </c>
      <c r="H318" s="4" t="s">
        <v>185</v>
      </c>
      <c r="I318" s="12" t="s">
        <v>158</v>
      </c>
      <c r="J318" s="4"/>
      <c r="K318" s="5" t="s">
        <v>159</v>
      </c>
      <c r="L318" s="4" t="s">
        <v>186</v>
      </c>
      <c r="M318" s="12" t="s">
        <v>158</v>
      </c>
      <c r="N318" s="4" t="s">
        <v>1208</v>
      </c>
      <c r="O318" s="12" t="s">
        <v>158</v>
      </c>
      <c r="P318" s="4" t="s">
        <v>1203</v>
      </c>
      <c r="Q318" s="12" t="s">
        <v>158</v>
      </c>
      <c r="R318" s="5" t="n">
        <v>0</v>
      </c>
      <c r="S318" s="12" t="s">
        <v>159</v>
      </c>
      <c r="T318" s="4" t="s">
        <v>163</v>
      </c>
      <c r="U318" s="12" t="s">
        <v>158</v>
      </c>
      <c r="V318" s="5" t="n">
        <v>0</v>
      </c>
      <c r="W318" s="12" t="s">
        <v>159</v>
      </c>
      <c r="X318" s="12" t="n">
        <v>3</v>
      </c>
      <c r="Y318" s="4" t="s">
        <v>164</v>
      </c>
    </row>
    <row r="319" customFormat="false" ht="23.85" hidden="false" customHeight="false" outlineLevel="0" collapsed="false">
      <c r="A319" s="5" t="n">
        <v>43850</v>
      </c>
      <c r="B319" s="5" t="s">
        <v>83</v>
      </c>
      <c r="C319" s="5" t="s">
        <v>1209</v>
      </c>
      <c r="D319" s="4" t="s">
        <v>34</v>
      </c>
      <c r="E319" s="4" t="s">
        <v>154</v>
      </c>
      <c r="F319" s="4" t="s">
        <v>166</v>
      </c>
      <c r="G319" s="4" t="s">
        <v>1210</v>
      </c>
      <c r="H319" s="4" t="s">
        <v>1211</v>
      </c>
      <c r="I319" s="12" t="s">
        <v>158</v>
      </c>
      <c r="J319" s="4"/>
      <c r="K319" s="5" t="s">
        <v>159</v>
      </c>
      <c r="L319" s="4" t="s">
        <v>1212</v>
      </c>
      <c r="M319" s="12" t="s">
        <v>158</v>
      </c>
      <c r="N319" s="4" t="s">
        <v>1211</v>
      </c>
      <c r="O319" s="12" t="s">
        <v>158</v>
      </c>
      <c r="P319" s="4" t="s">
        <v>1203</v>
      </c>
      <c r="Q319" s="12" t="s">
        <v>158</v>
      </c>
      <c r="R319" s="5" t="n">
        <v>0</v>
      </c>
      <c r="S319" s="12" t="s">
        <v>159</v>
      </c>
      <c r="T319" s="4" t="s">
        <v>163</v>
      </c>
      <c r="U319" s="12" t="s">
        <v>158</v>
      </c>
      <c r="V319" s="5" t="n">
        <v>0</v>
      </c>
      <c r="W319" s="12" t="s">
        <v>159</v>
      </c>
      <c r="X319" s="12" t="n">
        <v>3</v>
      </c>
      <c r="Y319" s="4" t="s">
        <v>164</v>
      </c>
    </row>
    <row r="320" customFormat="false" ht="23.85" hidden="false" customHeight="false" outlineLevel="0" collapsed="false">
      <c r="A320" s="5" t="n">
        <v>43853</v>
      </c>
      <c r="B320" s="5" t="s">
        <v>83</v>
      </c>
      <c r="C320" s="5" t="s">
        <v>744</v>
      </c>
      <c r="D320" s="4" t="s">
        <v>22</v>
      </c>
      <c r="E320" s="4" t="s">
        <v>176</v>
      </c>
      <c r="F320" s="4" t="s">
        <v>155</v>
      </c>
      <c r="G320" s="4" t="s">
        <v>1213</v>
      </c>
      <c r="H320" s="4" t="s">
        <v>1214</v>
      </c>
      <c r="I320" s="12" t="s">
        <v>158</v>
      </c>
      <c r="J320" s="4"/>
      <c r="K320" s="5" t="s">
        <v>159</v>
      </c>
      <c r="L320" s="4" t="s">
        <v>1215</v>
      </c>
      <c r="M320" s="12" t="s">
        <v>158</v>
      </c>
      <c r="N320" s="4" t="s">
        <v>1216</v>
      </c>
      <c r="O320" s="12" t="s">
        <v>158</v>
      </c>
      <c r="P320" s="4" t="s">
        <v>400</v>
      </c>
      <c r="Q320" s="12" t="s">
        <v>158</v>
      </c>
      <c r="R320" s="5" t="n">
        <v>0</v>
      </c>
      <c r="S320" s="12" t="s">
        <v>159</v>
      </c>
      <c r="T320" s="4" t="s">
        <v>188</v>
      </c>
      <c r="U320" s="12" t="s">
        <v>158</v>
      </c>
      <c r="V320" s="5" t="n">
        <v>0</v>
      </c>
      <c r="W320" s="12" t="s">
        <v>159</v>
      </c>
      <c r="X320" s="12" t="n">
        <v>3</v>
      </c>
      <c r="Y320" s="4" t="s">
        <v>164</v>
      </c>
    </row>
    <row r="321" customFormat="false" ht="23.85" hidden="false" customHeight="false" outlineLevel="0" collapsed="false">
      <c r="A321" s="5" t="n">
        <v>43856</v>
      </c>
      <c r="B321" s="5" t="s">
        <v>83</v>
      </c>
      <c r="C321" s="5" t="s">
        <v>582</v>
      </c>
      <c r="D321" s="4" t="s">
        <v>30</v>
      </c>
      <c r="E321" s="4" t="s">
        <v>171</v>
      </c>
      <c r="F321" s="4" t="s">
        <v>383</v>
      </c>
      <c r="G321" s="4" t="s">
        <v>344</v>
      </c>
      <c r="H321" s="4" t="s">
        <v>345</v>
      </c>
      <c r="I321" s="12" t="s">
        <v>158</v>
      </c>
      <c r="J321" s="4"/>
      <c r="K321" s="5" t="s">
        <v>159</v>
      </c>
      <c r="L321" s="4"/>
      <c r="M321" s="12" t="s">
        <v>159</v>
      </c>
      <c r="N321" s="4"/>
      <c r="O321" s="12" t="s">
        <v>159</v>
      </c>
      <c r="P321" s="4" t="s">
        <v>327</v>
      </c>
      <c r="Q321" s="12" t="s">
        <v>158</v>
      </c>
      <c r="R321" s="5" t="n">
        <v>0</v>
      </c>
      <c r="S321" s="12" t="s">
        <v>159</v>
      </c>
      <c r="T321" s="4" t="s">
        <v>234</v>
      </c>
      <c r="U321" s="12" t="s">
        <v>158</v>
      </c>
      <c r="V321" s="5" t="n">
        <v>0</v>
      </c>
      <c r="W321" s="12" t="s">
        <v>159</v>
      </c>
      <c r="X321" s="12" t="n">
        <v>5</v>
      </c>
      <c r="Y321" s="4" t="s">
        <v>235</v>
      </c>
    </row>
    <row r="322" customFormat="false" ht="23.85" hidden="false" customHeight="false" outlineLevel="0" collapsed="false">
      <c r="A322" s="5" t="n">
        <v>43857</v>
      </c>
      <c r="B322" s="5" t="s">
        <v>83</v>
      </c>
      <c r="C322" s="5" t="s">
        <v>1217</v>
      </c>
      <c r="D322" s="4" t="s">
        <v>28</v>
      </c>
      <c r="E322" s="4" t="s">
        <v>171</v>
      </c>
      <c r="F322" s="4" t="s">
        <v>383</v>
      </c>
      <c r="G322" s="4" t="s">
        <v>1218</v>
      </c>
      <c r="H322" s="4"/>
      <c r="I322" s="12" t="s">
        <v>159</v>
      </c>
      <c r="J322" s="4"/>
      <c r="K322" s="5" t="s">
        <v>159</v>
      </c>
      <c r="L322" s="4"/>
      <c r="M322" s="12" t="s">
        <v>159</v>
      </c>
      <c r="N322" s="4"/>
      <c r="O322" s="12" t="s">
        <v>159</v>
      </c>
      <c r="P322" s="4"/>
      <c r="Q322" s="12" t="s">
        <v>159</v>
      </c>
      <c r="R322" s="5" t="n">
        <v>0</v>
      </c>
      <c r="S322" s="12" t="s">
        <v>159</v>
      </c>
      <c r="T322" s="4"/>
      <c r="U322" s="12" t="s">
        <v>159</v>
      </c>
      <c r="V322" s="5" t="n">
        <v>0</v>
      </c>
      <c r="W322" s="12" t="s">
        <v>159</v>
      </c>
      <c r="X322" s="12" t="n">
        <v>8</v>
      </c>
      <c r="Y322" s="4" t="s">
        <v>285</v>
      </c>
    </row>
    <row r="323" customFormat="false" ht="23.85" hidden="false" customHeight="false" outlineLevel="0" collapsed="false">
      <c r="A323" s="5" t="n">
        <v>43858</v>
      </c>
      <c r="B323" s="5" t="s">
        <v>83</v>
      </c>
      <c r="C323" s="5" t="s">
        <v>1219</v>
      </c>
      <c r="D323" s="4" t="s">
        <v>28</v>
      </c>
      <c r="E323" s="4" t="s">
        <v>171</v>
      </c>
      <c r="F323" s="4" t="s">
        <v>383</v>
      </c>
      <c r="G323" s="4" t="s">
        <v>1220</v>
      </c>
      <c r="H323" s="4"/>
      <c r="I323" s="12" t="s">
        <v>159</v>
      </c>
      <c r="J323" s="4"/>
      <c r="K323" s="5" t="s">
        <v>159</v>
      </c>
      <c r="L323" s="4" t="s">
        <v>1131</v>
      </c>
      <c r="M323" s="12" t="s">
        <v>158</v>
      </c>
      <c r="N323" s="4"/>
      <c r="O323" s="12" t="s">
        <v>159</v>
      </c>
      <c r="P323" s="4"/>
      <c r="Q323" s="12" t="s">
        <v>159</v>
      </c>
      <c r="R323" s="5" t="n">
        <v>0</v>
      </c>
      <c r="S323" s="12" t="s">
        <v>159</v>
      </c>
      <c r="T323" s="4"/>
      <c r="U323" s="12" t="s">
        <v>159</v>
      </c>
      <c r="V323" s="5" t="n">
        <v>0</v>
      </c>
      <c r="W323" s="12" t="s">
        <v>159</v>
      </c>
      <c r="X323" s="12" t="n">
        <v>7</v>
      </c>
      <c r="Y323" s="4" t="s">
        <v>581</v>
      </c>
    </row>
    <row r="324" customFormat="false" ht="23.85" hidden="false" customHeight="false" outlineLevel="0" collapsed="false">
      <c r="A324" s="5" t="n">
        <v>43859</v>
      </c>
      <c r="B324" s="5" t="s">
        <v>83</v>
      </c>
      <c r="C324" s="5" t="s">
        <v>1221</v>
      </c>
      <c r="D324" s="4" t="s">
        <v>18</v>
      </c>
      <c r="E324" s="4" t="s">
        <v>154</v>
      </c>
      <c r="F324" s="4" t="s">
        <v>383</v>
      </c>
      <c r="G324" s="4" t="s">
        <v>1222</v>
      </c>
      <c r="H324" s="4" t="s">
        <v>1223</v>
      </c>
      <c r="I324" s="12" t="s">
        <v>158</v>
      </c>
      <c r="J324" s="4"/>
      <c r="K324" s="5" t="s">
        <v>159</v>
      </c>
      <c r="L324" s="4"/>
      <c r="M324" s="12" t="s">
        <v>159</v>
      </c>
      <c r="N324" s="4" t="s">
        <v>601</v>
      </c>
      <c r="O324" s="12" t="s">
        <v>158</v>
      </c>
      <c r="P324" s="4"/>
      <c r="Q324" s="12" t="s">
        <v>159</v>
      </c>
      <c r="R324" s="5" t="n">
        <v>0</v>
      </c>
      <c r="S324" s="12" t="s">
        <v>159</v>
      </c>
      <c r="T324" s="4"/>
      <c r="U324" s="12" t="s">
        <v>159</v>
      </c>
      <c r="V324" s="5" t="n">
        <v>0</v>
      </c>
      <c r="W324" s="12" t="s">
        <v>159</v>
      </c>
      <c r="X324" s="12" t="n">
        <v>6</v>
      </c>
      <c r="Y324" s="4" t="s">
        <v>597</v>
      </c>
    </row>
    <row r="325" customFormat="false" ht="23.85" hidden="false" customHeight="false" outlineLevel="0" collapsed="false">
      <c r="A325" s="5" t="n">
        <v>43860</v>
      </c>
      <c r="B325" s="5" t="s">
        <v>83</v>
      </c>
      <c r="C325" s="5" t="s">
        <v>1224</v>
      </c>
      <c r="D325" s="4" t="s">
        <v>18</v>
      </c>
      <c r="E325" s="4" t="s">
        <v>154</v>
      </c>
      <c r="F325" s="4" t="s">
        <v>155</v>
      </c>
      <c r="G325" s="4" t="s">
        <v>1225</v>
      </c>
      <c r="H325" s="4" t="s">
        <v>1226</v>
      </c>
      <c r="I325" s="12" t="s">
        <v>158</v>
      </c>
      <c r="J325" s="4"/>
      <c r="K325" s="5" t="s">
        <v>159</v>
      </c>
      <c r="L325" s="4"/>
      <c r="M325" s="12" t="s">
        <v>159</v>
      </c>
      <c r="N325" s="4" t="s">
        <v>1227</v>
      </c>
      <c r="O325" s="12" t="s">
        <v>158</v>
      </c>
      <c r="P325" s="4" t="s">
        <v>309</v>
      </c>
      <c r="Q325" s="12" t="s">
        <v>158</v>
      </c>
      <c r="R325" s="5" t="n">
        <v>0</v>
      </c>
      <c r="S325" s="12" t="s">
        <v>159</v>
      </c>
      <c r="T325" s="4"/>
      <c r="U325" s="12" t="s">
        <v>159</v>
      </c>
      <c r="V325" s="5" t="n">
        <v>0</v>
      </c>
      <c r="W325" s="12" t="s">
        <v>159</v>
      </c>
      <c r="X325" s="12" t="n">
        <v>5</v>
      </c>
      <c r="Y325" s="4" t="s">
        <v>240</v>
      </c>
    </row>
    <row r="326" customFormat="false" ht="23.85" hidden="false" customHeight="false" outlineLevel="0" collapsed="false">
      <c r="A326" s="5" t="n">
        <v>43869</v>
      </c>
      <c r="B326" s="5" t="s">
        <v>84</v>
      </c>
      <c r="C326" s="5" t="s">
        <v>1228</v>
      </c>
      <c r="D326" s="4" t="s">
        <v>24</v>
      </c>
      <c r="E326" s="4" t="s">
        <v>154</v>
      </c>
      <c r="F326" s="4" t="s">
        <v>383</v>
      </c>
      <c r="G326" s="4" t="s">
        <v>1229</v>
      </c>
      <c r="H326" s="4"/>
      <c r="I326" s="12" t="s">
        <v>159</v>
      </c>
      <c r="J326" s="4"/>
      <c r="K326" s="5" t="s">
        <v>159</v>
      </c>
      <c r="L326" s="4"/>
      <c r="M326" s="12" t="s">
        <v>159</v>
      </c>
      <c r="N326" s="4"/>
      <c r="O326" s="12" t="s">
        <v>159</v>
      </c>
      <c r="P326" s="4"/>
      <c r="Q326" s="12" t="s">
        <v>159</v>
      </c>
      <c r="R326" s="5" t="n">
        <v>0</v>
      </c>
      <c r="S326" s="12" t="s">
        <v>159</v>
      </c>
      <c r="T326" s="4"/>
      <c r="U326" s="12" t="s">
        <v>159</v>
      </c>
      <c r="V326" s="5" t="n">
        <v>0</v>
      </c>
      <c r="W326" s="12" t="s">
        <v>159</v>
      </c>
      <c r="X326" s="12" t="n">
        <v>8</v>
      </c>
      <c r="Y326" s="4" t="s">
        <v>285</v>
      </c>
    </row>
    <row r="327" customFormat="false" ht="23.85" hidden="false" customHeight="false" outlineLevel="0" collapsed="false">
      <c r="A327" s="5" t="n">
        <v>43870</v>
      </c>
      <c r="B327" s="5" t="s">
        <v>84</v>
      </c>
      <c r="C327" s="5" t="s">
        <v>1230</v>
      </c>
      <c r="D327" s="4" t="s">
        <v>24</v>
      </c>
      <c r="E327" s="4" t="s">
        <v>154</v>
      </c>
      <c r="F327" s="4" t="s">
        <v>383</v>
      </c>
      <c r="G327" s="4" t="s">
        <v>1231</v>
      </c>
      <c r="H327" s="4"/>
      <c r="I327" s="12" t="s">
        <v>159</v>
      </c>
      <c r="J327" s="4"/>
      <c r="K327" s="5" t="s">
        <v>159</v>
      </c>
      <c r="L327" s="4" t="s">
        <v>946</v>
      </c>
      <c r="M327" s="12" t="s">
        <v>158</v>
      </c>
      <c r="N327" s="4" t="s">
        <v>1231</v>
      </c>
      <c r="O327" s="12" t="s">
        <v>158</v>
      </c>
      <c r="P327" s="4" t="s">
        <v>371</v>
      </c>
      <c r="Q327" s="12" t="s">
        <v>158</v>
      </c>
      <c r="R327" s="5" t="n">
        <v>0</v>
      </c>
      <c r="S327" s="12" t="s">
        <v>159</v>
      </c>
      <c r="T327" s="4"/>
      <c r="U327" s="12" t="s">
        <v>159</v>
      </c>
      <c r="V327" s="5" t="n">
        <v>0</v>
      </c>
      <c r="W327" s="12" t="s">
        <v>159</v>
      </c>
      <c r="X327" s="12" t="n">
        <v>5</v>
      </c>
      <c r="Y327" s="4" t="s">
        <v>1232</v>
      </c>
    </row>
    <row r="328" customFormat="false" ht="23.85" hidden="false" customHeight="false" outlineLevel="0" collapsed="false">
      <c r="A328" s="5" t="n">
        <v>43871</v>
      </c>
      <c r="B328" s="5" t="s">
        <v>84</v>
      </c>
      <c r="C328" s="5" t="s">
        <v>1230</v>
      </c>
      <c r="D328" s="4" t="s">
        <v>24</v>
      </c>
      <c r="E328" s="4" t="s">
        <v>154</v>
      </c>
      <c r="F328" s="4" t="s">
        <v>383</v>
      </c>
      <c r="G328" s="4" t="s">
        <v>1233</v>
      </c>
      <c r="H328" s="4"/>
      <c r="I328" s="12" t="s">
        <v>159</v>
      </c>
      <c r="J328" s="4"/>
      <c r="K328" s="5" t="s">
        <v>159</v>
      </c>
      <c r="L328" s="4" t="s">
        <v>731</v>
      </c>
      <c r="M328" s="12" t="s">
        <v>158</v>
      </c>
      <c r="N328" s="4" t="s">
        <v>1234</v>
      </c>
      <c r="O328" s="12" t="s">
        <v>158</v>
      </c>
      <c r="P328" s="4" t="s">
        <v>192</v>
      </c>
      <c r="Q328" s="12" t="s">
        <v>158</v>
      </c>
      <c r="R328" s="5" t="n">
        <v>0</v>
      </c>
      <c r="S328" s="12" t="s">
        <v>159</v>
      </c>
      <c r="T328" s="4"/>
      <c r="U328" s="12" t="s">
        <v>159</v>
      </c>
      <c r="V328" s="5" t="n">
        <v>0</v>
      </c>
      <c r="W328" s="12" t="s">
        <v>159</v>
      </c>
      <c r="X328" s="12" t="n">
        <v>5</v>
      </c>
      <c r="Y328" s="4" t="s">
        <v>1232</v>
      </c>
    </row>
    <row r="329" customFormat="false" ht="23.85" hidden="false" customHeight="false" outlineLevel="0" collapsed="false">
      <c r="A329" s="5" t="n">
        <v>43872</v>
      </c>
      <c r="B329" s="5" t="s">
        <v>84</v>
      </c>
      <c r="C329" s="5" t="s">
        <v>1235</v>
      </c>
      <c r="D329" s="4" t="s">
        <v>24</v>
      </c>
      <c r="E329" s="4" t="s">
        <v>154</v>
      </c>
      <c r="F329" s="4" t="s">
        <v>383</v>
      </c>
      <c r="G329" s="4" t="s">
        <v>1236</v>
      </c>
      <c r="H329" s="4"/>
      <c r="I329" s="12" t="s">
        <v>159</v>
      </c>
      <c r="J329" s="4"/>
      <c r="K329" s="5" t="s">
        <v>159</v>
      </c>
      <c r="L329" s="4"/>
      <c r="M329" s="12" t="s">
        <v>159</v>
      </c>
      <c r="N329" s="4"/>
      <c r="O329" s="12" t="s">
        <v>159</v>
      </c>
      <c r="P329" s="4"/>
      <c r="Q329" s="12" t="s">
        <v>159</v>
      </c>
      <c r="R329" s="5" t="n">
        <v>0</v>
      </c>
      <c r="S329" s="12" t="s">
        <v>159</v>
      </c>
      <c r="T329" s="4"/>
      <c r="U329" s="12" t="s">
        <v>159</v>
      </c>
      <c r="V329" s="5" t="n">
        <v>0</v>
      </c>
      <c r="W329" s="12" t="s">
        <v>159</v>
      </c>
      <c r="X329" s="12" t="n">
        <v>8</v>
      </c>
      <c r="Y329" s="4" t="s">
        <v>285</v>
      </c>
    </row>
    <row r="330" customFormat="false" ht="23.85" hidden="false" customHeight="false" outlineLevel="0" collapsed="false">
      <c r="A330" s="5" t="n">
        <v>43877</v>
      </c>
      <c r="B330" s="5" t="s">
        <v>84</v>
      </c>
      <c r="C330" s="5" t="s">
        <v>874</v>
      </c>
      <c r="D330" s="4" t="s">
        <v>20</v>
      </c>
      <c r="E330" s="4" t="s">
        <v>154</v>
      </c>
      <c r="F330" s="4" t="s">
        <v>166</v>
      </c>
      <c r="G330" s="4" t="s">
        <v>1237</v>
      </c>
      <c r="H330" s="4"/>
      <c r="I330" s="12" t="s">
        <v>159</v>
      </c>
      <c r="J330" s="4"/>
      <c r="K330" s="5" t="s">
        <v>159</v>
      </c>
      <c r="L330" s="4"/>
      <c r="M330" s="12" t="s">
        <v>159</v>
      </c>
      <c r="N330" s="4"/>
      <c r="O330" s="12" t="s">
        <v>159</v>
      </c>
      <c r="P330" s="4"/>
      <c r="Q330" s="12" t="s">
        <v>159</v>
      </c>
      <c r="R330" s="5" t="n">
        <v>0</v>
      </c>
      <c r="S330" s="12" t="s">
        <v>159</v>
      </c>
      <c r="T330" s="4"/>
      <c r="U330" s="12" t="s">
        <v>159</v>
      </c>
      <c r="V330" s="5" t="n">
        <v>0</v>
      </c>
      <c r="W330" s="12" t="s">
        <v>159</v>
      </c>
      <c r="X330" s="12" t="n">
        <v>8</v>
      </c>
      <c r="Y330" s="4" t="s">
        <v>285</v>
      </c>
    </row>
    <row r="331" customFormat="false" ht="23.85" hidden="false" customHeight="false" outlineLevel="0" collapsed="false">
      <c r="A331" s="5" t="n">
        <v>43878</v>
      </c>
      <c r="B331" s="5" t="s">
        <v>84</v>
      </c>
      <c r="C331" s="5" t="s">
        <v>1025</v>
      </c>
      <c r="D331" s="4" t="s">
        <v>20</v>
      </c>
      <c r="E331" s="4" t="s">
        <v>154</v>
      </c>
      <c r="F331" s="4" t="s">
        <v>166</v>
      </c>
      <c r="G331" s="4" t="s">
        <v>1238</v>
      </c>
      <c r="H331" s="4"/>
      <c r="I331" s="12" t="s">
        <v>159</v>
      </c>
      <c r="J331" s="4"/>
      <c r="K331" s="5" t="s">
        <v>159</v>
      </c>
      <c r="L331" s="4"/>
      <c r="M331" s="12" t="s">
        <v>159</v>
      </c>
      <c r="N331" s="4"/>
      <c r="O331" s="12" t="s">
        <v>159</v>
      </c>
      <c r="P331" s="4"/>
      <c r="Q331" s="12" t="s">
        <v>159</v>
      </c>
      <c r="R331" s="5" t="n">
        <v>0</v>
      </c>
      <c r="S331" s="12" t="s">
        <v>159</v>
      </c>
      <c r="T331" s="4"/>
      <c r="U331" s="12" t="s">
        <v>159</v>
      </c>
      <c r="V331" s="5" t="n">
        <v>0</v>
      </c>
      <c r="W331" s="12" t="s">
        <v>159</v>
      </c>
      <c r="X331" s="12" t="n">
        <v>8</v>
      </c>
      <c r="Y331" s="4" t="s">
        <v>285</v>
      </c>
    </row>
    <row r="332" customFormat="false" ht="23.85" hidden="false" customHeight="false" outlineLevel="0" collapsed="false">
      <c r="A332" s="5" t="n">
        <v>43879</v>
      </c>
      <c r="B332" s="5" t="s">
        <v>84</v>
      </c>
      <c r="C332" s="5" t="s">
        <v>421</v>
      </c>
      <c r="D332" s="4" t="s">
        <v>30</v>
      </c>
      <c r="E332" s="4" t="s">
        <v>171</v>
      </c>
      <c r="F332" s="4" t="s">
        <v>383</v>
      </c>
      <c r="G332" s="4" t="s">
        <v>1239</v>
      </c>
      <c r="H332" s="4" t="s">
        <v>1240</v>
      </c>
      <c r="I332" s="12" t="s">
        <v>158</v>
      </c>
      <c r="J332" s="4"/>
      <c r="K332" s="5" t="s">
        <v>159</v>
      </c>
      <c r="L332" s="4"/>
      <c r="M332" s="12" t="s">
        <v>159</v>
      </c>
      <c r="N332" s="4"/>
      <c r="O332" s="12" t="s">
        <v>159</v>
      </c>
      <c r="P332" s="4" t="s">
        <v>163</v>
      </c>
      <c r="Q332" s="12" t="s">
        <v>158</v>
      </c>
      <c r="R332" s="5" t="n">
        <v>0</v>
      </c>
      <c r="S332" s="12" t="s">
        <v>159</v>
      </c>
      <c r="T332" s="4" t="s">
        <v>163</v>
      </c>
      <c r="U332" s="12" t="s">
        <v>158</v>
      </c>
      <c r="V332" s="5" t="n">
        <v>0</v>
      </c>
      <c r="W332" s="12" t="s">
        <v>159</v>
      </c>
      <c r="X332" s="12" t="n">
        <v>5</v>
      </c>
      <c r="Y332" s="4" t="s">
        <v>235</v>
      </c>
    </row>
    <row r="333" customFormat="false" ht="23.85" hidden="false" customHeight="false" outlineLevel="0" collapsed="false">
      <c r="A333" s="5" t="n">
        <v>43880</v>
      </c>
      <c r="B333" s="5" t="s">
        <v>84</v>
      </c>
      <c r="C333" s="5" t="s">
        <v>422</v>
      </c>
      <c r="D333" s="4" t="s">
        <v>30</v>
      </c>
      <c r="E333" s="4" t="s">
        <v>171</v>
      </c>
      <c r="F333" s="4" t="s">
        <v>383</v>
      </c>
      <c r="G333" s="4" t="s">
        <v>1241</v>
      </c>
      <c r="H333" s="4" t="s">
        <v>1242</v>
      </c>
      <c r="I333" s="12" t="s">
        <v>158</v>
      </c>
      <c r="J333" s="4"/>
      <c r="K333" s="5" t="s">
        <v>159</v>
      </c>
      <c r="L333" s="4"/>
      <c r="M333" s="12" t="s">
        <v>159</v>
      </c>
      <c r="N333" s="4"/>
      <c r="O333" s="12" t="s">
        <v>159</v>
      </c>
      <c r="P333" s="4" t="s">
        <v>163</v>
      </c>
      <c r="Q333" s="12" t="s">
        <v>158</v>
      </c>
      <c r="R333" s="5" t="n">
        <v>0</v>
      </c>
      <c r="S333" s="12" t="s">
        <v>159</v>
      </c>
      <c r="T333" s="4" t="s">
        <v>163</v>
      </c>
      <c r="U333" s="12" t="s">
        <v>158</v>
      </c>
      <c r="V333" s="5" t="n">
        <v>0</v>
      </c>
      <c r="W333" s="12" t="s">
        <v>159</v>
      </c>
      <c r="X333" s="12" t="n">
        <v>5</v>
      </c>
      <c r="Y333" s="4" t="s">
        <v>235</v>
      </c>
    </row>
    <row r="334" customFormat="false" ht="23.85" hidden="false" customHeight="false" outlineLevel="0" collapsed="false">
      <c r="A334" s="5" t="n">
        <v>43881</v>
      </c>
      <c r="B334" s="5" t="s">
        <v>84</v>
      </c>
      <c r="C334" s="5" t="s">
        <v>1243</v>
      </c>
      <c r="D334" s="4" t="s">
        <v>30</v>
      </c>
      <c r="E334" s="4" t="s">
        <v>171</v>
      </c>
      <c r="F334" s="4" t="s">
        <v>383</v>
      </c>
      <c r="G334" s="4" t="s">
        <v>480</v>
      </c>
      <c r="H334" s="4" t="s">
        <v>481</v>
      </c>
      <c r="I334" s="12" t="s">
        <v>158</v>
      </c>
      <c r="J334" s="4"/>
      <c r="K334" s="5" t="s">
        <v>159</v>
      </c>
      <c r="L334" s="4"/>
      <c r="M334" s="12" t="s">
        <v>159</v>
      </c>
      <c r="N334" s="4"/>
      <c r="O334" s="12" t="s">
        <v>159</v>
      </c>
      <c r="P334" s="4" t="s">
        <v>163</v>
      </c>
      <c r="Q334" s="12" t="s">
        <v>158</v>
      </c>
      <c r="R334" s="5" t="n">
        <v>0</v>
      </c>
      <c r="S334" s="12" t="s">
        <v>159</v>
      </c>
      <c r="T334" s="4" t="s">
        <v>163</v>
      </c>
      <c r="U334" s="12" t="s">
        <v>158</v>
      </c>
      <c r="V334" s="5" t="n">
        <v>0</v>
      </c>
      <c r="W334" s="12" t="s">
        <v>159</v>
      </c>
      <c r="X334" s="12" t="n">
        <v>5</v>
      </c>
      <c r="Y334" s="4" t="s">
        <v>235</v>
      </c>
    </row>
    <row r="335" customFormat="false" ht="23.85" hidden="false" customHeight="false" outlineLevel="0" collapsed="false">
      <c r="A335" s="5" t="n">
        <v>43882</v>
      </c>
      <c r="B335" s="5" t="s">
        <v>84</v>
      </c>
      <c r="C335" s="5" t="s">
        <v>558</v>
      </c>
      <c r="D335" s="4" t="s">
        <v>30</v>
      </c>
      <c r="E335" s="4" t="s">
        <v>171</v>
      </c>
      <c r="F335" s="4" t="s">
        <v>383</v>
      </c>
      <c r="G335" s="4" t="s">
        <v>1244</v>
      </c>
      <c r="H335" s="4" t="s">
        <v>1245</v>
      </c>
      <c r="I335" s="12" t="s">
        <v>158</v>
      </c>
      <c r="J335" s="4"/>
      <c r="K335" s="5" t="s">
        <v>159</v>
      </c>
      <c r="L335" s="4"/>
      <c r="M335" s="12" t="s">
        <v>159</v>
      </c>
      <c r="N335" s="4"/>
      <c r="O335" s="12" t="s">
        <v>159</v>
      </c>
      <c r="P335" s="4" t="s">
        <v>163</v>
      </c>
      <c r="Q335" s="12" t="s">
        <v>158</v>
      </c>
      <c r="R335" s="5" t="n">
        <v>0</v>
      </c>
      <c r="S335" s="12" t="s">
        <v>159</v>
      </c>
      <c r="T335" s="4" t="s">
        <v>163</v>
      </c>
      <c r="U335" s="12" t="s">
        <v>158</v>
      </c>
      <c r="V335" s="5" t="n">
        <v>0</v>
      </c>
      <c r="W335" s="12" t="s">
        <v>159</v>
      </c>
      <c r="X335" s="12" t="n">
        <v>5</v>
      </c>
      <c r="Y335" s="4" t="s">
        <v>235</v>
      </c>
    </row>
    <row r="336" customFormat="false" ht="23.85" hidden="false" customHeight="false" outlineLevel="0" collapsed="false">
      <c r="A336" s="5" t="n">
        <v>43883</v>
      </c>
      <c r="B336" s="5" t="s">
        <v>84</v>
      </c>
      <c r="C336" s="5" t="s">
        <v>1246</v>
      </c>
      <c r="D336" s="4" t="s">
        <v>18</v>
      </c>
      <c r="E336" s="4" t="s">
        <v>154</v>
      </c>
      <c r="F336" s="4" t="s">
        <v>383</v>
      </c>
      <c r="G336" s="4" t="s">
        <v>1247</v>
      </c>
      <c r="H336" s="4" t="s">
        <v>1248</v>
      </c>
      <c r="I336" s="12" t="s">
        <v>158</v>
      </c>
      <c r="J336" s="4"/>
      <c r="K336" s="5" t="s">
        <v>159</v>
      </c>
      <c r="L336" s="4" t="s">
        <v>1249</v>
      </c>
      <c r="M336" s="12" t="s">
        <v>158</v>
      </c>
      <c r="N336" s="4"/>
      <c r="O336" s="12" t="s">
        <v>159</v>
      </c>
      <c r="P336" s="4" t="s">
        <v>394</v>
      </c>
      <c r="Q336" s="12" t="s">
        <v>158</v>
      </c>
      <c r="R336" s="5" t="n">
        <v>0</v>
      </c>
      <c r="S336" s="12" t="s">
        <v>159</v>
      </c>
      <c r="T336" s="4"/>
      <c r="U336" s="12" t="s">
        <v>159</v>
      </c>
      <c r="V336" s="5" t="n">
        <v>0</v>
      </c>
      <c r="W336" s="12" t="s">
        <v>159</v>
      </c>
      <c r="X336" s="12" t="n">
        <v>5</v>
      </c>
      <c r="Y336" s="4" t="s">
        <v>310</v>
      </c>
    </row>
    <row r="337" customFormat="false" ht="23.85" hidden="false" customHeight="false" outlineLevel="0" collapsed="false">
      <c r="A337" s="5" t="n">
        <v>43884</v>
      </c>
      <c r="B337" s="5" t="s">
        <v>84</v>
      </c>
      <c r="C337" s="5" t="s">
        <v>1250</v>
      </c>
      <c r="D337" s="4" t="s">
        <v>18</v>
      </c>
      <c r="E337" s="4" t="s">
        <v>154</v>
      </c>
      <c r="F337" s="4" t="s">
        <v>383</v>
      </c>
      <c r="G337" s="4" t="s">
        <v>1251</v>
      </c>
      <c r="H337" s="4" t="s">
        <v>1252</v>
      </c>
      <c r="I337" s="12" t="s">
        <v>158</v>
      </c>
      <c r="J337" s="4"/>
      <c r="K337" s="5" t="s">
        <v>159</v>
      </c>
      <c r="L337" s="4"/>
      <c r="M337" s="12" t="s">
        <v>159</v>
      </c>
      <c r="N337" s="4" t="s">
        <v>1253</v>
      </c>
      <c r="O337" s="12" t="s">
        <v>158</v>
      </c>
      <c r="P337" s="4" t="s">
        <v>834</v>
      </c>
      <c r="Q337" s="12" t="s">
        <v>158</v>
      </c>
      <c r="R337" s="5" t="n">
        <v>0</v>
      </c>
      <c r="S337" s="12" t="s">
        <v>159</v>
      </c>
      <c r="T337" s="4"/>
      <c r="U337" s="12" t="s">
        <v>159</v>
      </c>
      <c r="V337" s="5" t="n">
        <v>0</v>
      </c>
      <c r="W337" s="12" t="s">
        <v>159</v>
      </c>
      <c r="X337" s="12" t="n">
        <v>5</v>
      </c>
      <c r="Y337" s="4" t="s">
        <v>240</v>
      </c>
    </row>
    <row r="338" customFormat="false" ht="23.85" hidden="false" customHeight="false" outlineLevel="0" collapsed="false">
      <c r="A338" s="5" t="n">
        <v>43885</v>
      </c>
      <c r="B338" s="5" t="s">
        <v>84</v>
      </c>
      <c r="C338" s="5" t="s">
        <v>256</v>
      </c>
      <c r="D338" s="4" t="s">
        <v>18</v>
      </c>
      <c r="E338" s="4" t="s">
        <v>154</v>
      </c>
      <c r="F338" s="4" t="s">
        <v>166</v>
      </c>
      <c r="G338" s="4" t="s">
        <v>1254</v>
      </c>
      <c r="H338" s="4" t="s">
        <v>1255</v>
      </c>
      <c r="I338" s="12" t="s">
        <v>158</v>
      </c>
      <c r="J338" s="4"/>
      <c r="K338" s="5" t="s">
        <v>159</v>
      </c>
      <c r="L338" s="4"/>
      <c r="M338" s="12" t="s">
        <v>159</v>
      </c>
      <c r="N338" s="4"/>
      <c r="O338" s="12" t="s">
        <v>159</v>
      </c>
      <c r="P338" s="4" t="s">
        <v>1256</v>
      </c>
      <c r="Q338" s="12" t="s">
        <v>158</v>
      </c>
      <c r="R338" s="5" t="n">
        <v>0</v>
      </c>
      <c r="S338" s="12" t="s">
        <v>159</v>
      </c>
      <c r="T338" s="4"/>
      <c r="U338" s="12" t="s">
        <v>159</v>
      </c>
      <c r="V338" s="5" t="n">
        <v>0</v>
      </c>
      <c r="W338" s="12" t="s">
        <v>159</v>
      </c>
      <c r="X338" s="12" t="n">
        <v>6</v>
      </c>
      <c r="Y338" s="4" t="s">
        <v>267</v>
      </c>
    </row>
    <row r="339" customFormat="false" ht="23.85" hidden="false" customHeight="false" outlineLevel="0" collapsed="false">
      <c r="A339" s="5" t="n">
        <v>43886</v>
      </c>
      <c r="B339" s="5" t="s">
        <v>85</v>
      </c>
      <c r="C339" s="5" t="s">
        <v>1257</v>
      </c>
      <c r="D339" s="4" t="s">
        <v>24</v>
      </c>
      <c r="E339" s="4" t="s">
        <v>154</v>
      </c>
      <c r="F339" s="4" t="s">
        <v>383</v>
      </c>
      <c r="G339" s="4" t="s">
        <v>1258</v>
      </c>
      <c r="H339" s="4"/>
      <c r="I339" s="12" t="s">
        <v>159</v>
      </c>
      <c r="J339" s="4"/>
      <c r="K339" s="5" t="s">
        <v>159</v>
      </c>
      <c r="L339" s="4" t="s">
        <v>1259</v>
      </c>
      <c r="M339" s="12" t="s">
        <v>158</v>
      </c>
      <c r="N339" s="4" t="s">
        <v>1258</v>
      </c>
      <c r="O339" s="12" t="s">
        <v>158</v>
      </c>
      <c r="P339" s="4" t="s">
        <v>1123</v>
      </c>
      <c r="Q339" s="12" t="s">
        <v>158</v>
      </c>
      <c r="R339" s="5" t="n">
        <v>0</v>
      </c>
      <c r="S339" s="12" t="s">
        <v>159</v>
      </c>
      <c r="T339" s="4"/>
      <c r="U339" s="12" t="s">
        <v>159</v>
      </c>
      <c r="V339" s="5" t="n">
        <v>0</v>
      </c>
      <c r="W339" s="12" t="s">
        <v>159</v>
      </c>
      <c r="X339" s="12" t="n">
        <v>5</v>
      </c>
      <c r="Y339" s="4" t="s">
        <v>1232</v>
      </c>
    </row>
    <row r="340" customFormat="false" ht="23.85" hidden="false" customHeight="false" outlineLevel="0" collapsed="false">
      <c r="A340" s="5" t="n">
        <v>43888</v>
      </c>
      <c r="B340" s="5" t="s">
        <v>85</v>
      </c>
      <c r="C340" s="5" t="s">
        <v>225</v>
      </c>
      <c r="D340" s="4" t="s">
        <v>20</v>
      </c>
      <c r="E340" s="4" t="s">
        <v>154</v>
      </c>
      <c r="F340" s="4" t="s">
        <v>155</v>
      </c>
      <c r="G340" s="4" t="s">
        <v>1260</v>
      </c>
      <c r="H340" s="4"/>
      <c r="I340" s="12" t="s">
        <v>159</v>
      </c>
      <c r="J340" s="4"/>
      <c r="K340" s="5" t="s">
        <v>159</v>
      </c>
      <c r="L340" s="4"/>
      <c r="M340" s="12" t="s">
        <v>159</v>
      </c>
      <c r="N340" s="4"/>
      <c r="O340" s="12" t="s">
        <v>159</v>
      </c>
      <c r="P340" s="4"/>
      <c r="Q340" s="12" t="s">
        <v>159</v>
      </c>
      <c r="R340" s="5" t="n">
        <v>0</v>
      </c>
      <c r="S340" s="12" t="s">
        <v>159</v>
      </c>
      <c r="T340" s="4"/>
      <c r="U340" s="12" t="s">
        <v>159</v>
      </c>
      <c r="V340" s="5" t="n">
        <v>0</v>
      </c>
      <c r="W340" s="12" t="s">
        <v>159</v>
      </c>
      <c r="X340" s="12" t="n">
        <v>8</v>
      </c>
      <c r="Y340" s="4" t="s">
        <v>285</v>
      </c>
    </row>
    <row r="341" customFormat="false" ht="23.85" hidden="false" customHeight="false" outlineLevel="0" collapsed="false">
      <c r="A341" s="5" t="n">
        <v>43892</v>
      </c>
      <c r="B341" s="5" t="s">
        <v>85</v>
      </c>
      <c r="C341" s="5" t="s">
        <v>1261</v>
      </c>
      <c r="D341" s="4" t="s">
        <v>30</v>
      </c>
      <c r="E341" s="4" t="s">
        <v>171</v>
      </c>
      <c r="F341" s="4" t="s">
        <v>383</v>
      </c>
      <c r="G341" s="4" t="s">
        <v>213</v>
      </c>
      <c r="H341" s="4" t="s">
        <v>214</v>
      </c>
      <c r="I341" s="12" t="s">
        <v>158</v>
      </c>
      <c r="J341" s="4"/>
      <c r="K341" s="5" t="s">
        <v>159</v>
      </c>
      <c r="L341" s="4"/>
      <c r="M341" s="12" t="s">
        <v>159</v>
      </c>
      <c r="N341" s="4"/>
      <c r="O341" s="12" t="s">
        <v>159</v>
      </c>
      <c r="P341" s="4" t="s">
        <v>163</v>
      </c>
      <c r="Q341" s="12" t="s">
        <v>158</v>
      </c>
      <c r="R341" s="5" t="n">
        <v>0</v>
      </c>
      <c r="S341" s="12" t="s">
        <v>159</v>
      </c>
      <c r="T341" s="4" t="s">
        <v>163</v>
      </c>
      <c r="U341" s="12" t="s">
        <v>158</v>
      </c>
      <c r="V341" s="5" t="n">
        <v>0</v>
      </c>
      <c r="W341" s="12" t="s">
        <v>159</v>
      </c>
      <c r="X341" s="12" t="n">
        <v>5</v>
      </c>
      <c r="Y341" s="4" t="s">
        <v>235</v>
      </c>
    </row>
    <row r="342" customFormat="false" ht="23.85" hidden="false" customHeight="false" outlineLevel="0" collapsed="false">
      <c r="A342" s="5" t="n">
        <v>43893</v>
      </c>
      <c r="B342" s="5" t="s">
        <v>85</v>
      </c>
      <c r="C342" s="5" t="s">
        <v>1262</v>
      </c>
      <c r="D342" s="4" t="s">
        <v>30</v>
      </c>
      <c r="E342" s="4" t="s">
        <v>171</v>
      </c>
      <c r="F342" s="4" t="s">
        <v>383</v>
      </c>
      <c r="G342" s="4" t="s">
        <v>1263</v>
      </c>
      <c r="H342" s="4" t="s">
        <v>1264</v>
      </c>
      <c r="I342" s="12" t="s">
        <v>158</v>
      </c>
      <c r="J342" s="4"/>
      <c r="K342" s="5" t="s">
        <v>159</v>
      </c>
      <c r="L342" s="4"/>
      <c r="M342" s="12" t="s">
        <v>159</v>
      </c>
      <c r="N342" s="4"/>
      <c r="O342" s="12" t="s">
        <v>159</v>
      </c>
      <c r="P342" s="4" t="s">
        <v>163</v>
      </c>
      <c r="Q342" s="12" t="s">
        <v>158</v>
      </c>
      <c r="R342" s="5" t="n">
        <v>0</v>
      </c>
      <c r="S342" s="12" t="s">
        <v>159</v>
      </c>
      <c r="T342" s="4" t="s">
        <v>163</v>
      </c>
      <c r="U342" s="12" t="s">
        <v>158</v>
      </c>
      <c r="V342" s="5" t="n">
        <v>0</v>
      </c>
      <c r="W342" s="12" t="s">
        <v>159</v>
      </c>
      <c r="X342" s="12" t="n">
        <v>5</v>
      </c>
      <c r="Y342" s="4" t="s">
        <v>235</v>
      </c>
    </row>
    <row r="343" customFormat="false" ht="23.85" hidden="false" customHeight="false" outlineLevel="0" collapsed="false">
      <c r="A343" s="5" t="n">
        <v>43894</v>
      </c>
      <c r="B343" s="5" t="s">
        <v>85</v>
      </c>
      <c r="C343" s="5" t="s">
        <v>1265</v>
      </c>
      <c r="D343" s="4" t="s">
        <v>30</v>
      </c>
      <c r="E343" s="4" t="s">
        <v>171</v>
      </c>
      <c r="F343" s="4" t="s">
        <v>383</v>
      </c>
      <c r="G343" s="4" t="s">
        <v>1266</v>
      </c>
      <c r="H343" s="4" t="s">
        <v>1267</v>
      </c>
      <c r="I343" s="12" t="s">
        <v>158</v>
      </c>
      <c r="J343" s="4"/>
      <c r="K343" s="5" t="s">
        <v>159</v>
      </c>
      <c r="L343" s="4"/>
      <c r="M343" s="12" t="s">
        <v>159</v>
      </c>
      <c r="N343" s="4"/>
      <c r="O343" s="12" t="s">
        <v>159</v>
      </c>
      <c r="P343" s="4" t="s">
        <v>163</v>
      </c>
      <c r="Q343" s="12" t="s">
        <v>158</v>
      </c>
      <c r="R343" s="5" t="n">
        <v>0</v>
      </c>
      <c r="S343" s="12" t="s">
        <v>159</v>
      </c>
      <c r="T343" s="4" t="s">
        <v>163</v>
      </c>
      <c r="U343" s="12" t="s">
        <v>158</v>
      </c>
      <c r="V343" s="5" t="n">
        <v>0</v>
      </c>
      <c r="W343" s="12" t="s">
        <v>159</v>
      </c>
      <c r="X343" s="12" t="n">
        <v>5</v>
      </c>
      <c r="Y343" s="4" t="s">
        <v>235</v>
      </c>
    </row>
    <row r="344" customFormat="false" ht="23.85" hidden="false" customHeight="false" outlineLevel="0" collapsed="false">
      <c r="A344" s="5" t="n">
        <v>43895</v>
      </c>
      <c r="B344" s="5" t="s">
        <v>85</v>
      </c>
      <c r="C344" s="5" t="s">
        <v>576</v>
      </c>
      <c r="D344" s="4" t="s">
        <v>30</v>
      </c>
      <c r="E344" s="4" t="s">
        <v>171</v>
      </c>
      <c r="F344" s="4" t="s">
        <v>383</v>
      </c>
      <c r="G344" s="4" t="s">
        <v>1268</v>
      </c>
      <c r="H344" s="4" t="s">
        <v>1269</v>
      </c>
      <c r="I344" s="12" t="s">
        <v>158</v>
      </c>
      <c r="J344" s="4"/>
      <c r="K344" s="5" t="s">
        <v>159</v>
      </c>
      <c r="L344" s="4"/>
      <c r="M344" s="12" t="s">
        <v>159</v>
      </c>
      <c r="N344" s="4"/>
      <c r="O344" s="12" t="s">
        <v>159</v>
      </c>
      <c r="P344" s="4" t="s">
        <v>327</v>
      </c>
      <c r="Q344" s="12" t="s">
        <v>158</v>
      </c>
      <c r="R344" s="5" t="n">
        <v>0</v>
      </c>
      <c r="S344" s="12" t="s">
        <v>159</v>
      </c>
      <c r="T344" s="4" t="s">
        <v>188</v>
      </c>
      <c r="U344" s="12" t="s">
        <v>158</v>
      </c>
      <c r="V344" s="5" t="n">
        <v>0</v>
      </c>
      <c r="W344" s="12" t="s">
        <v>159</v>
      </c>
      <c r="X344" s="12" t="n">
        <v>5</v>
      </c>
      <c r="Y344" s="4" t="s">
        <v>235</v>
      </c>
    </row>
    <row r="345" customFormat="false" ht="23.85" hidden="false" customHeight="false" outlineLevel="0" collapsed="false">
      <c r="A345" s="5" t="n">
        <v>43896</v>
      </c>
      <c r="B345" s="5" t="s">
        <v>85</v>
      </c>
      <c r="C345" s="5" t="s">
        <v>1270</v>
      </c>
      <c r="D345" s="4" t="s">
        <v>30</v>
      </c>
      <c r="E345" s="4" t="s">
        <v>171</v>
      </c>
      <c r="F345" s="4" t="s">
        <v>383</v>
      </c>
      <c r="G345" s="4" t="s">
        <v>480</v>
      </c>
      <c r="H345" s="4" t="s">
        <v>481</v>
      </c>
      <c r="I345" s="12" t="s">
        <v>158</v>
      </c>
      <c r="J345" s="4"/>
      <c r="K345" s="5" t="s">
        <v>159</v>
      </c>
      <c r="L345" s="4"/>
      <c r="M345" s="12" t="s">
        <v>159</v>
      </c>
      <c r="N345" s="4"/>
      <c r="O345" s="12" t="s">
        <v>159</v>
      </c>
      <c r="P345" s="4" t="s">
        <v>327</v>
      </c>
      <c r="Q345" s="12" t="s">
        <v>158</v>
      </c>
      <c r="R345" s="5" t="n">
        <v>0</v>
      </c>
      <c r="S345" s="12" t="s">
        <v>159</v>
      </c>
      <c r="T345" s="4" t="s">
        <v>188</v>
      </c>
      <c r="U345" s="12" t="s">
        <v>158</v>
      </c>
      <c r="V345" s="5" t="n">
        <v>0</v>
      </c>
      <c r="W345" s="12" t="s">
        <v>159</v>
      </c>
      <c r="X345" s="12" t="n">
        <v>5</v>
      </c>
      <c r="Y345" s="4" t="s">
        <v>235</v>
      </c>
    </row>
    <row r="346" customFormat="false" ht="23.85" hidden="false" customHeight="false" outlineLevel="0" collapsed="false">
      <c r="A346" s="5" t="n">
        <v>43897</v>
      </c>
      <c r="B346" s="5" t="s">
        <v>85</v>
      </c>
      <c r="C346" s="5" t="s">
        <v>578</v>
      </c>
      <c r="D346" s="4" t="s">
        <v>30</v>
      </c>
      <c r="E346" s="4" t="s">
        <v>171</v>
      </c>
      <c r="F346" s="4" t="s">
        <v>383</v>
      </c>
      <c r="G346" s="4" t="s">
        <v>1271</v>
      </c>
      <c r="H346" s="4" t="s">
        <v>1272</v>
      </c>
      <c r="I346" s="12" t="s">
        <v>158</v>
      </c>
      <c r="J346" s="4"/>
      <c r="K346" s="5" t="s">
        <v>159</v>
      </c>
      <c r="L346" s="4"/>
      <c r="M346" s="12" t="s">
        <v>159</v>
      </c>
      <c r="N346" s="4"/>
      <c r="O346" s="12" t="s">
        <v>159</v>
      </c>
      <c r="P346" s="4" t="s">
        <v>163</v>
      </c>
      <c r="Q346" s="12" t="s">
        <v>158</v>
      </c>
      <c r="R346" s="5" t="n">
        <v>0</v>
      </c>
      <c r="S346" s="12" t="s">
        <v>159</v>
      </c>
      <c r="T346" s="4" t="s">
        <v>163</v>
      </c>
      <c r="U346" s="12" t="s">
        <v>158</v>
      </c>
      <c r="V346" s="5" t="n">
        <v>0</v>
      </c>
      <c r="W346" s="12" t="s">
        <v>159</v>
      </c>
      <c r="X346" s="12" t="n">
        <v>5</v>
      </c>
      <c r="Y346" s="4" t="s">
        <v>235</v>
      </c>
    </row>
    <row r="347" customFormat="false" ht="23.85" hidden="false" customHeight="false" outlineLevel="0" collapsed="false">
      <c r="A347" s="5" t="n">
        <v>43898</v>
      </c>
      <c r="B347" s="5" t="s">
        <v>85</v>
      </c>
      <c r="C347" s="5" t="s">
        <v>1273</v>
      </c>
      <c r="D347" s="4" t="s">
        <v>32</v>
      </c>
      <c r="E347" s="4" t="s">
        <v>171</v>
      </c>
      <c r="F347" s="4" t="s">
        <v>166</v>
      </c>
      <c r="G347" s="4" t="s">
        <v>1274</v>
      </c>
      <c r="H347" s="4" t="s">
        <v>1275</v>
      </c>
      <c r="I347" s="12" t="s">
        <v>158</v>
      </c>
      <c r="J347" s="4"/>
      <c r="K347" s="5" t="s">
        <v>159</v>
      </c>
      <c r="L347" s="4"/>
      <c r="M347" s="12" t="s">
        <v>159</v>
      </c>
      <c r="N347" s="4"/>
      <c r="O347" s="12" t="s">
        <v>159</v>
      </c>
      <c r="P347" s="4"/>
      <c r="Q347" s="12" t="s">
        <v>159</v>
      </c>
      <c r="R347" s="5" t="n">
        <v>0</v>
      </c>
      <c r="S347" s="12" t="s">
        <v>159</v>
      </c>
      <c r="T347" s="4"/>
      <c r="U347" s="12" t="s">
        <v>159</v>
      </c>
      <c r="V347" s="5" t="n">
        <v>0</v>
      </c>
      <c r="W347" s="12" t="s">
        <v>159</v>
      </c>
      <c r="X347" s="12" t="n">
        <v>7</v>
      </c>
      <c r="Y347" s="4" t="s">
        <v>174</v>
      </c>
    </row>
    <row r="348" customFormat="false" ht="15" hidden="false" customHeight="false" outlineLevel="0" collapsed="false">
      <c r="A348" s="5" t="n">
        <v>43899</v>
      </c>
      <c r="B348" s="5" t="s">
        <v>85</v>
      </c>
      <c r="C348" s="5" t="s">
        <v>1276</v>
      </c>
      <c r="D348" s="4" t="s">
        <v>32</v>
      </c>
      <c r="E348" s="4" t="s">
        <v>171</v>
      </c>
      <c r="F348" s="4" t="s">
        <v>166</v>
      </c>
      <c r="G348" s="4" t="s">
        <v>1277</v>
      </c>
      <c r="H348" s="4" t="s">
        <v>1278</v>
      </c>
      <c r="I348" s="12" t="s">
        <v>158</v>
      </c>
      <c r="J348" s="4" t="s">
        <v>1279</v>
      </c>
      <c r="K348" s="5" t="s">
        <v>158</v>
      </c>
      <c r="L348" s="4" t="s">
        <v>406</v>
      </c>
      <c r="M348" s="12" t="s">
        <v>158</v>
      </c>
      <c r="N348" s="4" t="s">
        <v>1280</v>
      </c>
      <c r="O348" s="12" t="s">
        <v>158</v>
      </c>
      <c r="P348" s="4" t="s">
        <v>192</v>
      </c>
      <c r="Q348" s="12" t="s">
        <v>158</v>
      </c>
      <c r="R348" s="5" t="n">
        <v>0</v>
      </c>
      <c r="S348" s="12" t="s">
        <v>159</v>
      </c>
      <c r="T348" s="4"/>
      <c r="U348" s="12" t="s">
        <v>159</v>
      </c>
      <c r="V348" s="5" t="n">
        <v>0</v>
      </c>
      <c r="W348" s="12" t="s">
        <v>159</v>
      </c>
      <c r="X348" s="12" t="n">
        <v>3</v>
      </c>
      <c r="Y348" s="4" t="s">
        <v>264</v>
      </c>
    </row>
    <row r="349" customFormat="false" ht="23.85" hidden="false" customHeight="false" outlineLevel="0" collapsed="false">
      <c r="A349" s="5" t="n">
        <v>43900</v>
      </c>
      <c r="B349" s="5" t="s">
        <v>85</v>
      </c>
      <c r="C349" s="5" t="s">
        <v>1281</v>
      </c>
      <c r="D349" s="4" t="s">
        <v>32</v>
      </c>
      <c r="E349" s="4" t="s">
        <v>171</v>
      </c>
      <c r="F349" s="4" t="s">
        <v>166</v>
      </c>
      <c r="G349" s="4" t="s">
        <v>1282</v>
      </c>
      <c r="H349" s="4" t="s">
        <v>1283</v>
      </c>
      <c r="I349" s="12" t="s">
        <v>158</v>
      </c>
      <c r="J349" s="4"/>
      <c r="K349" s="5" t="s">
        <v>159</v>
      </c>
      <c r="L349" s="4"/>
      <c r="M349" s="12" t="s">
        <v>159</v>
      </c>
      <c r="N349" s="4"/>
      <c r="O349" s="12" t="s">
        <v>159</v>
      </c>
      <c r="P349" s="4"/>
      <c r="Q349" s="12" t="s">
        <v>159</v>
      </c>
      <c r="R349" s="5" t="n">
        <v>0</v>
      </c>
      <c r="S349" s="12" t="s">
        <v>159</v>
      </c>
      <c r="T349" s="4" t="s">
        <v>1284</v>
      </c>
      <c r="U349" s="12" t="s">
        <v>158</v>
      </c>
      <c r="V349" s="5" t="n">
        <v>0</v>
      </c>
      <c r="W349" s="12" t="s">
        <v>159</v>
      </c>
      <c r="X349" s="12" t="n">
        <v>6</v>
      </c>
      <c r="Y349" s="4" t="s">
        <v>1285</v>
      </c>
    </row>
    <row r="350" customFormat="false" ht="23.85" hidden="false" customHeight="false" outlineLevel="0" collapsed="false">
      <c r="A350" s="5" t="n">
        <v>43902</v>
      </c>
      <c r="B350" s="5" t="s">
        <v>85</v>
      </c>
      <c r="C350" s="5" t="s">
        <v>678</v>
      </c>
      <c r="D350" s="4" t="s">
        <v>32</v>
      </c>
      <c r="E350" s="4" t="s">
        <v>171</v>
      </c>
      <c r="F350" s="4" t="s">
        <v>166</v>
      </c>
      <c r="G350" s="4" t="s">
        <v>1286</v>
      </c>
      <c r="H350" s="4" t="s">
        <v>305</v>
      </c>
      <c r="I350" s="12" t="s">
        <v>158</v>
      </c>
      <c r="J350" s="4"/>
      <c r="K350" s="5" t="s">
        <v>159</v>
      </c>
      <c r="L350" s="4"/>
      <c r="M350" s="12" t="s">
        <v>159</v>
      </c>
      <c r="N350" s="4"/>
      <c r="O350" s="12" t="s">
        <v>159</v>
      </c>
      <c r="P350" s="4"/>
      <c r="Q350" s="12" t="s">
        <v>159</v>
      </c>
      <c r="R350" s="5" t="n">
        <v>0</v>
      </c>
      <c r="S350" s="12" t="s">
        <v>159</v>
      </c>
      <c r="T350" s="4"/>
      <c r="U350" s="12" t="s">
        <v>159</v>
      </c>
      <c r="V350" s="5" t="n">
        <v>0</v>
      </c>
      <c r="W350" s="12" t="s">
        <v>159</v>
      </c>
      <c r="X350" s="12" t="n">
        <v>7</v>
      </c>
      <c r="Y350" s="4" t="s">
        <v>174</v>
      </c>
    </row>
    <row r="351" customFormat="false" ht="23.85" hidden="false" customHeight="false" outlineLevel="0" collapsed="false">
      <c r="A351" s="5" t="n">
        <v>43903</v>
      </c>
      <c r="B351" s="5" t="s">
        <v>85</v>
      </c>
      <c r="C351" s="5" t="s">
        <v>241</v>
      </c>
      <c r="D351" s="4" t="s">
        <v>24</v>
      </c>
      <c r="E351" s="4" t="s">
        <v>154</v>
      </c>
      <c r="F351" s="4" t="s">
        <v>383</v>
      </c>
      <c r="G351" s="4" t="s">
        <v>1287</v>
      </c>
      <c r="H351" s="4"/>
      <c r="I351" s="12" t="s">
        <v>159</v>
      </c>
      <c r="J351" s="4"/>
      <c r="K351" s="5" t="s">
        <v>159</v>
      </c>
      <c r="L351" s="4"/>
      <c r="M351" s="12" t="s">
        <v>159</v>
      </c>
      <c r="N351" s="4"/>
      <c r="O351" s="12" t="s">
        <v>159</v>
      </c>
      <c r="P351" s="4"/>
      <c r="Q351" s="12" t="s">
        <v>159</v>
      </c>
      <c r="R351" s="5" t="n">
        <v>0</v>
      </c>
      <c r="S351" s="12" t="s">
        <v>159</v>
      </c>
      <c r="T351" s="4"/>
      <c r="U351" s="12" t="s">
        <v>159</v>
      </c>
      <c r="V351" s="5" t="n">
        <v>0</v>
      </c>
      <c r="W351" s="12" t="s">
        <v>159</v>
      </c>
      <c r="X351" s="12" t="n">
        <v>8</v>
      </c>
      <c r="Y351" s="4" t="s">
        <v>285</v>
      </c>
    </row>
    <row r="352" customFormat="false" ht="23.85" hidden="false" customHeight="false" outlineLevel="0" collapsed="false">
      <c r="A352" s="5" t="n">
        <v>43904</v>
      </c>
      <c r="B352" s="5" t="s">
        <v>85</v>
      </c>
      <c r="C352" s="5" t="s">
        <v>241</v>
      </c>
      <c r="D352" s="4" t="s">
        <v>24</v>
      </c>
      <c r="E352" s="4" t="s">
        <v>154</v>
      </c>
      <c r="F352" s="4" t="s">
        <v>383</v>
      </c>
      <c r="G352" s="4" t="s">
        <v>1288</v>
      </c>
      <c r="H352" s="4"/>
      <c r="I352" s="12" t="s">
        <v>159</v>
      </c>
      <c r="J352" s="4"/>
      <c r="K352" s="5" t="s">
        <v>159</v>
      </c>
      <c r="L352" s="4"/>
      <c r="M352" s="12" t="s">
        <v>159</v>
      </c>
      <c r="N352" s="4"/>
      <c r="O352" s="12" t="s">
        <v>159</v>
      </c>
      <c r="P352" s="4"/>
      <c r="Q352" s="12" t="s">
        <v>159</v>
      </c>
      <c r="R352" s="5" t="n">
        <v>0</v>
      </c>
      <c r="S352" s="12" t="s">
        <v>159</v>
      </c>
      <c r="T352" s="4"/>
      <c r="U352" s="12" t="s">
        <v>159</v>
      </c>
      <c r="V352" s="5" t="n">
        <v>0</v>
      </c>
      <c r="W352" s="12" t="s">
        <v>159</v>
      </c>
      <c r="X352" s="12" t="n">
        <v>8</v>
      </c>
      <c r="Y352" s="4" t="s">
        <v>285</v>
      </c>
    </row>
    <row r="353" customFormat="false" ht="23.85" hidden="false" customHeight="false" outlineLevel="0" collapsed="false">
      <c r="A353" s="5" t="n">
        <v>43927</v>
      </c>
      <c r="B353" s="5" t="s">
        <v>86</v>
      </c>
      <c r="C353" s="5" t="s">
        <v>1289</v>
      </c>
      <c r="D353" s="4" t="s">
        <v>32</v>
      </c>
      <c r="E353" s="4" t="s">
        <v>171</v>
      </c>
      <c r="F353" s="4" t="s">
        <v>166</v>
      </c>
      <c r="G353" s="4" t="s">
        <v>1290</v>
      </c>
      <c r="H353" s="4" t="s">
        <v>1291</v>
      </c>
      <c r="I353" s="12" t="s">
        <v>158</v>
      </c>
      <c r="J353" s="4"/>
      <c r="K353" s="5" t="s">
        <v>159</v>
      </c>
      <c r="L353" s="4"/>
      <c r="M353" s="12" t="s">
        <v>159</v>
      </c>
      <c r="N353" s="4"/>
      <c r="O353" s="12" t="s">
        <v>159</v>
      </c>
      <c r="P353" s="4"/>
      <c r="Q353" s="12" t="s">
        <v>159</v>
      </c>
      <c r="R353" s="5" t="n">
        <v>0</v>
      </c>
      <c r="S353" s="12" t="s">
        <v>159</v>
      </c>
      <c r="T353" s="4"/>
      <c r="U353" s="12" t="s">
        <v>159</v>
      </c>
      <c r="V353" s="5" t="n">
        <v>0</v>
      </c>
      <c r="W353" s="12" t="s">
        <v>159</v>
      </c>
      <c r="X353" s="12" t="n">
        <v>7</v>
      </c>
      <c r="Y353" s="4" t="s">
        <v>174</v>
      </c>
    </row>
    <row r="354" customFormat="false" ht="23.85" hidden="false" customHeight="false" outlineLevel="0" collapsed="false">
      <c r="A354" s="5" t="n">
        <v>43931</v>
      </c>
      <c r="B354" s="5" t="s">
        <v>86</v>
      </c>
      <c r="C354" s="5" t="s">
        <v>974</v>
      </c>
      <c r="D354" s="4" t="s">
        <v>24</v>
      </c>
      <c r="E354" s="4" t="s">
        <v>154</v>
      </c>
      <c r="F354" s="4" t="s">
        <v>383</v>
      </c>
      <c r="G354" s="4" t="s">
        <v>1292</v>
      </c>
      <c r="H354" s="4"/>
      <c r="I354" s="12" t="s">
        <v>159</v>
      </c>
      <c r="J354" s="4"/>
      <c r="K354" s="5" t="s">
        <v>159</v>
      </c>
      <c r="L354" s="4" t="s">
        <v>621</v>
      </c>
      <c r="M354" s="12" t="s">
        <v>158</v>
      </c>
      <c r="N354" s="4" t="s">
        <v>1293</v>
      </c>
      <c r="O354" s="12" t="s">
        <v>158</v>
      </c>
      <c r="P354" s="4" t="s">
        <v>1294</v>
      </c>
      <c r="Q354" s="12" t="s">
        <v>158</v>
      </c>
      <c r="R354" s="5" t="n">
        <v>0</v>
      </c>
      <c r="S354" s="12" t="s">
        <v>159</v>
      </c>
      <c r="T354" s="4"/>
      <c r="U354" s="12" t="s">
        <v>159</v>
      </c>
      <c r="V354" s="5" t="n">
        <v>0</v>
      </c>
      <c r="W354" s="12" t="s">
        <v>159</v>
      </c>
      <c r="X354" s="12" t="n">
        <v>5</v>
      </c>
      <c r="Y354" s="4" t="s">
        <v>1232</v>
      </c>
    </row>
    <row r="355" customFormat="false" ht="23.85" hidden="false" customHeight="false" outlineLevel="0" collapsed="false">
      <c r="A355" s="5" t="n">
        <v>43932</v>
      </c>
      <c r="B355" s="5" t="s">
        <v>86</v>
      </c>
      <c r="C355" s="5" t="s">
        <v>1153</v>
      </c>
      <c r="D355" s="4" t="s">
        <v>20</v>
      </c>
      <c r="E355" s="4" t="s">
        <v>154</v>
      </c>
      <c r="F355" s="4" t="s">
        <v>1295</v>
      </c>
      <c r="G355" s="4" t="s">
        <v>1296</v>
      </c>
      <c r="H355" s="4"/>
      <c r="I355" s="12" t="s">
        <v>159</v>
      </c>
      <c r="J355" s="4"/>
      <c r="K355" s="5" t="s">
        <v>159</v>
      </c>
      <c r="L355" s="4"/>
      <c r="M355" s="12" t="s">
        <v>159</v>
      </c>
      <c r="N355" s="4"/>
      <c r="O355" s="12" t="s">
        <v>159</v>
      </c>
      <c r="P355" s="4"/>
      <c r="Q355" s="12" t="s">
        <v>159</v>
      </c>
      <c r="R355" s="5" t="n">
        <v>0</v>
      </c>
      <c r="S355" s="12" t="s">
        <v>159</v>
      </c>
      <c r="T355" s="4"/>
      <c r="U355" s="12" t="s">
        <v>159</v>
      </c>
      <c r="V355" s="5" t="n">
        <v>0</v>
      </c>
      <c r="W355" s="12" t="s">
        <v>159</v>
      </c>
      <c r="X355" s="12" t="n">
        <v>8</v>
      </c>
      <c r="Y355" s="4" t="s">
        <v>285</v>
      </c>
    </row>
    <row r="356" customFormat="false" ht="23.85" hidden="false" customHeight="false" outlineLevel="0" collapsed="false">
      <c r="A356" s="5" t="n">
        <v>43933</v>
      </c>
      <c r="B356" s="5" t="s">
        <v>86</v>
      </c>
      <c r="C356" s="5" t="s">
        <v>1297</v>
      </c>
      <c r="D356" s="4" t="s">
        <v>18</v>
      </c>
      <c r="E356" s="4" t="s">
        <v>154</v>
      </c>
      <c r="F356" s="4" t="s">
        <v>383</v>
      </c>
      <c r="G356" s="4" t="s">
        <v>1298</v>
      </c>
      <c r="H356" s="4" t="s">
        <v>1299</v>
      </c>
      <c r="I356" s="12" t="s">
        <v>158</v>
      </c>
      <c r="J356" s="4"/>
      <c r="K356" s="5" t="s">
        <v>159</v>
      </c>
      <c r="L356" s="4"/>
      <c r="M356" s="12" t="s">
        <v>159</v>
      </c>
      <c r="N356" s="4" t="s">
        <v>1300</v>
      </c>
      <c r="O356" s="12" t="s">
        <v>158</v>
      </c>
      <c r="P356" s="4" t="s">
        <v>1301</v>
      </c>
      <c r="Q356" s="12" t="s">
        <v>158</v>
      </c>
      <c r="R356" s="5" t="n">
        <v>0</v>
      </c>
      <c r="S356" s="12" t="s">
        <v>159</v>
      </c>
      <c r="T356" s="4"/>
      <c r="U356" s="12" t="s">
        <v>159</v>
      </c>
      <c r="V356" s="5" t="n">
        <v>0</v>
      </c>
      <c r="W356" s="12" t="s">
        <v>159</v>
      </c>
      <c r="X356" s="12" t="n">
        <v>5</v>
      </c>
      <c r="Y356" s="4" t="s">
        <v>240</v>
      </c>
    </row>
    <row r="357" customFormat="false" ht="15" hidden="false" customHeight="false" outlineLevel="0" collapsed="false">
      <c r="A357" s="5" t="n">
        <v>43936</v>
      </c>
      <c r="B357" s="5" t="s">
        <v>86</v>
      </c>
      <c r="C357" s="5" t="s">
        <v>1302</v>
      </c>
      <c r="D357" s="4" t="s">
        <v>18</v>
      </c>
      <c r="E357" s="4" t="s">
        <v>154</v>
      </c>
      <c r="F357" s="4" t="s">
        <v>383</v>
      </c>
      <c r="G357" s="4" t="s">
        <v>1303</v>
      </c>
      <c r="H357" s="4" t="s">
        <v>1303</v>
      </c>
      <c r="I357" s="12" t="s">
        <v>158</v>
      </c>
      <c r="J357" s="4" t="s">
        <v>1304</v>
      </c>
      <c r="K357" s="5" t="s">
        <v>158</v>
      </c>
      <c r="L357" s="4" t="s">
        <v>591</v>
      </c>
      <c r="M357" s="12" t="s">
        <v>158</v>
      </c>
      <c r="N357" s="4" t="s">
        <v>1305</v>
      </c>
      <c r="O357" s="12" t="s">
        <v>158</v>
      </c>
      <c r="P357" s="4" t="s">
        <v>1306</v>
      </c>
      <c r="Q357" s="12" t="s">
        <v>158</v>
      </c>
      <c r="R357" s="5" t="n">
        <v>0</v>
      </c>
      <c r="S357" s="12" t="s">
        <v>159</v>
      </c>
      <c r="T357" s="4"/>
      <c r="U357" s="12" t="s">
        <v>159</v>
      </c>
      <c r="V357" s="5" t="n">
        <v>13</v>
      </c>
      <c r="W357" s="12" t="s">
        <v>158</v>
      </c>
      <c r="X357" s="12" t="n">
        <v>2</v>
      </c>
      <c r="Y357" s="4" t="s">
        <v>1307</v>
      </c>
    </row>
    <row r="358" customFormat="false" ht="23.85" hidden="false" customHeight="false" outlineLevel="0" collapsed="false">
      <c r="A358" s="5" t="n">
        <v>43938</v>
      </c>
      <c r="B358" s="5" t="s">
        <v>86</v>
      </c>
      <c r="C358" s="5" t="s">
        <v>1308</v>
      </c>
      <c r="D358" s="4" t="s">
        <v>18</v>
      </c>
      <c r="E358" s="4" t="s">
        <v>154</v>
      </c>
      <c r="F358" s="4" t="s">
        <v>383</v>
      </c>
      <c r="G358" s="4" t="s">
        <v>1309</v>
      </c>
      <c r="H358" s="4" t="s">
        <v>1309</v>
      </c>
      <c r="I358" s="12" t="s">
        <v>158</v>
      </c>
      <c r="J358" s="4"/>
      <c r="K358" s="5" t="s">
        <v>159</v>
      </c>
      <c r="L358" s="4" t="s">
        <v>990</v>
      </c>
      <c r="M358" s="12" t="s">
        <v>158</v>
      </c>
      <c r="N358" s="4"/>
      <c r="O358" s="12" t="s">
        <v>159</v>
      </c>
      <c r="P358" s="4" t="s">
        <v>394</v>
      </c>
      <c r="Q358" s="12" t="s">
        <v>158</v>
      </c>
      <c r="R358" s="5" t="n">
        <v>0</v>
      </c>
      <c r="S358" s="12" t="s">
        <v>159</v>
      </c>
      <c r="T358" s="4"/>
      <c r="U358" s="12" t="s">
        <v>159</v>
      </c>
      <c r="V358" s="5" t="n">
        <v>0</v>
      </c>
      <c r="W358" s="12" t="s">
        <v>159</v>
      </c>
      <c r="X358" s="12" t="n">
        <v>5</v>
      </c>
      <c r="Y358" s="4" t="s">
        <v>310</v>
      </c>
    </row>
    <row r="359" customFormat="false" ht="23.85" hidden="false" customHeight="false" outlineLevel="0" collapsed="false">
      <c r="A359" s="5" t="n">
        <v>43941</v>
      </c>
      <c r="B359" s="5" t="s">
        <v>86</v>
      </c>
      <c r="C359" s="5" t="s">
        <v>799</v>
      </c>
      <c r="D359" s="4" t="s">
        <v>18</v>
      </c>
      <c r="E359" s="4" t="s">
        <v>154</v>
      </c>
      <c r="F359" s="4" t="s">
        <v>383</v>
      </c>
      <c r="G359" s="4" t="s">
        <v>1310</v>
      </c>
      <c r="H359" s="4" t="s">
        <v>1311</v>
      </c>
      <c r="I359" s="12" t="s">
        <v>158</v>
      </c>
      <c r="J359" s="4"/>
      <c r="K359" s="5" t="s">
        <v>159</v>
      </c>
      <c r="L359" s="4" t="s">
        <v>990</v>
      </c>
      <c r="M359" s="12" t="s">
        <v>158</v>
      </c>
      <c r="N359" s="4" t="s">
        <v>1312</v>
      </c>
      <c r="O359" s="12" t="s">
        <v>158</v>
      </c>
      <c r="P359" s="4" t="s">
        <v>1313</v>
      </c>
      <c r="Q359" s="12" t="s">
        <v>158</v>
      </c>
      <c r="R359" s="5" t="n">
        <v>0</v>
      </c>
      <c r="S359" s="12" t="s">
        <v>159</v>
      </c>
      <c r="T359" s="4"/>
      <c r="U359" s="12" t="s">
        <v>159</v>
      </c>
      <c r="V359" s="5" t="n">
        <v>0</v>
      </c>
      <c r="W359" s="12" t="s">
        <v>159</v>
      </c>
      <c r="X359" s="12" t="n">
        <v>4</v>
      </c>
      <c r="Y359" s="4" t="s">
        <v>182</v>
      </c>
    </row>
    <row r="360" customFormat="false" ht="23.85" hidden="false" customHeight="false" outlineLevel="0" collapsed="false">
      <c r="A360" s="5" t="n">
        <v>43942</v>
      </c>
      <c r="B360" s="5" t="s">
        <v>86</v>
      </c>
      <c r="C360" s="5" t="s">
        <v>1314</v>
      </c>
      <c r="D360" s="4" t="s">
        <v>22</v>
      </c>
      <c r="E360" s="4" t="s">
        <v>176</v>
      </c>
      <c r="F360" s="4" t="s">
        <v>166</v>
      </c>
      <c r="G360" s="4" t="s">
        <v>1315</v>
      </c>
      <c r="H360" s="4" t="s">
        <v>1316</v>
      </c>
      <c r="I360" s="12" t="s">
        <v>158</v>
      </c>
      <c r="J360" s="4"/>
      <c r="K360" s="5" t="s">
        <v>159</v>
      </c>
      <c r="L360" s="4"/>
      <c r="M360" s="12" t="s">
        <v>159</v>
      </c>
      <c r="N360" s="4" t="s">
        <v>1317</v>
      </c>
      <c r="O360" s="12" t="s">
        <v>158</v>
      </c>
      <c r="P360" s="4" t="s">
        <v>551</v>
      </c>
      <c r="Q360" s="12" t="s">
        <v>158</v>
      </c>
      <c r="R360" s="5" t="n">
        <v>0</v>
      </c>
      <c r="S360" s="12" t="s">
        <v>159</v>
      </c>
      <c r="T360" s="4"/>
      <c r="U360" s="12" t="s">
        <v>159</v>
      </c>
      <c r="V360" s="5" t="n">
        <v>0</v>
      </c>
      <c r="W360" s="12" t="s">
        <v>159</v>
      </c>
      <c r="X360" s="12" t="n">
        <v>5</v>
      </c>
      <c r="Y360" s="4" t="s">
        <v>240</v>
      </c>
    </row>
    <row r="361" customFormat="false" ht="23.85" hidden="false" customHeight="false" outlineLevel="0" collapsed="false">
      <c r="A361" s="5" t="n">
        <v>43943</v>
      </c>
      <c r="B361" s="5" t="s">
        <v>86</v>
      </c>
      <c r="C361" s="5" t="s">
        <v>425</v>
      </c>
      <c r="D361" s="4" t="s">
        <v>32</v>
      </c>
      <c r="E361" s="4" t="s">
        <v>171</v>
      </c>
      <c r="F361" s="4" t="s">
        <v>352</v>
      </c>
      <c r="G361" s="4" t="s">
        <v>1318</v>
      </c>
      <c r="H361" s="4" t="s">
        <v>1319</v>
      </c>
      <c r="I361" s="12" t="s">
        <v>158</v>
      </c>
      <c r="J361" s="4"/>
      <c r="K361" s="5" t="s">
        <v>159</v>
      </c>
      <c r="L361" s="4"/>
      <c r="M361" s="12" t="s">
        <v>159</v>
      </c>
      <c r="N361" s="4"/>
      <c r="O361" s="12" t="s">
        <v>159</v>
      </c>
      <c r="P361" s="4"/>
      <c r="Q361" s="12" t="s">
        <v>159</v>
      </c>
      <c r="R361" s="5" t="n">
        <v>0</v>
      </c>
      <c r="S361" s="12" t="s">
        <v>159</v>
      </c>
      <c r="T361" s="4"/>
      <c r="U361" s="12" t="s">
        <v>159</v>
      </c>
      <c r="V361" s="5" t="n">
        <v>0</v>
      </c>
      <c r="W361" s="12" t="s">
        <v>159</v>
      </c>
      <c r="X361" s="12" t="n">
        <v>7</v>
      </c>
      <c r="Y361" s="4" t="s">
        <v>174</v>
      </c>
    </row>
    <row r="362" customFormat="false" ht="23.85" hidden="false" customHeight="false" outlineLevel="0" collapsed="false">
      <c r="A362" s="5" t="n">
        <v>43944</v>
      </c>
      <c r="B362" s="5" t="s">
        <v>86</v>
      </c>
      <c r="C362" s="5" t="s">
        <v>1320</v>
      </c>
      <c r="D362" s="4" t="s">
        <v>32</v>
      </c>
      <c r="E362" s="4" t="s">
        <v>171</v>
      </c>
      <c r="F362" s="4" t="s">
        <v>383</v>
      </c>
      <c r="G362" s="4" t="s">
        <v>1321</v>
      </c>
      <c r="H362" s="4" t="s">
        <v>1322</v>
      </c>
      <c r="I362" s="12" t="s">
        <v>158</v>
      </c>
      <c r="J362" s="4"/>
      <c r="K362" s="5" t="s">
        <v>159</v>
      </c>
      <c r="L362" s="4"/>
      <c r="M362" s="12" t="s">
        <v>159</v>
      </c>
      <c r="N362" s="4"/>
      <c r="O362" s="12" t="s">
        <v>159</v>
      </c>
      <c r="P362" s="4"/>
      <c r="Q362" s="12" t="s">
        <v>159</v>
      </c>
      <c r="R362" s="5" t="n">
        <v>0</v>
      </c>
      <c r="S362" s="12" t="s">
        <v>159</v>
      </c>
      <c r="T362" s="4"/>
      <c r="U362" s="12" t="s">
        <v>159</v>
      </c>
      <c r="V362" s="5" t="n">
        <v>0</v>
      </c>
      <c r="W362" s="12" t="s">
        <v>159</v>
      </c>
      <c r="X362" s="12" t="n">
        <v>7</v>
      </c>
      <c r="Y362" s="4" t="s">
        <v>174</v>
      </c>
    </row>
    <row r="363" customFormat="false" ht="23.85" hidden="false" customHeight="false" outlineLevel="0" collapsed="false">
      <c r="A363" s="5" t="n">
        <v>43945</v>
      </c>
      <c r="B363" s="5" t="s">
        <v>86</v>
      </c>
      <c r="C363" s="5" t="s">
        <v>937</v>
      </c>
      <c r="D363" s="4" t="s">
        <v>30</v>
      </c>
      <c r="E363" s="4" t="s">
        <v>171</v>
      </c>
      <c r="F363" s="4" t="s">
        <v>383</v>
      </c>
      <c r="G363" s="4" t="s">
        <v>1323</v>
      </c>
      <c r="H363" s="4" t="s">
        <v>1065</v>
      </c>
      <c r="I363" s="12" t="s">
        <v>158</v>
      </c>
      <c r="J363" s="4"/>
      <c r="K363" s="5" t="s">
        <v>159</v>
      </c>
      <c r="L363" s="4"/>
      <c r="M363" s="12" t="s">
        <v>159</v>
      </c>
      <c r="N363" s="4"/>
      <c r="O363" s="12" t="s">
        <v>159</v>
      </c>
      <c r="P363" s="4" t="s">
        <v>394</v>
      </c>
      <c r="Q363" s="12" t="s">
        <v>158</v>
      </c>
      <c r="R363" s="5" t="n">
        <v>0</v>
      </c>
      <c r="S363" s="12" t="s">
        <v>159</v>
      </c>
      <c r="T363" s="4" t="s">
        <v>188</v>
      </c>
      <c r="U363" s="12" t="s">
        <v>158</v>
      </c>
      <c r="V363" s="5" t="n">
        <v>0</v>
      </c>
      <c r="W363" s="12" t="s">
        <v>159</v>
      </c>
      <c r="X363" s="12" t="n">
        <v>5</v>
      </c>
      <c r="Y363" s="4" t="s">
        <v>235</v>
      </c>
    </row>
    <row r="364" customFormat="false" ht="23.85" hidden="false" customHeight="false" outlineLevel="0" collapsed="false">
      <c r="A364" s="5" t="n">
        <v>43946</v>
      </c>
      <c r="B364" s="5" t="s">
        <v>86</v>
      </c>
      <c r="C364" s="5" t="s">
        <v>1118</v>
      </c>
      <c r="D364" s="4" t="s">
        <v>30</v>
      </c>
      <c r="E364" s="4" t="s">
        <v>171</v>
      </c>
      <c r="F364" s="4" t="s">
        <v>383</v>
      </c>
      <c r="G364" s="4" t="s">
        <v>1324</v>
      </c>
      <c r="H364" s="4" t="s">
        <v>494</v>
      </c>
      <c r="I364" s="12" t="s">
        <v>158</v>
      </c>
      <c r="J364" s="4"/>
      <c r="K364" s="5" t="s">
        <v>159</v>
      </c>
      <c r="L364" s="4"/>
      <c r="M364" s="12" t="s">
        <v>159</v>
      </c>
      <c r="N364" s="4"/>
      <c r="O364" s="12" t="s">
        <v>159</v>
      </c>
      <c r="P364" s="4" t="s">
        <v>205</v>
      </c>
      <c r="Q364" s="12" t="s">
        <v>158</v>
      </c>
      <c r="R364" s="5" t="n">
        <v>0</v>
      </c>
      <c r="S364" s="12" t="s">
        <v>159</v>
      </c>
      <c r="T364" s="4" t="s">
        <v>188</v>
      </c>
      <c r="U364" s="12" t="s">
        <v>158</v>
      </c>
      <c r="V364" s="5" t="n">
        <v>0</v>
      </c>
      <c r="W364" s="12" t="s">
        <v>159</v>
      </c>
      <c r="X364" s="12" t="n">
        <v>5</v>
      </c>
      <c r="Y364" s="4" t="s">
        <v>235</v>
      </c>
    </row>
    <row r="365" customFormat="false" ht="23.85" hidden="false" customHeight="false" outlineLevel="0" collapsed="false">
      <c r="A365" s="5" t="n">
        <v>43947</v>
      </c>
      <c r="B365" s="5" t="s">
        <v>86</v>
      </c>
      <c r="C365" s="5" t="s">
        <v>452</v>
      </c>
      <c r="D365" s="4" t="s">
        <v>30</v>
      </c>
      <c r="E365" s="4" t="s">
        <v>171</v>
      </c>
      <c r="F365" s="4" t="s">
        <v>383</v>
      </c>
      <c r="G365" s="4" t="s">
        <v>477</v>
      </c>
      <c r="H365" s="4" t="s">
        <v>478</v>
      </c>
      <c r="I365" s="12" t="s">
        <v>158</v>
      </c>
      <c r="J365" s="4"/>
      <c r="K365" s="5" t="s">
        <v>159</v>
      </c>
      <c r="L365" s="4"/>
      <c r="M365" s="12" t="s">
        <v>159</v>
      </c>
      <c r="N365" s="4"/>
      <c r="O365" s="12" t="s">
        <v>159</v>
      </c>
      <c r="P365" s="4" t="s">
        <v>394</v>
      </c>
      <c r="Q365" s="12" t="s">
        <v>158</v>
      </c>
      <c r="R365" s="5" t="n">
        <v>0</v>
      </c>
      <c r="S365" s="12" t="s">
        <v>159</v>
      </c>
      <c r="T365" s="4" t="s">
        <v>188</v>
      </c>
      <c r="U365" s="12" t="s">
        <v>158</v>
      </c>
      <c r="V365" s="5" t="n">
        <v>0</v>
      </c>
      <c r="W365" s="12" t="s">
        <v>159</v>
      </c>
      <c r="X365" s="12" t="n">
        <v>5</v>
      </c>
      <c r="Y365" s="4" t="s">
        <v>235</v>
      </c>
    </row>
    <row r="366" customFormat="false" ht="23.85" hidden="false" customHeight="false" outlineLevel="0" collapsed="false">
      <c r="A366" s="5" t="n">
        <v>43948</v>
      </c>
      <c r="B366" s="5" t="s">
        <v>86</v>
      </c>
      <c r="C366" s="5" t="s">
        <v>1325</v>
      </c>
      <c r="D366" s="4" t="s">
        <v>30</v>
      </c>
      <c r="E366" s="4" t="s">
        <v>171</v>
      </c>
      <c r="F366" s="4" t="s">
        <v>383</v>
      </c>
      <c r="G366" s="4" t="s">
        <v>1326</v>
      </c>
      <c r="H366" s="4" t="s">
        <v>293</v>
      </c>
      <c r="I366" s="12" t="s">
        <v>158</v>
      </c>
      <c r="J366" s="4"/>
      <c r="K366" s="5" t="s">
        <v>159</v>
      </c>
      <c r="L366" s="4"/>
      <c r="M366" s="12" t="s">
        <v>159</v>
      </c>
      <c r="N366" s="4"/>
      <c r="O366" s="12" t="s">
        <v>159</v>
      </c>
      <c r="P366" s="4" t="s">
        <v>394</v>
      </c>
      <c r="Q366" s="12" t="s">
        <v>158</v>
      </c>
      <c r="R366" s="5" t="n">
        <v>0</v>
      </c>
      <c r="S366" s="12" t="s">
        <v>159</v>
      </c>
      <c r="T366" s="4"/>
      <c r="U366" s="12" t="s">
        <v>159</v>
      </c>
      <c r="V366" s="5" t="n">
        <v>0</v>
      </c>
      <c r="W366" s="12" t="s">
        <v>159</v>
      </c>
      <c r="X366" s="12" t="n">
        <v>6</v>
      </c>
      <c r="Y366" s="4" t="s">
        <v>267</v>
      </c>
    </row>
    <row r="367" customFormat="false" ht="23.85" hidden="false" customHeight="false" outlineLevel="0" collapsed="false">
      <c r="A367" s="5" t="n">
        <v>43949</v>
      </c>
      <c r="B367" s="5" t="s">
        <v>86</v>
      </c>
      <c r="C367" s="5" t="s">
        <v>820</v>
      </c>
      <c r="D367" s="4" t="s">
        <v>22</v>
      </c>
      <c r="E367" s="4" t="s">
        <v>176</v>
      </c>
      <c r="F367" s="4" t="s">
        <v>166</v>
      </c>
      <c r="G367" s="4" t="s">
        <v>1327</v>
      </c>
      <c r="H367" s="4" t="s">
        <v>168</v>
      </c>
      <c r="I367" s="12" t="s">
        <v>158</v>
      </c>
      <c r="J367" s="4"/>
      <c r="K367" s="5" t="s">
        <v>159</v>
      </c>
      <c r="L367" s="4" t="s">
        <v>168</v>
      </c>
      <c r="M367" s="12" t="s">
        <v>158</v>
      </c>
      <c r="N367" s="4"/>
      <c r="O367" s="12" t="s">
        <v>159</v>
      </c>
      <c r="P367" s="4" t="s">
        <v>394</v>
      </c>
      <c r="Q367" s="12" t="s">
        <v>158</v>
      </c>
      <c r="R367" s="5" t="n">
        <v>0</v>
      </c>
      <c r="S367" s="12" t="s">
        <v>159</v>
      </c>
      <c r="T367" s="4"/>
      <c r="U367" s="12" t="s">
        <v>159</v>
      </c>
      <c r="V367" s="5" t="n">
        <v>0</v>
      </c>
      <c r="W367" s="12" t="s">
        <v>159</v>
      </c>
      <c r="X367" s="12" t="n">
        <v>5</v>
      </c>
      <c r="Y367" s="4" t="s">
        <v>310</v>
      </c>
    </row>
    <row r="368" customFormat="false" ht="23.85" hidden="false" customHeight="false" outlineLevel="0" collapsed="false">
      <c r="A368" s="5" t="n">
        <v>43950</v>
      </c>
      <c r="B368" s="5" t="s">
        <v>87</v>
      </c>
      <c r="C368" s="5" t="s">
        <v>202</v>
      </c>
      <c r="D368" s="4" t="s">
        <v>20</v>
      </c>
      <c r="E368" s="4" t="s">
        <v>154</v>
      </c>
      <c r="F368" s="4" t="s">
        <v>383</v>
      </c>
      <c r="G368" s="4" t="s">
        <v>1328</v>
      </c>
      <c r="H368" s="4"/>
      <c r="I368" s="12" t="s">
        <v>159</v>
      </c>
      <c r="J368" s="4"/>
      <c r="K368" s="5" t="s">
        <v>159</v>
      </c>
      <c r="L368" s="4"/>
      <c r="M368" s="12" t="s">
        <v>159</v>
      </c>
      <c r="N368" s="4"/>
      <c r="O368" s="12" t="s">
        <v>159</v>
      </c>
      <c r="P368" s="4"/>
      <c r="Q368" s="12" t="s">
        <v>159</v>
      </c>
      <c r="R368" s="5" t="n">
        <v>0</v>
      </c>
      <c r="S368" s="12" t="s">
        <v>159</v>
      </c>
      <c r="T368" s="4"/>
      <c r="U368" s="12" t="s">
        <v>159</v>
      </c>
      <c r="V368" s="5" t="n">
        <v>0</v>
      </c>
      <c r="W368" s="12" t="s">
        <v>159</v>
      </c>
      <c r="X368" s="12" t="n">
        <v>8</v>
      </c>
      <c r="Y368" s="4" t="s">
        <v>285</v>
      </c>
    </row>
    <row r="369" customFormat="false" ht="23.85" hidden="false" customHeight="false" outlineLevel="0" collapsed="false">
      <c r="A369" s="5" t="n">
        <v>43952</v>
      </c>
      <c r="B369" s="5" t="s">
        <v>87</v>
      </c>
      <c r="C369" s="5" t="s">
        <v>1329</v>
      </c>
      <c r="D369" s="4" t="s">
        <v>24</v>
      </c>
      <c r="E369" s="4" t="s">
        <v>154</v>
      </c>
      <c r="F369" s="4" t="s">
        <v>383</v>
      </c>
      <c r="G369" s="4" t="s">
        <v>1330</v>
      </c>
      <c r="H369" s="4"/>
      <c r="I369" s="12" t="s">
        <v>159</v>
      </c>
      <c r="J369" s="4" t="s">
        <v>1331</v>
      </c>
      <c r="K369" s="5" t="s">
        <v>158</v>
      </c>
      <c r="L369" s="4" t="s">
        <v>1332</v>
      </c>
      <c r="M369" s="12" t="s">
        <v>158</v>
      </c>
      <c r="N369" s="4" t="s">
        <v>1333</v>
      </c>
      <c r="O369" s="12" t="s">
        <v>158</v>
      </c>
      <c r="P369" s="4" t="s">
        <v>1334</v>
      </c>
      <c r="Q369" s="12" t="s">
        <v>158</v>
      </c>
      <c r="R369" s="5" t="n">
        <v>0</v>
      </c>
      <c r="S369" s="12" t="s">
        <v>159</v>
      </c>
      <c r="T369" s="4"/>
      <c r="U369" s="12" t="s">
        <v>159</v>
      </c>
      <c r="V369" s="5" t="n">
        <v>0</v>
      </c>
      <c r="W369" s="12" t="s">
        <v>159</v>
      </c>
      <c r="X369" s="12" t="n">
        <v>4</v>
      </c>
      <c r="Y369" s="4" t="s">
        <v>401</v>
      </c>
    </row>
    <row r="370" customFormat="false" ht="23.85" hidden="false" customHeight="false" outlineLevel="0" collapsed="false">
      <c r="A370" s="5" t="n">
        <v>43960</v>
      </c>
      <c r="B370" s="5" t="s">
        <v>87</v>
      </c>
      <c r="C370" s="5" t="s">
        <v>1153</v>
      </c>
      <c r="D370" s="4" t="s">
        <v>18</v>
      </c>
      <c r="E370" s="4" t="s">
        <v>154</v>
      </c>
      <c r="F370" s="4" t="s">
        <v>383</v>
      </c>
      <c r="G370" s="4" t="s">
        <v>1335</v>
      </c>
      <c r="H370" s="4" t="s">
        <v>1336</v>
      </c>
      <c r="I370" s="12" t="s">
        <v>158</v>
      </c>
      <c r="J370" s="4"/>
      <c r="K370" s="5" t="s">
        <v>159</v>
      </c>
      <c r="L370" s="4" t="s">
        <v>1337</v>
      </c>
      <c r="M370" s="12" t="s">
        <v>158</v>
      </c>
      <c r="N370" s="4"/>
      <c r="O370" s="12" t="s">
        <v>159</v>
      </c>
      <c r="P370" s="4" t="s">
        <v>1338</v>
      </c>
      <c r="Q370" s="12" t="s">
        <v>158</v>
      </c>
      <c r="R370" s="5" t="n">
        <v>0</v>
      </c>
      <c r="S370" s="12" t="s">
        <v>159</v>
      </c>
      <c r="T370" s="4"/>
      <c r="U370" s="12" t="s">
        <v>159</v>
      </c>
      <c r="V370" s="5" t="n">
        <v>27</v>
      </c>
      <c r="W370" s="12" t="s">
        <v>158</v>
      </c>
      <c r="X370" s="12" t="n">
        <v>4</v>
      </c>
      <c r="Y370" s="4" t="s">
        <v>1339</v>
      </c>
    </row>
    <row r="371" customFormat="false" ht="23.85" hidden="false" customHeight="false" outlineLevel="0" collapsed="false">
      <c r="A371" s="5" t="n">
        <v>43961</v>
      </c>
      <c r="B371" s="5" t="s">
        <v>87</v>
      </c>
      <c r="C371" s="5" t="s">
        <v>513</v>
      </c>
      <c r="D371" s="4" t="s">
        <v>18</v>
      </c>
      <c r="E371" s="4" t="s">
        <v>154</v>
      </c>
      <c r="F371" s="4" t="s">
        <v>383</v>
      </c>
      <c r="G371" s="4" t="s">
        <v>1340</v>
      </c>
      <c r="H371" s="4" t="s">
        <v>1340</v>
      </c>
      <c r="I371" s="12" t="s">
        <v>158</v>
      </c>
      <c r="J371" s="4"/>
      <c r="K371" s="5" t="s">
        <v>159</v>
      </c>
      <c r="L371" s="4"/>
      <c r="M371" s="12" t="s">
        <v>159</v>
      </c>
      <c r="N371" s="4" t="s">
        <v>1341</v>
      </c>
      <c r="O371" s="12" t="s">
        <v>158</v>
      </c>
      <c r="P371" s="4" t="s">
        <v>1342</v>
      </c>
      <c r="Q371" s="12" t="s">
        <v>158</v>
      </c>
      <c r="R371" s="5" t="n">
        <v>0</v>
      </c>
      <c r="S371" s="12" t="s">
        <v>159</v>
      </c>
      <c r="T371" s="4"/>
      <c r="U371" s="12" t="s">
        <v>159</v>
      </c>
      <c r="V371" s="5" t="n">
        <v>0</v>
      </c>
      <c r="W371" s="12" t="s">
        <v>159</v>
      </c>
      <c r="X371" s="12" t="n">
        <v>5</v>
      </c>
      <c r="Y371" s="4" t="s">
        <v>240</v>
      </c>
    </row>
    <row r="372" customFormat="false" ht="15" hidden="false" customHeight="false" outlineLevel="0" collapsed="false">
      <c r="A372" s="5" t="n">
        <v>43962</v>
      </c>
      <c r="B372" s="5" t="s">
        <v>87</v>
      </c>
      <c r="C372" s="5" t="s">
        <v>1158</v>
      </c>
      <c r="D372" s="4" t="s">
        <v>18</v>
      </c>
      <c r="E372" s="4" t="s">
        <v>154</v>
      </c>
      <c r="F372" s="4" t="s">
        <v>257</v>
      </c>
      <c r="G372" s="4" t="s">
        <v>1343</v>
      </c>
      <c r="H372" s="4" t="s">
        <v>1343</v>
      </c>
      <c r="I372" s="12" t="s">
        <v>158</v>
      </c>
      <c r="J372" s="4" t="s">
        <v>1344</v>
      </c>
      <c r="K372" s="5" t="s">
        <v>158</v>
      </c>
      <c r="L372" s="4" t="s">
        <v>1337</v>
      </c>
      <c r="M372" s="12" t="s">
        <v>158</v>
      </c>
      <c r="N372" s="4" t="s">
        <v>1341</v>
      </c>
      <c r="O372" s="12" t="s">
        <v>158</v>
      </c>
      <c r="P372" s="4" t="s">
        <v>263</v>
      </c>
      <c r="Q372" s="12" t="s">
        <v>158</v>
      </c>
      <c r="R372" s="5" t="n">
        <v>0</v>
      </c>
      <c r="S372" s="12" t="s">
        <v>159</v>
      </c>
      <c r="T372" s="4"/>
      <c r="U372" s="12" t="s">
        <v>159</v>
      </c>
      <c r="V372" s="5" t="n">
        <v>0</v>
      </c>
      <c r="W372" s="12" t="s">
        <v>159</v>
      </c>
      <c r="X372" s="12" t="n">
        <v>3</v>
      </c>
      <c r="Y372" s="4" t="s">
        <v>264</v>
      </c>
    </row>
  </sheetData>
  <autoFilter ref="A1:Y372"/>
  <conditionalFormatting sqref="I2:I372">
    <cfRule type="cellIs" priority="2" operator="equal" aboveAverage="0" equalAverage="0" bottom="0" percent="0" rank="0" text="" dxfId="1">
      <formula>"نعم"</formula>
    </cfRule>
    <cfRule type="cellIs" priority="3" operator="equal" aboveAverage="0" equalAverage="0" bottom="0" percent="0" rank="0" text="" dxfId="0">
      <formula>"لا"</formula>
    </cfRule>
  </conditionalFormatting>
  <conditionalFormatting sqref="K2:K372">
    <cfRule type="cellIs" priority="4" operator="equal" aboveAverage="0" equalAverage="0" bottom="0" percent="0" rank="0" text="" dxfId="1">
      <formula>"نعم"</formula>
    </cfRule>
    <cfRule type="cellIs" priority="5" operator="equal" aboveAverage="0" equalAverage="0" bottom="0" percent="0" rank="0" text="" dxfId="0">
      <formula>"لا"</formula>
    </cfRule>
  </conditionalFormatting>
  <conditionalFormatting sqref="M2:M372">
    <cfRule type="cellIs" priority="6" operator="equal" aboveAverage="0" equalAverage="0" bottom="0" percent="0" rank="0" text="" dxfId="1">
      <formula>"نعم"</formula>
    </cfRule>
    <cfRule type="cellIs" priority="7" operator="equal" aboveAverage="0" equalAverage="0" bottom="0" percent="0" rank="0" text="" dxfId="0">
      <formula>"لا"</formula>
    </cfRule>
  </conditionalFormatting>
  <conditionalFormatting sqref="O2:O372">
    <cfRule type="cellIs" priority="8" operator="equal" aboveAverage="0" equalAverage="0" bottom="0" percent="0" rank="0" text="" dxfId="1">
      <formula>"نعم"</formula>
    </cfRule>
    <cfRule type="cellIs" priority="9" operator="equal" aboveAverage="0" equalAverage="0" bottom="0" percent="0" rank="0" text="" dxfId="0">
      <formula>"لا"</formula>
    </cfRule>
  </conditionalFormatting>
  <conditionalFormatting sqref="Q2:Q372">
    <cfRule type="cellIs" priority="10" operator="equal" aboveAverage="0" equalAverage="0" bottom="0" percent="0" rank="0" text="" dxfId="1">
      <formula>"نعم"</formula>
    </cfRule>
    <cfRule type="cellIs" priority="11" operator="equal" aboveAverage="0" equalAverage="0" bottom="0" percent="0" rank="0" text="" dxfId="0">
      <formula>"لا"</formula>
    </cfRule>
  </conditionalFormatting>
  <conditionalFormatting sqref="S2:S372">
    <cfRule type="cellIs" priority="12" operator="equal" aboveAverage="0" equalAverage="0" bottom="0" percent="0" rank="0" text="" dxfId="1">
      <formula>"نعم"</formula>
    </cfRule>
    <cfRule type="cellIs" priority="13" operator="equal" aboveAverage="0" equalAverage="0" bottom="0" percent="0" rank="0" text="" dxfId="0">
      <formula>"لا"</formula>
    </cfRule>
  </conditionalFormatting>
  <conditionalFormatting sqref="U2:U372">
    <cfRule type="cellIs" priority="14" operator="equal" aboveAverage="0" equalAverage="0" bottom="0" percent="0" rank="0" text="" dxfId="1">
      <formula>"نعم"</formula>
    </cfRule>
    <cfRule type="cellIs" priority="15" operator="equal" aboveAverage="0" equalAverage="0" bottom="0" percent="0" rank="0" text="" dxfId="0">
      <formula>"لا"</formula>
    </cfRule>
  </conditionalFormatting>
  <conditionalFormatting sqref="W2:W372">
    <cfRule type="cellIs" priority="16" operator="equal" aboveAverage="0" equalAverage="0" bottom="0" percent="0" rank="0" text="" dxfId="1">
      <formula>"نعم"</formula>
    </cfRule>
    <cfRule type="cellIs" priority="17" operator="equal" aboveAverage="0" equalAverage="0" bottom="0" percent="0" rank="0" text="" dxfId="0">
      <formula>"لا"</formula>
    </cfRule>
  </conditionalFormatting>
  <conditionalFormatting sqref="X2:X372">
    <cfRule type="cellIs" priority="18" operator="greaterThanOrEqual" aboveAverage="0" equalAverage="0" bottom="0" percent="0" rank="0" text="" dxfId="0">
      <formula>6</formula>
    </cfRule>
    <cfRule type="cellIs" priority="19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7"/>
    <col collapsed="false" customWidth="true" hidden="false" outlineLevel="0" max="9" min="9" style="0" width="52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3" t="s">
        <v>137</v>
      </c>
      <c r="B1" s="3" t="s">
        <v>47</v>
      </c>
      <c r="C1" s="3" t="s">
        <v>138</v>
      </c>
      <c r="D1" s="3" t="s">
        <v>2</v>
      </c>
      <c r="E1" s="3" t="s">
        <v>1345</v>
      </c>
      <c r="F1" s="3" t="s">
        <v>1346</v>
      </c>
      <c r="G1" s="3" t="s">
        <v>1347</v>
      </c>
      <c r="H1" s="3" t="s">
        <v>1348</v>
      </c>
      <c r="I1" s="3" t="s">
        <v>1349</v>
      </c>
      <c r="J1" s="3" t="s">
        <v>136</v>
      </c>
    </row>
    <row r="2" customFormat="false" ht="15" hidden="false" customHeight="false" outlineLevel="0" collapsed="false">
      <c r="A2" s="5" t="n">
        <v>43054</v>
      </c>
      <c r="B2" s="5" t="s">
        <v>52</v>
      </c>
      <c r="C2" s="5" t="s">
        <v>1350</v>
      </c>
      <c r="D2" s="4" t="s">
        <v>34</v>
      </c>
      <c r="E2" s="4" t="s">
        <v>1351</v>
      </c>
      <c r="F2" s="4" t="s">
        <v>1352</v>
      </c>
      <c r="G2" s="5" t="n">
        <v>117</v>
      </c>
      <c r="H2" s="5" t="s">
        <v>1353</v>
      </c>
      <c r="I2" s="4" t="s">
        <v>1354</v>
      </c>
      <c r="J2" s="4" t="s">
        <v>131</v>
      </c>
    </row>
    <row r="3" customFormat="false" ht="15" hidden="false" customHeight="false" outlineLevel="0" collapsed="false">
      <c r="A3" s="5" t="n">
        <v>33472</v>
      </c>
      <c r="B3" s="5" t="s">
        <v>52</v>
      </c>
      <c r="C3" s="5" t="s">
        <v>1355</v>
      </c>
      <c r="D3" s="4" t="s">
        <v>34</v>
      </c>
      <c r="E3" s="4" t="s">
        <v>1351</v>
      </c>
      <c r="F3" s="4" t="s">
        <v>1356</v>
      </c>
      <c r="G3" s="5" t="n">
        <v>96</v>
      </c>
      <c r="H3" s="5" t="s">
        <v>1353</v>
      </c>
      <c r="I3" s="4" t="s">
        <v>1357</v>
      </c>
      <c r="J3" s="4" t="s">
        <v>131</v>
      </c>
    </row>
    <row r="4" customFormat="false" ht="15" hidden="false" customHeight="false" outlineLevel="0" collapsed="false">
      <c r="A4" s="5" t="n">
        <v>43060</v>
      </c>
      <c r="B4" s="5" t="s">
        <v>52</v>
      </c>
      <c r="C4" s="5" t="s">
        <v>1358</v>
      </c>
      <c r="D4" s="4" t="s">
        <v>34</v>
      </c>
      <c r="E4" s="4" t="s">
        <v>1351</v>
      </c>
      <c r="F4" s="4" t="s">
        <v>1352</v>
      </c>
      <c r="G4" s="5" t="n">
        <v>147</v>
      </c>
      <c r="H4" s="5" t="s">
        <v>1353</v>
      </c>
      <c r="I4" s="4" t="s">
        <v>1359</v>
      </c>
      <c r="J4" s="4" t="s">
        <v>131</v>
      </c>
    </row>
    <row r="5" customFormat="false" ht="15" hidden="false" customHeight="false" outlineLevel="0" collapsed="false">
      <c r="A5" s="5" t="n">
        <v>38433</v>
      </c>
      <c r="B5" s="5" t="s">
        <v>52</v>
      </c>
      <c r="C5" s="5" t="s">
        <v>1360</v>
      </c>
      <c r="D5" s="4" t="s">
        <v>34</v>
      </c>
      <c r="E5" s="4" t="s">
        <v>1351</v>
      </c>
      <c r="F5" s="4" t="s">
        <v>1352</v>
      </c>
      <c r="G5" s="5" t="n">
        <v>94</v>
      </c>
      <c r="H5" s="5" t="s">
        <v>1353</v>
      </c>
      <c r="I5" s="4" t="s">
        <v>1361</v>
      </c>
      <c r="J5" s="4" t="s">
        <v>131</v>
      </c>
    </row>
    <row r="6" customFormat="false" ht="15" hidden="false" customHeight="false" outlineLevel="0" collapsed="false">
      <c r="A6" s="5" t="n">
        <v>41401</v>
      </c>
      <c r="B6" s="5" t="s">
        <v>52</v>
      </c>
      <c r="C6" s="5" t="s">
        <v>1193</v>
      </c>
      <c r="D6" s="4" t="s">
        <v>18</v>
      </c>
      <c r="E6" s="4" t="s">
        <v>1351</v>
      </c>
      <c r="F6" s="4" t="s">
        <v>1356</v>
      </c>
      <c r="G6" s="5" t="n">
        <v>87</v>
      </c>
      <c r="H6" s="5" t="s">
        <v>1353</v>
      </c>
      <c r="I6" s="4" t="s">
        <v>1362</v>
      </c>
      <c r="J6" s="4" t="s">
        <v>131</v>
      </c>
    </row>
    <row r="7" customFormat="false" ht="15" hidden="false" customHeight="false" outlineLevel="0" collapsed="false">
      <c r="A7" s="5" t="n">
        <v>29106</v>
      </c>
      <c r="B7" s="5" t="s">
        <v>52</v>
      </c>
      <c r="C7" s="5" t="s">
        <v>1363</v>
      </c>
      <c r="D7" s="4" t="s">
        <v>34</v>
      </c>
      <c r="E7" s="4" t="s">
        <v>1351</v>
      </c>
      <c r="F7" s="4" t="s">
        <v>1356</v>
      </c>
      <c r="G7" s="5" t="n">
        <v>66</v>
      </c>
      <c r="H7" s="5" t="s">
        <v>1353</v>
      </c>
      <c r="I7" s="4" t="s">
        <v>1364</v>
      </c>
      <c r="J7" s="4" t="s">
        <v>131</v>
      </c>
    </row>
    <row r="8" customFormat="false" ht="15" hidden="false" customHeight="false" outlineLevel="0" collapsed="false">
      <c r="A8" s="5" t="n">
        <v>29111</v>
      </c>
      <c r="B8" s="5" t="s">
        <v>52</v>
      </c>
      <c r="C8" s="5" t="s">
        <v>1365</v>
      </c>
      <c r="D8" s="4" t="s">
        <v>34</v>
      </c>
      <c r="E8" s="4" t="s">
        <v>1351</v>
      </c>
      <c r="F8" s="4" t="s">
        <v>1356</v>
      </c>
      <c r="G8" s="5" t="n">
        <v>73</v>
      </c>
      <c r="H8" s="5" t="s">
        <v>1353</v>
      </c>
      <c r="I8" s="4" t="s">
        <v>1366</v>
      </c>
      <c r="J8" s="4" t="s">
        <v>131</v>
      </c>
    </row>
    <row r="9" customFormat="false" ht="15" hidden="false" customHeight="false" outlineLevel="0" collapsed="false">
      <c r="A9" s="5" t="n">
        <v>41288</v>
      </c>
      <c r="B9" s="5" t="s">
        <v>52</v>
      </c>
      <c r="C9" s="5" t="s">
        <v>1367</v>
      </c>
      <c r="D9" s="4" t="s">
        <v>34</v>
      </c>
      <c r="E9" s="4" t="s">
        <v>1351</v>
      </c>
      <c r="F9" s="4" t="s">
        <v>1368</v>
      </c>
      <c r="G9" s="5" t="n">
        <v>87</v>
      </c>
      <c r="H9" s="5" t="s">
        <v>1353</v>
      </c>
      <c r="I9" s="4" t="s">
        <v>1369</v>
      </c>
      <c r="J9" s="4" t="s">
        <v>131</v>
      </c>
    </row>
    <row r="10" customFormat="false" ht="15" hidden="false" customHeight="false" outlineLevel="0" collapsed="false">
      <c r="A10" s="5" t="n">
        <v>40733</v>
      </c>
      <c r="B10" s="5" t="s">
        <v>52</v>
      </c>
      <c r="C10" s="5" t="s">
        <v>611</v>
      </c>
      <c r="D10" s="4" t="s">
        <v>26</v>
      </c>
      <c r="E10" s="4" t="s">
        <v>1351</v>
      </c>
      <c r="F10" s="4" t="s">
        <v>1370</v>
      </c>
      <c r="G10" s="5" t="n">
        <v>127</v>
      </c>
      <c r="H10" s="5" t="s">
        <v>1353</v>
      </c>
      <c r="I10" s="4" t="s">
        <v>1371</v>
      </c>
      <c r="J10" s="4" t="s">
        <v>131</v>
      </c>
    </row>
    <row r="11" customFormat="false" ht="15" hidden="false" customHeight="false" outlineLevel="0" collapsed="false">
      <c r="A11" s="5" t="n">
        <v>41505</v>
      </c>
      <c r="B11" s="5" t="s">
        <v>52</v>
      </c>
      <c r="C11" s="5" t="s">
        <v>1372</v>
      </c>
      <c r="D11" s="4" t="s">
        <v>26</v>
      </c>
      <c r="E11" s="4" t="s">
        <v>1351</v>
      </c>
      <c r="F11" s="4" t="s">
        <v>1368</v>
      </c>
      <c r="G11" s="5" t="n">
        <v>143</v>
      </c>
      <c r="H11" s="5" t="s">
        <v>1353</v>
      </c>
      <c r="I11" s="4" t="s">
        <v>1373</v>
      </c>
      <c r="J11" s="4" t="s">
        <v>131</v>
      </c>
    </row>
    <row r="12" customFormat="false" ht="15" hidden="false" customHeight="false" outlineLevel="0" collapsed="false">
      <c r="A12" s="5" t="n">
        <v>40522</v>
      </c>
      <c r="B12" s="5" t="s">
        <v>52</v>
      </c>
      <c r="C12" s="5" t="s">
        <v>1374</v>
      </c>
      <c r="D12" s="4" t="s">
        <v>26</v>
      </c>
      <c r="E12" s="4" t="s">
        <v>1351</v>
      </c>
      <c r="F12" s="4" t="s">
        <v>1368</v>
      </c>
      <c r="G12" s="5" t="n">
        <v>61</v>
      </c>
      <c r="H12" s="5" t="s">
        <v>1353</v>
      </c>
      <c r="I12" s="4" t="s">
        <v>1375</v>
      </c>
      <c r="J12" s="4" t="s">
        <v>131</v>
      </c>
    </row>
    <row r="13" customFormat="false" ht="15" hidden="false" customHeight="false" outlineLevel="0" collapsed="false">
      <c r="A13" s="5" t="n">
        <v>38443</v>
      </c>
      <c r="B13" s="5" t="s">
        <v>52</v>
      </c>
      <c r="C13" s="5" t="s">
        <v>1376</v>
      </c>
      <c r="D13" s="4" t="s">
        <v>26</v>
      </c>
      <c r="E13" s="4" t="s">
        <v>1351</v>
      </c>
      <c r="F13" s="4" t="s">
        <v>1377</v>
      </c>
      <c r="G13" s="5" t="n">
        <v>69</v>
      </c>
      <c r="H13" s="5" t="s">
        <v>1353</v>
      </c>
      <c r="I13" s="4" t="s">
        <v>1378</v>
      </c>
      <c r="J13" s="4" t="s">
        <v>131</v>
      </c>
    </row>
    <row r="14" customFormat="false" ht="15" hidden="false" customHeight="false" outlineLevel="0" collapsed="false">
      <c r="A14" s="5" t="n">
        <v>38545</v>
      </c>
      <c r="B14" s="5" t="s">
        <v>52</v>
      </c>
      <c r="C14" s="5" t="s">
        <v>1379</v>
      </c>
      <c r="D14" s="4" t="s">
        <v>26</v>
      </c>
      <c r="E14" s="4" t="s">
        <v>1351</v>
      </c>
      <c r="F14" s="4" t="s">
        <v>1368</v>
      </c>
      <c r="G14" s="5" t="n">
        <v>76</v>
      </c>
      <c r="H14" s="5" t="s">
        <v>1353</v>
      </c>
      <c r="I14" s="4" t="s">
        <v>1380</v>
      </c>
      <c r="J14" s="4" t="s">
        <v>131</v>
      </c>
    </row>
    <row r="15" customFormat="false" ht="15" hidden="false" customHeight="false" outlineLevel="0" collapsed="false">
      <c r="A15" s="5" t="n">
        <v>35886</v>
      </c>
      <c r="B15" s="5" t="s">
        <v>52</v>
      </c>
      <c r="C15" s="5" t="s">
        <v>1381</v>
      </c>
      <c r="D15" s="4" t="s">
        <v>26</v>
      </c>
      <c r="E15" s="4" t="s">
        <v>1351</v>
      </c>
      <c r="F15" s="4" t="s">
        <v>1377</v>
      </c>
      <c r="G15" s="5" t="n">
        <v>41</v>
      </c>
      <c r="H15" s="5" t="s">
        <v>1353</v>
      </c>
      <c r="I15" s="4" t="s">
        <v>1382</v>
      </c>
      <c r="J15" s="4" t="s">
        <v>131</v>
      </c>
    </row>
    <row r="16" customFormat="false" ht="15" hidden="false" customHeight="false" outlineLevel="0" collapsed="false">
      <c r="A16" s="5" t="n">
        <v>38360</v>
      </c>
      <c r="B16" s="5" t="s">
        <v>52</v>
      </c>
      <c r="C16" s="5" t="s">
        <v>1383</v>
      </c>
      <c r="D16" s="4" t="s">
        <v>34</v>
      </c>
      <c r="E16" s="4" t="s">
        <v>1351</v>
      </c>
      <c r="F16" s="4" t="s">
        <v>1368</v>
      </c>
      <c r="G16" s="5" t="n">
        <v>89</v>
      </c>
      <c r="H16" s="5" t="s">
        <v>1353</v>
      </c>
      <c r="I16" s="4" t="s">
        <v>1384</v>
      </c>
      <c r="J16" s="4" t="s">
        <v>131</v>
      </c>
    </row>
    <row r="17" customFormat="false" ht="15" hidden="false" customHeight="false" outlineLevel="0" collapsed="false">
      <c r="A17" s="5" t="n">
        <v>42329</v>
      </c>
      <c r="B17" s="5" t="s">
        <v>52</v>
      </c>
      <c r="C17" s="5" t="s">
        <v>1385</v>
      </c>
      <c r="D17" s="4" t="s">
        <v>26</v>
      </c>
      <c r="E17" s="4" t="s">
        <v>1351</v>
      </c>
      <c r="F17" s="4" t="s">
        <v>1370</v>
      </c>
      <c r="G17" s="5" t="n">
        <v>121</v>
      </c>
      <c r="H17" s="5" t="s">
        <v>1353</v>
      </c>
      <c r="I17" s="4" t="s">
        <v>1386</v>
      </c>
      <c r="J17" s="4" t="s">
        <v>131</v>
      </c>
    </row>
    <row r="18" customFormat="false" ht="15" hidden="false" customHeight="false" outlineLevel="0" collapsed="false">
      <c r="A18" s="5" t="n">
        <v>41519</v>
      </c>
      <c r="B18" s="5" t="s">
        <v>52</v>
      </c>
      <c r="C18" s="5" t="s">
        <v>1387</v>
      </c>
      <c r="D18" s="4" t="s">
        <v>26</v>
      </c>
      <c r="E18" s="4" t="s">
        <v>1351</v>
      </c>
      <c r="F18" s="4" t="s">
        <v>1356</v>
      </c>
      <c r="G18" s="5" t="n">
        <v>117</v>
      </c>
      <c r="H18" s="5" t="s">
        <v>1353</v>
      </c>
      <c r="I18" s="4" t="s">
        <v>1388</v>
      </c>
      <c r="J18" s="4" t="s">
        <v>131</v>
      </c>
    </row>
    <row r="19" customFormat="false" ht="15" hidden="false" customHeight="false" outlineLevel="0" collapsed="false">
      <c r="A19" s="5" t="n">
        <v>41067</v>
      </c>
      <c r="B19" s="5" t="s">
        <v>52</v>
      </c>
      <c r="C19" s="5" t="s">
        <v>848</v>
      </c>
      <c r="D19" s="4" t="s">
        <v>26</v>
      </c>
      <c r="E19" s="4" t="s">
        <v>1351</v>
      </c>
      <c r="F19" s="4" t="s">
        <v>1368</v>
      </c>
      <c r="G19" s="5" t="n">
        <v>91</v>
      </c>
      <c r="H19" s="5" t="s">
        <v>1353</v>
      </c>
      <c r="I19" s="4" t="s">
        <v>1389</v>
      </c>
      <c r="J19" s="4" t="s">
        <v>131</v>
      </c>
    </row>
    <row r="20" customFormat="false" ht="15" hidden="false" customHeight="false" outlineLevel="0" collapsed="false">
      <c r="A20" s="5" t="n">
        <v>40865</v>
      </c>
      <c r="B20" s="5" t="s">
        <v>52</v>
      </c>
      <c r="C20" s="5" t="s">
        <v>1228</v>
      </c>
      <c r="D20" s="4" t="s">
        <v>26</v>
      </c>
      <c r="E20" s="4" t="s">
        <v>1351</v>
      </c>
      <c r="F20" s="4" t="s">
        <v>1368</v>
      </c>
      <c r="G20" s="5" t="n">
        <v>71</v>
      </c>
      <c r="H20" s="5" t="s">
        <v>1353</v>
      </c>
      <c r="I20" s="4" t="s">
        <v>1390</v>
      </c>
      <c r="J20" s="4" t="s">
        <v>131</v>
      </c>
    </row>
    <row r="21" customFormat="false" ht="15" hidden="false" customHeight="false" outlineLevel="0" collapsed="false">
      <c r="A21" s="5" t="n">
        <v>40485</v>
      </c>
      <c r="B21" s="5" t="s">
        <v>52</v>
      </c>
      <c r="C21" s="5" t="s">
        <v>1391</v>
      </c>
      <c r="D21" s="4" t="s">
        <v>26</v>
      </c>
      <c r="E21" s="4" t="s">
        <v>1351</v>
      </c>
      <c r="F21" s="4" t="s">
        <v>1370</v>
      </c>
      <c r="G21" s="5" t="n">
        <v>100</v>
      </c>
      <c r="H21" s="5" t="s">
        <v>1353</v>
      </c>
      <c r="I21" s="4" t="s">
        <v>1392</v>
      </c>
      <c r="J21" s="4" t="s">
        <v>131</v>
      </c>
    </row>
    <row r="22" customFormat="false" ht="15" hidden="false" customHeight="false" outlineLevel="0" collapsed="false">
      <c r="A22" s="5" t="n">
        <v>38544</v>
      </c>
      <c r="B22" s="5" t="s">
        <v>52</v>
      </c>
      <c r="C22" s="5" t="s">
        <v>1393</v>
      </c>
      <c r="D22" s="4" t="s">
        <v>26</v>
      </c>
      <c r="E22" s="4" t="s">
        <v>1351</v>
      </c>
      <c r="F22" s="4" t="s">
        <v>1370</v>
      </c>
      <c r="G22" s="5" t="n">
        <v>87</v>
      </c>
      <c r="H22" s="5" t="s">
        <v>1353</v>
      </c>
      <c r="I22" s="4" t="s">
        <v>1394</v>
      </c>
      <c r="J22" s="4" t="s">
        <v>131</v>
      </c>
    </row>
    <row r="23" customFormat="false" ht="15" hidden="false" customHeight="false" outlineLevel="0" collapsed="false">
      <c r="A23" s="5" t="n">
        <v>35952</v>
      </c>
      <c r="B23" s="5" t="s">
        <v>52</v>
      </c>
      <c r="C23" s="5" t="s">
        <v>967</v>
      </c>
      <c r="D23" s="4" t="s">
        <v>18</v>
      </c>
      <c r="E23" s="4" t="s">
        <v>1351</v>
      </c>
      <c r="F23" s="4" t="s">
        <v>1356</v>
      </c>
      <c r="G23" s="5" t="n">
        <v>134</v>
      </c>
      <c r="H23" s="5" t="s">
        <v>1353</v>
      </c>
      <c r="I23" s="4" t="s">
        <v>1395</v>
      </c>
      <c r="J23" s="4" t="s">
        <v>131</v>
      </c>
    </row>
    <row r="24" customFormat="false" ht="15" hidden="false" customHeight="false" outlineLevel="0" collapsed="false">
      <c r="A24" s="5" t="n">
        <v>42827</v>
      </c>
      <c r="B24" s="5" t="s">
        <v>52</v>
      </c>
      <c r="C24" s="5" t="s">
        <v>206</v>
      </c>
      <c r="D24" s="4" t="s">
        <v>18</v>
      </c>
      <c r="E24" s="4" t="s">
        <v>1351</v>
      </c>
      <c r="F24" s="4" t="s">
        <v>1356</v>
      </c>
      <c r="G24" s="5" t="n">
        <v>82</v>
      </c>
      <c r="H24" s="5" t="s">
        <v>1353</v>
      </c>
      <c r="I24" s="4" t="s">
        <v>1396</v>
      </c>
      <c r="J24" s="4" t="s">
        <v>131</v>
      </c>
    </row>
    <row r="25" customFormat="false" ht="15" hidden="false" customHeight="false" outlineLevel="0" collapsed="false">
      <c r="A25" s="5" t="n">
        <v>43066</v>
      </c>
      <c r="B25" s="5" t="s">
        <v>52</v>
      </c>
      <c r="C25" s="5" t="s">
        <v>1048</v>
      </c>
      <c r="D25" s="4" t="s">
        <v>30</v>
      </c>
      <c r="E25" s="4" t="s">
        <v>1351</v>
      </c>
      <c r="F25" s="4" t="s">
        <v>1356</v>
      </c>
      <c r="G25" s="5" t="n">
        <v>37</v>
      </c>
      <c r="H25" s="5" t="s">
        <v>1397</v>
      </c>
      <c r="I25" s="4" t="s">
        <v>1398</v>
      </c>
      <c r="J25" s="4" t="s">
        <v>132</v>
      </c>
    </row>
    <row r="26" customFormat="false" ht="15" hidden="false" customHeight="false" outlineLevel="0" collapsed="false">
      <c r="A26" s="5" t="n">
        <v>40766</v>
      </c>
      <c r="B26" s="5" t="s">
        <v>52</v>
      </c>
      <c r="C26" s="5" t="s">
        <v>1399</v>
      </c>
      <c r="D26" s="4" t="s">
        <v>22</v>
      </c>
      <c r="E26" s="4" t="s">
        <v>1351</v>
      </c>
      <c r="F26" s="4" t="s">
        <v>1356</v>
      </c>
      <c r="G26" s="5" t="n">
        <v>44</v>
      </c>
      <c r="H26" s="5" t="s">
        <v>1353</v>
      </c>
      <c r="I26" s="4" t="s">
        <v>1400</v>
      </c>
      <c r="J26" s="4" t="s">
        <v>131</v>
      </c>
    </row>
    <row r="27" customFormat="false" ht="15" hidden="false" customHeight="false" outlineLevel="0" collapsed="false">
      <c r="A27" s="5" t="n">
        <v>42992</v>
      </c>
      <c r="B27" s="5" t="s">
        <v>52</v>
      </c>
      <c r="C27" s="5" t="s">
        <v>1401</v>
      </c>
      <c r="D27" s="4" t="s">
        <v>22</v>
      </c>
      <c r="E27" s="4" t="s">
        <v>1351</v>
      </c>
      <c r="F27" s="4" t="s">
        <v>1368</v>
      </c>
      <c r="G27" s="5" t="n">
        <v>37</v>
      </c>
      <c r="H27" s="5" t="s">
        <v>1397</v>
      </c>
      <c r="I27" s="4" t="s">
        <v>1402</v>
      </c>
      <c r="J27" s="4" t="s">
        <v>132</v>
      </c>
    </row>
    <row r="28" customFormat="false" ht="15" hidden="false" customHeight="false" outlineLevel="0" collapsed="false">
      <c r="A28" s="5" t="n">
        <v>42699</v>
      </c>
      <c r="B28" s="5" t="s">
        <v>52</v>
      </c>
      <c r="C28" s="5" t="s">
        <v>1403</v>
      </c>
      <c r="D28" s="4" t="s">
        <v>22</v>
      </c>
      <c r="E28" s="4" t="s">
        <v>1351</v>
      </c>
      <c r="F28" s="4" t="s">
        <v>1368</v>
      </c>
      <c r="G28" s="5" t="n">
        <v>74</v>
      </c>
      <c r="H28" s="5" t="s">
        <v>1353</v>
      </c>
      <c r="I28" s="4" t="s">
        <v>1404</v>
      </c>
      <c r="J28" s="4" t="s">
        <v>131</v>
      </c>
    </row>
    <row r="29" customFormat="false" ht="15" hidden="false" customHeight="false" outlineLevel="0" collapsed="false">
      <c r="A29" s="5" t="n">
        <v>43026</v>
      </c>
      <c r="B29" s="5" t="s">
        <v>52</v>
      </c>
      <c r="C29" s="5" t="s">
        <v>1405</v>
      </c>
      <c r="D29" s="4" t="s">
        <v>22</v>
      </c>
      <c r="E29" s="4" t="s">
        <v>1351</v>
      </c>
      <c r="F29" s="4" t="s">
        <v>1368</v>
      </c>
      <c r="G29" s="5" t="n">
        <v>62</v>
      </c>
      <c r="H29" s="5" t="s">
        <v>1353</v>
      </c>
      <c r="I29" s="4" t="s">
        <v>1406</v>
      </c>
      <c r="J29" s="4" t="s">
        <v>131</v>
      </c>
    </row>
    <row r="30" customFormat="false" ht="15" hidden="false" customHeight="false" outlineLevel="0" collapsed="false">
      <c r="A30" s="5" t="n">
        <v>41047</v>
      </c>
      <c r="B30" s="5" t="s">
        <v>52</v>
      </c>
      <c r="C30" s="5" t="s">
        <v>1407</v>
      </c>
      <c r="D30" s="4" t="s">
        <v>32</v>
      </c>
      <c r="E30" s="4" t="s">
        <v>1351</v>
      </c>
      <c r="F30" s="4" t="s">
        <v>1352</v>
      </c>
      <c r="G30" s="5" t="n">
        <v>49</v>
      </c>
      <c r="H30" s="5" t="s">
        <v>1353</v>
      </c>
      <c r="I30" s="4" t="s">
        <v>1408</v>
      </c>
      <c r="J30" s="4" t="s">
        <v>131</v>
      </c>
    </row>
    <row r="31" customFormat="false" ht="15" hidden="false" customHeight="false" outlineLevel="0" collapsed="false">
      <c r="A31" s="5" t="n">
        <v>43067</v>
      </c>
      <c r="B31" s="5" t="s">
        <v>52</v>
      </c>
      <c r="C31" s="5" t="s">
        <v>1409</v>
      </c>
      <c r="D31" s="4" t="s">
        <v>22</v>
      </c>
      <c r="E31" s="4" t="s">
        <v>1351</v>
      </c>
      <c r="F31" s="4" t="s">
        <v>1356</v>
      </c>
      <c r="G31" s="5" t="n">
        <v>43</v>
      </c>
      <c r="H31" s="5" t="s">
        <v>1353</v>
      </c>
      <c r="I31" s="4" t="s">
        <v>1410</v>
      </c>
      <c r="J31" s="4" t="s">
        <v>131</v>
      </c>
    </row>
    <row r="32" customFormat="false" ht="15" hidden="false" customHeight="false" outlineLevel="0" collapsed="false">
      <c r="A32" s="5" t="n">
        <v>40688</v>
      </c>
      <c r="B32" s="5" t="s">
        <v>52</v>
      </c>
      <c r="C32" s="5" t="s">
        <v>1411</v>
      </c>
      <c r="D32" s="4" t="s">
        <v>24</v>
      </c>
      <c r="E32" s="4" t="s">
        <v>1351</v>
      </c>
      <c r="F32" s="4" t="s">
        <v>1356</v>
      </c>
      <c r="G32" s="5" t="n">
        <v>92</v>
      </c>
      <c r="H32" s="5" t="s">
        <v>1353</v>
      </c>
      <c r="I32" s="4" t="s">
        <v>1412</v>
      </c>
      <c r="J32" s="4" t="s">
        <v>131</v>
      </c>
    </row>
    <row r="33" customFormat="false" ht="15" hidden="false" customHeight="false" outlineLevel="0" collapsed="false">
      <c r="A33" s="5" t="n">
        <v>39518</v>
      </c>
      <c r="B33" s="5" t="s">
        <v>52</v>
      </c>
      <c r="C33" s="5" t="s">
        <v>1413</v>
      </c>
      <c r="D33" s="4" t="s">
        <v>24</v>
      </c>
      <c r="E33" s="4" t="s">
        <v>1351</v>
      </c>
      <c r="F33" s="4" t="s">
        <v>1356</v>
      </c>
      <c r="G33" s="5" t="n">
        <v>91</v>
      </c>
      <c r="H33" s="5" t="s">
        <v>1353</v>
      </c>
      <c r="I33" s="4" t="s">
        <v>1414</v>
      </c>
      <c r="J33" s="4" t="s">
        <v>131</v>
      </c>
    </row>
    <row r="34" customFormat="false" ht="15" hidden="false" customHeight="false" outlineLevel="0" collapsed="false">
      <c r="A34" s="5" t="n">
        <v>39768</v>
      </c>
      <c r="B34" s="5" t="s">
        <v>52</v>
      </c>
      <c r="C34" s="5" t="s">
        <v>1005</v>
      </c>
      <c r="D34" s="4" t="s">
        <v>24</v>
      </c>
      <c r="E34" s="4" t="s">
        <v>1351</v>
      </c>
      <c r="F34" s="4" t="s">
        <v>1356</v>
      </c>
      <c r="G34" s="5" t="n">
        <v>120</v>
      </c>
      <c r="H34" s="5" t="s">
        <v>1353</v>
      </c>
      <c r="I34" s="4" t="s">
        <v>1415</v>
      </c>
      <c r="J34" s="4" t="s">
        <v>131</v>
      </c>
    </row>
    <row r="35" customFormat="false" ht="15" hidden="false" customHeight="false" outlineLevel="0" collapsed="false">
      <c r="A35" s="5" t="n">
        <v>40549</v>
      </c>
      <c r="B35" s="5" t="s">
        <v>54</v>
      </c>
      <c r="C35" s="5" t="s">
        <v>1416</v>
      </c>
      <c r="D35" s="4" t="s">
        <v>34</v>
      </c>
      <c r="E35" s="4" t="s">
        <v>1351</v>
      </c>
      <c r="F35" s="4" t="s">
        <v>1352</v>
      </c>
      <c r="G35" s="5" t="n">
        <v>81</v>
      </c>
      <c r="H35" s="5" t="s">
        <v>1353</v>
      </c>
      <c r="I35" s="4" t="s">
        <v>1417</v>
      </c>
      <c r="J35" s="4" t="s">
        <v>131</v>
      </c>
    </row>
    <row r="36" customFormat="false" ht="15" hidden="false" customHeight="false" outlineLevel="0" collapsed="false">
      <c r="A36" s="5" t="n">
        <v>40549</v>
      </c>
      <c r="B36" s="5" t="s">
        <v>54</v>
      </c>
      <c r="C36" s="5" t="s">
        <v>1416</v>
      </c>
      <c r="D36" s="4" t="s">
        <v>34</v>
      </c>
      <c r="E36" s="4" t="s">
        <v>1418</v>
      </c>
      <c r="F36" s="4"/>
      <c r="G36" s="5" t="n">
        <v>0</v>
      </c>
      <c r="H36" s="5" t="s">
        <v>1419</v>
      </c>
      <c r="I36" s="4"/>
      <c r="J36" s="4" t="s">
        <v>134</v>
      </c>
    </row>
    <row r="37" customFormat="false" ht="15" hidden="false" customHeight="false" outlineLevel="0" collapsed="false">
      <c r="A37" s="5" t="n">
        <v>38089</v>
      </c>
      <c r="B37" s="5" t="s">
        <v>54</v>
      </c>
      <c r="C37" s="5" t="s">
        <v>1420</v>
      </c>
      <c r="D37" s="4" t="s">
        <v>34</v>
      </c>
      <c r="E37" s="4" t="s">
        <v>1351</v>
      </c>
      <c r="F37" s="4" t="s">
        <v>1352</v>
      </c>
      <c r="G37" s="5" t="n">
        <v>136</v>
      </c>
      <c r="H37" s="5" t="s">
        <v>1353</v>
      </c>
      <c r="I37" s="4" t="s">
        <v>1421</v>
      </c>
      <c r="J37" s="4" t="s">
        <v>131</v>
      </c>
    </row>
    <row r="38" customFormat="false" ht="15" hidden="false" customHeight="false" outlineLevel="0" collapsed="false">
      <c r="A38" s="5" t="n">
        <v>43070</v>
      </c>
      <c r="B38" s="5" t="s">
        <v>54</v>
      </c>
      <c r="C38" s="5" t="s">
        <v>1422</v>
      </c>
      <c r="D38" s="4" t="s">
        <v>34</v>
      </c>
      <c r="E38" s="4" t="s">
        <v>1351</v>
      </c>
      <c r="F38" s="4" t="s">
        <v>1352</v>
      </c>
      <c r="G38" s="5" t="n">
        <v>83</v>
      </c>
      <c r="H38" s="5" t="s">
        <v>1353</v>
      </c>
      <c r="I38" s="4" t="s">
        <v>1423</v>
      </c>
      <c r="J38" s="4" t="s">
        <v>131</v>
      </c>
    </row>
    <row r="39" customFormat="false" ht="15" hidden="false" customHeight="false" outlineLevel="0" collapsed="false">
      <c r="A39" s="5" t="n">
        <v>25129</v>
      </c>
      <c r="B39" s="5" t="s">
        <v>54</v>
      </c>
      <c r="C39" s="5" t="s">
        <v>1424</v>
      </c>
      <c r="D39" s="4" t="s">
        <v>34</v>
      </c>
      <c r="E39" s="4" t="s">
        <v>1351</v>
      </c>
      <c r="F39" s="4" t="s">
        <v>1368</v>
      </c>
      <c r="G39" s="5" t="n">
        <v>71</v>
      </c>
      <c r="H39" s="5" t="s">
        <v>1353</v>
      </c>
      <c r="I39" s="4" t="s">
        <v>1425</v>
      </c>
      <c r="J39" s="4" t="s">
        <v>131</v>
      </c>
    </row>
    <row r="40" customFormat="false" ht="15" hidden="false" customHeight="false" outlineLevel="0" collapsed="false">
      <c r="A40" s="5" t="n">
        <v>40498</v>
      </c>
      <c r="B40" s="5" t="s">
        <v>54</v>
      </c>
      <c r="C40" s="5" t="s">
        <v>189</v>
      </c>
      <c r="D40" s="4" t="s">
        <v>34</v>
      </c>
      <c r="E40" s="4" t="s">
        <v>1351</v>
      </c>
      <c r="F40" s="4" t="s">
        <v>1368</v>
      </c>
      <c r="G40" s="5" t="n">
        <v>138</v>
      </c>
      <c r="H40" s="5" t="s">
        <v>1353</v>
      </c>
      <c r="I40" s="4" t="s">
        <v>1426</v>
      </c>
      <c r="J40" s="4" t="s">
        <v>131</v>
      </c>
    </row>
    <row r="41" customFormat="false" ht="15" hidden="false" customHeight="false" outlineLevel="0" collapsed="false">
      <c r="A41" s="5" t="n">
        <v>40498</v>
      </c>
      <c r="B41" s="5" t="s">
        <v>54</v>
      </c>
      <c r="C41" s="5" t="s">
        <v>189</v>
      </c>
      <c r="D41" s="4" t="s">
        <v>34</v>
      </c>
      <c r="E41" s="4" t="s">
        <v>1351</v>
      </c>
      <c r="F41" s="4" t="s">
        <v>1377</v>
      </c>
      <c r="G41" s="5" t="n">
        <v>10</v>
      </c>
      <c r="H41" s="5" t="s">
        <v>1419</v>
      </c>
      <c r="I41" s="4" t="s">
        <v>1427</v>
      </c>
      <c r="J41" s="4" t="s">
        <v>133</v>
      </c>
    </row>
    <row r="42" customFormat="false" ht="15" hidden="false" customHeight="false" outlineLevel="0" collapsed="false">
      <c r="A42" s="5" t="n">
        <v>43074</v>
      </c>
      <c r="B42" s="5" t="s">
        <v>54</v>
      </c>
      <c r="C42" s="5" t="s">
        <v>1428</v>
      </c>
      <c r="D42" s="4" t="s">
        <v>18</v>
      </c>
      <c r="E42" s="4" t="s">
        <v>1351</v>
      </c>
      <c r="F42" s="4" t="s">
        <v>1356</v>
      </c>
      <c r="G42" s="5" t="n">
        <v>99</v>
      </c>
      <c r="H42" s="5" t="s">
        <v>1353</v>
      </c>
      <c r="I42" s="4" t="s">
        <v>1429</v>
      </c>
      <c r="J42" s="4" t="s">
        <v>131</v>
      </c>
    </row>
    <row r="43" customFormat="false" ht="15" hidden="false" customHeight="false" outlineLevel="0" collapsed="false">
      <c r="A43" s="5" t="n">
        <v>39518</v>
      </c>
      <c r="B43" s="5" t="s">
        <v>54</v>
      </c>
      <c r="C43" s="5" t="s">
        <v>1430</v>
      </c>
      <c r="D43" s="4" t="s">
        <v>24</v>
      </c>
      <c r="E43" s="4" t="s">
        <v>1351</v>
      </c>
      <c r="F43" s="4" t="s">
        <v>1356</v>
      </c>
      <c r="G43" s="5" t="n">
        <v>55</v>
      </c>
      <c r="H43" s="5" t="s">
        <v>1353</v>
      </c>
      <c r="I43" s="4" t="s">
        <v>1431</v>
      </c>
      <c r="J43" s="4" t="s">
        <v>131</v>
      </c>
    </row>
    <row r="44" customFormat="false" ht="15" hidden="false" customHeight="false" outlineLevel="0" collapsed="false">
      <c r="A44" s="5" t="n">
        <v>40688</v>
      </c>
      <c r="B44" s="5" t="s">
        <v>54</v>
      </c>
      <c r="C44" s="5" t="s">
        <v>1432</v>
      </c>
      <c r="D44" s="4" t="s">
        <v>24</v>
      </c>
      <c r="E44" s="4" t="s">
        <v>1351</v>
      </c>
      <c r="F44" s="4" t="s">
        <v>1356</v>
      </c>
      <c r="G44" s="5" t="n">
        <v>116</v>
      </c>
      <c r="H44" s="5" t="s">
        <v>1353</v>
      </c>
      <c r="I44" s="4" t="s">
        <v>1433</v>
      </c>
      <c r="J44" s="4" t="s">
        <v>131</v>
      </c>
    </row>
    <row r="45" customFormat="false" ht="15" hidden="false" customHeight="false" outlineLevel="0" collapsed="false">
      <c r="A45" s="5" t="n">
        <v>40608</v>
      </c>
      <c r="B45" s="5" t="s">
        <v>54</v>
      </c>
      <c r="C45" s="5" t="s">
        <v>1434</v>
      </c>
      <c r="D45" s="4" t="s">
        <v>24</v>
      </c>
      <c r="E45" s="4" t="s">
        <v>1351</v>
      </c>
      <c r="F45" s="4" t="s">
        <v>1356</v>
      </c>
      <c r="G45" s="5" t="n">
        <v>208</v>
      </c>
      <c r="H45" s="5" t="s">
        <v>1353</v>
      </c>
      <c r="I45" s="4" t="s">
        <v>1435</v>
      </c>
      <c r="J45" s="4" t="s">
        <v>131</v>
      </c>
    </row>
    <row r="46" customFormat="false" ht="15" hidden="false" customHeight="false" outlineLevel="0" collapsed="false">
      <c r="A46" s="5" t="n">
        <v>43075</v>
      </c>
      <c r="B46" s="5" t="s">
        <v>54</v>
      </c>
      <c r="C46" s="5" t="s">
        <v>1436</v>
      </c>
      <c r="D46" s="4" t="s">
        <v>18</v>
      </c>
      <c r="E46" s="4" t="s">
        <v>1351</v>
      </c>
      <c r="F46" s="4" t="s">
        <v>1356</v>
      </c>
      <c r="G46" s="5" t="n">
        <v>163</v>
      </c>
      <c r="H46" s="5" t="s">
        <v>1353</v>
      </c>
      <c r="I46" s="4" t="s">
        <v>1437</v>
      </c>
      <c r="J46" s="4" t="s">
        <v>131</v>
      </c>
    </row>
    <row r="47" customFormat="false" ht="15" hidden="false" customHeight="false" outlineLevel="0" collapsed="false">
      <c r="A47" s="5" t="n">
        <v>40310</v>
      </c>
      <c r="B47" s="5" t="s">
        <v>54</v>
      </c>
      <c r="C47" s="5" t="s">
        <v>1438</v>
      </c>
      <c r="D47" s="4" t="s">
        <v>18</v>
      </c>
      <c r="E47" s="4" t="s">
        <v>1351</v>
      </c>
      <c r="F47" s="4" t="s">
        <v>1356</v>
      </c>
      <c r="G47" s="5" t="n">
        <v>93</v>
      </c>
      <c r="H47" s="5" t="s">
        <v>1353</v>
      </c>
      <c r="I47" s="4" t="s">
        <v>1439</v>
      </c>
      <c r="J47" s="4" t="s">
        <v>131</v>
      </c>
    </row>
    <row r="48" customFormat="false" ht="15" hidden="false" customHeight="false" outlineLevel="0" collapsed="false">
      <c r="A48" s="5" t="n">
        <v>41401</v>
      </c>
      <c r="B48" s="5" t="s">
        <v>54</v>
      </c>
      <c r="C48" s="5" t="s">
        <v>1440</v>
      </c>
      <c r="D48" s="4" t="s">
        <v>18</v>
      </c>
      <c r="E48" s="4" t="s">
        <v>1351</v>
      </c>
      <c r="F48" s="4" t="s">
        <v>1356</v>
      </c>
      <c r="G48" s="5" t="n">
        <v>184</v>
      </c>
      <c r="H48" s="5" t="s">
        <v>1353</v>
      </c>
      <c r="I48" s="4" t="s">
        <v>1441</v>
      </c>
      <c r="J48" s="4" t="s">
        <v>131</v>
      </c>
    </row>
    <row r="49" customFormat="false" ht="15" hidden="false" customHeight="false" outlineLevel="0" collapsed="false">
      <c r="A49" s="5" t="n">
        <v>41555</v>
      </c>
      <c r="B49" s="5" t="s">
        <v>54</v>
      </c>
      <c r="C49" s="5" t="s">
        <v>197</v>
      </c>
      <c r="D49" s="4" t="s">
        <v>22</v>
      </c>
      <c r="E49" s="4" t="s">
        <v>1351</v>
      </c>
      <c r="F49" s="4" t="s">
        <v>1377</v>
      </c>
      <c r="G49" s="5" t="n">
        <v>57</v>
      </c>
      <c r="H49" s="5" t="s">
        <v>1353</v>
      </c>
      <c r="I49" s="4" t="s">
        <v>1442</v>
      </c>
      <c r="J49" s="4" t="s">
        <v>131</v>
      </c>
    </row>
    <row r="50" customFormat="false" ht="15" hidden="false" customHeight="false" outlineLevel="0" collapsed="false">
      <c r="A50" s="5" t="n">
        <v>43077</v>
      </c>
      <c r="B50" s="5" t="s">
        <v>54</v>
      </c>
      <c r="C50" s="5" t="s">
        <v>1443</v>
      </c>
      <c r="D50" s="4" t="s">
        <v>22</v>
      </c>
      <c r="E50" s="4" t="s">
        <v>1351</v>
      </c>
      <c r="F50" s="4" t="s">
        <v>1356</v>
      </c>
      <c r="G50" s="5" t="n">
        <v>51</v>
      </c>
      <c r="H50" s="5" t="s">
        <v>1353</v>
      </c>
      <c r="I50" s="4" t="s">
        <v>1444</v>
      </c>
      <c r="J50" s="4" t="s">
        <v>131</v>
      </c>
    </row>
    <row r="51" customFormat="false" ht="15" hidden="false" customHeight="false" outlineLevel="0" collapsed="false">
      <c r="A51" s="5" t="n">
        <v>43076</v>
      </c>
      <c r="B51" s="5" t="s">
        <v>54</v>
      </c>
      <c r="C51" s="5" t="s">
        <v>1445</v>
      </c>
      <c r="D51" s="4" t="s">
        <v>18</v>
      </c>
      <c r="E51" s="4" t="s">
        <v>1351</v>
      </c>
      <c r="F51" s="4" t="s">
        <v>1356</v>
      </c>
      <c r="G51" s="5" t="n">
        <v>98</v>
      </c>
      <c r="H51" s="5" t="s">
        <v>1353</v>
      </c>
      <c r="I51" s="4" t="s">
        <v>1446</v>
      </c>
      <c r="J51" s="4" t="s">
        <v>131</v>
      </c>
    </row>
    <row r="52" customFormat="false" ht="15" hidden="false" customHeight="false" outlineLevel="0" collapsed="false">
      <c r="A52" s="5" t="n">
        <v>43078</v>
      </c>
      <c r="B52" s="5" t="s">
        <v>54</v>
      </c>
      <c r="C52" s="5" t="s">
        <v>1447</v>
      </c>
      <c r="D52" s="4" t="s">
        <v>34</v>
      </c>
      <c r="E52" s="4" t="s">
        <v>1351</v>
      </c>
      <c r="F52" s="4" t="s">
        <v>1368</v>
      </c>
      <c r="G52" s="5" t="n">
        <v>103</v>
      </c>
      <c r="H52" s="5" t="s">
        <v>1353</v>
      </c>
      <c r="I52" s="4" t="s">
        <v>1448</v>
      </c>
      <c r="J52" s="4" t="s">
        <v>131</v>
      </c>
    </row>
    <row r="53" customFormat="false" ht="15" hidden="false" customHeight="false" outlineLevel="0" collapsed="false">
      <c r="A53" s="5" t="n">
        <v>36828</v>
      </c>
      <c r="B53" s="5" t="s">
        <v>54</v>
      </c>
      <c r="C53" s="5" t="s">
        <v>1449</v>
      </c>
      <c r="D53" s="4" t="s">
        <v>32</v>
      </c>
      <c r="E53" s="4" t="s">
        <v>1351</v>
      </c>
      <c r="F53" s="4" t="s">
        <v>1356</v>
      </c>
      <c r="G53" s="5" t="n">
        <v>56</v>
      </c>
      <c r="H53" s="5" t="s">
        <v>1353</v>
      </c>
      <c r="I53" s="4" t="s">
        <v>1450</v>
      </c>
      <c r="J53" s="4" t="s">
        <v>131</v>
      </c>
    </row>
    <row r="54" customFormat="false" ht="15" hidden="false" customHeight="false" outlineLevel="0" collapsed="false">
      <c r="A54" s="5" t="n">
        <v>43081</v>
      </c>
      <c r="B54" s="5" t="s">
        <v>54</v>
      </c>
      <c r="C54" s="5" t="s">
        <v>217</v>
      </c>
      <c r="D54" s="4" t="s">
        <v>30</v>
      </c>
      <c r="E54" s="4" t="s">
        <v>1351</v>
      </c>
      <c r="F54" s="4" t="s">
        <v>1352</v>
      </c>
      <c r="G54" s="5" t="n">
        <v>66</v>
      </c>
      <c r="H54" s="5" t="s">
        <v>1353</v>
      </c>
      <c r="I54" s="4" t="s">
        <v>1451</v>
      </c>
      <c r="J54" s="4" t="s">
        <v>131</v>
      </c>
    </row>
    <row r="55" customFormat="false" ht="15" hidden="false" customHeight="false" outlineLevel="0" collapsed="false">
      <c r="A55" s="5" t="n">
        <v>43082</v>
      </c>
      <c r="B55" s="5" t="s">
        <v>54</v>
      </c>
      <c r="C55" s="5" t="s">
        <v>221</v>
      </c>
      <c r="D55" s="4" t="s">
        <v>30</v>
      </c>
      <c r="E55" s="4" t="s">
        <v>1351</v>
      </c>
      <c r="F55" s="4" t="s">
        <v>1352</v>
      </c>
      <c r="G55" s="5" t="n">
        <v>66</v>
      </c>
      <c r="H55" s="5" t="s">
        <v>1353</v>
      </c>
      <c r="I55" s="4" t="s">
        <v>1452</v>
      </c>
      <c r="J55" s="4" t="s">
        <v>131</v>
      </c>
    </row>
    <row r="56" customFormat="false" ht="15" hidden="false" customHeight="false" outlineLevel="0" collapsed="false">
      <c r="A56" s="5" t="n">
        <v>43083</v>
      </c>
      <c r="B56" s="5" t="s">
        <v>54</v>
      </c>
      <c r="C56" s="5" t="s">
        <v>225</v>
      </c>
      <c r="D56" s="4" t="s">
        <v>30</v>
      </c>
      <c r="E56" s="4" t="s">
        <v>1351</v>
      </c>
      <c r="F56" s="4" t="s">
        <v>1352</v>
      </c>
      <c r="G56" s="5" t="n">
        <v>38</v>
      </c>
      <c r="H56" s="5" t="s">
        <v>1397</v>
      </c>
      <c r="I56" s="4" t="s">
        <v>1453</v>
      </c>
      <c r="J56" s="4" t="s">
        <v>132</v>
      </c>
    </row>
    <row r="57" customFormat="false" ht="15" hidden="false" customHeight="false" outlineLevel="0" collapsed="false">
      <c r="A57" s="5" t="n">
        <v>43084</v>
      </c>
      <c r="B57" s="5" t="s">
        <v>54</v>
      </c>
      <c r="C57" s="5" t="s">
        <v>364</v>
      </c>
      <c r="D57" s="4" t="s">
        <v>30</v>
      </c>
      <c r="E57" s="4" t="s">
        <v>1351</v>
      </c>
      <c r="F57" s="4" t="s">
        <v>1356</v>
      </c>
      <c r="G57" s="5" t="n">
        <v>45</v>
      </c>
      <c r="H57" s="5" t="s">
        <v>1353</v>
      </c>
      <c r="I57" s="4" t="s">
        <v>1454</v>
      </c>
      <c r="J57" s="4" t="s">
        <v>131</v>
      </c>
    </row>
    <row r="58" customFormat="false" ht="15" hidden="false" customHeight="false" outlineLevel="0" collapsed="false">
      <c r="A58" s="5" t="n">
        <v>43088</v>
      </c>
      <c r="B58" s="5" t="s">
        <v>56</v>
      </c>
      <c r="C58" s="5" t="s">
        <v>1360</v>
      </c>
      <c r="D58" s="4" t="s">
        <v>34</v>
      </c>
      <c r="E58" s="4" t="s">
        <v>1351</v>
      </c>
      <c r="F58" s="4" t="s">
        <v>1352</v>
      </c>
      <c r="G58" s="5" t="n">
        <v>78</v>
      </c>
      <c r="H58" s="5" t="s">
        <v>1353</v>
      </c>
      <c r="I58" s="4" t="s">
        <v>1455</v>
      </c>
      <c r="J58" s="4" t="s">
        <v>131</v>
      </c>
    </row>
    <row r="59" customFormat="false" ht="15" hidden="false" customHeight="false" outlineLevel="0" collapsed="false">
      <c r="A59" s="5" t="n">
        <v>43088</v>
      </c>
      <c r="B59" s="5" t="s">
        <v>56</v>
      </c>
      <c r="C59" s="5" t="s">
        <v>329</v>
      </c>
      <c r="D59" s="4" t="s">
        <v>34</v>
      </c>
      <c r="E59" s="4" t="s">
        <v>1418</v>
      </c>
      <c r="F59" s="4"/>
      <c r="G59" s="5" t="n">
        <v>0</v>
      </c>
      <c r="H59" s="5" t="s">
        <v>1419</v>
      </c>
      <c r="I59" s="4"/>
      <c r="J59" s="4" t="s">
        <v>134</v>
      </c>
    </row>
    <row r="60" customFormat="false" ht="15" hidden="false" customHeight="false" outlineLevel="0" collapsed="false">
      <c r="A60" s="5" t="n">
        <v>42637</v>
      </c>
      <c r="B60" s="5" t="s">
        <v>56</v>
      </c>
      <c r="C60" s="5" t="s">
        <v>1456</v>
      </c>
      <c r="D60" s="4" t="s">
        <v>26</v>
      </c>
      <c r="E60" s="4" t="s">
        <v>1351</v>
      </c>
      <c r="F60" s="4" t="s">
        <v>1356</v>
      </c>
      <c r="G60" s="5" t="n">
        <v>198</v>
      </c>
      <c r="H60" s="5" t="s">
        <v>1353</v>
      </c>
      <c r="I60" s="4" t="s">
        <v>1457</v>
      </c>
      <c r="J60" s="4" t="s">
        <v>131</v>
      </c>
    </row>
    <row r="61" customFormat="false" ht="15" hidden="false" customHeight="false" outlineLevel="0" collapsed="false">
      <c r="A61" s="5" t="n">
        <v>42634</v>
      </c>
      <c r="B61" s="5" t="s">
        <v>56</v>
      </c>
      <c r="C61" s="5" t="s">
        <v>1458</v>
      </c>
      <c r="D61" s="4" t="s">
        <v>26</v>
      </c>
      <c r="E61" s="4" t="s">
        <v>1351</v>
      </c>
      <c r="F61" s="4" t="s">
        <v>1377</v>
      </c>
      <c r="G61" s="5" t="n">
        <v>63</v>
      </c>
      <c r="H61" s="5" t="s">
        <v>1353</v>
      </c>
      <c r="I61" s="4" t="s">
        <v>1459</v>
      </c>
      <c r="J61" s="4" t="s">
        <v>131</v>
      </c>
    </row>
    <row r="62" customFormat="false" ht="15" hidden="false" customHeight="false" outlineLevel="0" collapsed="false">
      <c r="A62" s="5" t="n">
        <v>42946</v>
      </c>
      <c r="B62" s="5" t="s">
        <v>56</v>
      </c>
      <c r="C62" s="5" t="s">
        <v>1460</v>
      </c>
      <c r="D62" s="4" t="s">
        <v>26</v>
      </c>
      <c r="E62" s="4" t="s">
        <v>1351</v>
      </c>
      <c r="F62" s="4" t="s">
        <v>1368</v>
      </c>
      <c r="G62" s="5" t="n">
        <v>85</v>
      </c>
      <c r="H62" s="5" t="s">
        <v>1353</v>
      </c>
      <c r="I62" s="4" t="s">
        <v>1461</v>
      </c>
      <c r="J62" s="4" t="s">
        <v>131</v>
      </c>
    </row>
    <row r="63" customFormat="false" ht="15" hidden="false" customHeight="false" outlineLevel="0" collapsed="false">
      <c r="A63" s="5" t="n">
        <v>42954</v>
      </c>
      <c r="B63" s="5" t="s">
        <v>56</v>
      </c>
      <c r="C63" s="5" t="s">
        <v>1462</v>
      </c>
      <c r="D63" s="4" t="s">
        <v>26</v>
      </c>
      <c r="E63" s="4" t="s">
        <v>1351</v>
      </c>
      <c r="F63" s="4" t="s">
        <v>1377</v>
      </c>
      <c r="G63" s="5" t="n">
        <v>96</v>
      </c>
      <c r="H63" s="5" t="s">
        <v>1353</v>
      </c>
      <c r="I63" s="4" t="s">
        <v>1463</v>
      </c>
      <c r="J63" s="4" t="s">
        <v>131</v>
      </c>
    </row>
    <row r="64" customFormat="false" ht="15" hidden="false" customHeight="false" outlineLevel="0" collapsed="false">
      <c r="A64" s="5" t="n">
        <v>40688</v>
      </c>
      <c r="B64" s="5" t="s">
        <v>56</v>
      </c>
      <c r="C64" s="5" t="s">
        <v>1464</v>
      </c>
      <c r="D64" s="4" t="s">
        <v>24</v>
      </c>
      <c r="E64" s="4" t="s">
        <v>1351</v>
      </c>
      <c r="F64" s="4" t="s">
        <v>1356</v>
      </c>
      <c r="G64" s="5" t="n">
        <v>93</v>
      </c>
      <c r="H64" s="5" t="s">
        <v>1353</v>
      </c>
      <c r="I64" s="4" t="s">
        <v>1465</v>
      </c>
      <c r="J64" s="4" t="s">
        <v>131</v>
      </c>
    </row>
    <row r="65" customFormat="false" ht="15" hidden="false" customHeight="false" outlineLevel="0" collapsed="false">
      <c r="A65" s="5" t="n">
        <v>40742</v>
      </c>
      <c r="B65" s="5" t="s">
        <v>56</v>
      </c>
      <c r="C65" s="5" t="s">
        <v>1466</v>
      </c>
      <c r="D65" s="4" t="s">
        <v>24</v>
      </c>
      <c r="E65" s="4" t="s">
        <v>1351</v>
      </c>
      <c r="F65" s="4" t="s">
        <v>1356</v>
      </c>
      <c r="G65" s="5" t="n">
        <v>109</v>
      </c>
      <c r="H65" s="5" t="s">
        <v>1353</v>
      </c>
      <c r="I65" s="4" t="s">
        <v>1467</v>
      </c>
      <c r="J65" s="4" t="s">
        <v>131</v>
      </c>
    </row>
    <row r="66" customFormat="false" ht="15" hidden="false" customHeight="false" outlineLevel="0" collapsed="false">
      <c r="A66" s="5" t="n">
        <v>41583</v>
      </c>
      <c r="B66" s="5" t="s">
        <v>56</v>
      </c>
      <c r="C66" s="5" t="s">
        <v>1079</v>
      </c>
      <c r="D66" s="4" t="s">
        <v>24</v>
      </c>
      <c r="E66" s="4" t="s">
        <v>1351</v>
      </c>
      <c r="F66" s="4" t="s">
        <v>1356</v>
      </c>
      <c r="G66" s="5" t="n">
        <v>125</v>
      </c>
      <c r="H66" s="5" t="s">
        <v>1353</v>
      </c>
      <c r="I66" s="4" t="s">
        <v>1468</v>
      </c>
      <c r="J66" s="4" t="s">
        <v>131</v>
      </c>
    </row>
    <row r="67" customFormat="false" ht="15" hidden="false" customHeight="false" outlineLevel="0" collapsed="false">
      <c r="A67" s="5" t="n">
        <v>40608</v>
      </c>
      <c r="B67" s="5" t="s">
        <v>56</v>
      </c>
      <c r="C67" s="5" t="s">
        <v>1469</v>
      </c>
      <c r="D67" s="4" t="s">
        <v>24</v>
      </c>
      <c r="E67" s="4" t="s">
        <v>1351</v>
      </c>
      <c r="F67" s="4" t="s">
        <v>1368</v>
      </c>
      <c r="G67" s="5" t="n">
        <v>94</v>
      </c>
      <c r="H67" s="5" t="s">
        <v>1353</v>
      </c>
      <c r="I67" s="4" t="s">
        <v>1470</v>
      </c>
      <c r="J67" s="4" t="s">
        <v>131</v>
      </c>
    </row>
    <row r="68" customFormat="false" ht="15" hidden="false" customHeight="false" outlineLevel="0" collapsed="false">
      <c r="A68" s="5" t="n">
        <v>43099</v>
      </c>
      <c r="B68" s="5" t="s">
        <v>56</v>
      </c>
      <c r="C68" s="5" t="s">
        <v>1471</v>
      </c>
      <c r="D68" s="4" t="s">
        <v>30</v>
      </c>
      <c r="E68" s="4" t="s">
        <v>1351</v>
      </c>
      <c r="F68" s="4" t="s">
        <v>1356</v>
      </c>
      <c r="G68" s="5" t="n">
        <v>138</v>
      </c>
      <c r="H68" s="5" t="s">
        <v>1353</v>
      </c>
      <c r="I68" s="4" t="s">
        <v>1472</v>
      </c>
      <c r="J68" s="4" t="s">
        <v>131</v>
      </c>
    </row>
    <row r="69" customFormat="false" ht="15" hidden="false" customHeight="false" outlineLevel="0" collapsed="false">
      <c r="A69" s="5" t="n">
        <v>43100</v>
      </c>
      <c r="B69" s="5" t="s">
        <v>56</v>
      </c>
      <c r="C69" s="5" t="s">
        <v>1473</v>
      </c>
      <c r="D69" s="4" t="s">
        <v>22</v>
      </c>
      <c r="E69" s="4" t="s">
        <v>1351</v>
      </c>
      <c r="F69" s="4" t="s">
        <v>1356</v>
      </c>
      <c r="G69" s="5" t="n">
        <v>59</v>
      </c>
      <c r="H69" s="5" t="s">
        <v>1353</v>
      </c>
      <c r="I69" s="4" t="s">
        <v>1474</v>
      </c>
      <c r="J69" s="4" t="s">
        <v>131</v>
      </c>
    </row>
    <row r="70" customFormat="false" ht="15" hidden="false" customHeight="false" outlineLevel="0" collapsed="false">
      <c r="A70" s="5" t="n">
        <v>42457</v>
      </c>
      <c r="B70" s="5" t="s">
        <v>56</v>
      </c>
      <c r="C70" s="5" t="s">
        <v>1475</v>
      </c>
      <c r="D70" s="4" t="s">
        <v>22</v>
      </c>
      <c r="E70" s="4" t="s">
        <v>1351</v>
      </c>
      <c r="F70" s="4" t="s">
        <v>1356</v>
      </c>
      <c r="G70" s="5" t="n">
        <v>80</v>
      </c>
      <c r="H70" s="5" t="s">
        <v>1353</v>
      </c>
      <c r="I70" s="4" t="s">
        <v>1476</v>
      </c>
      <c r="J70" s="4" t="s">
        <v>131</v>
      </c>
    </row>
    <row r="71" customFormat="false" ht="15" hidden="false" customHeight="false" outlineLevel="0" collapsed="false">
      <c r="A71" s="5" t="n">
        <v>43101</v>
      </c>
      <c r="B71" s="5" t="s">
        <v>56</v>
      </c>
      <c r="C71" s="5" t="s">
        <v>1477</v>
      </c>
      <c r="D71" s="4" t="s">
        <v>22</v>
      </c>
      <c r="E71" s="4" t="s">
        <v>1351</v>
      </c>
      <c r="F71" s="4" t="s">
        <v>1356</v>
      </c>
      <c r="G71" s="5" t="n">
        <v>57</v>
      </c>
      <c r="H71" s="5" t="s">
        <v>1353</v>
      </c>
      <c r="I71" s="4" t="s">
        <v>1478</v>
      </c>
      <c r="J71" s="4" t="s">
        <v>131</v>
      </c>
    </row>
    <row r="72" customFormat="false" ht="15" hidden="false" customHeight="false" outlineLevel="0" collapsed="false">
      <c r="A72" s="5" t="n">
        <v>43102</v>
      </c>
      <c r="B72" s="5" t="s">
        <v>56</v>
      </c>
      <c r="C72" s="5" t="s">
        <v>1479</v>
      </c>
      <c r="D72" s="4" t="s">
        <v>22</v>
      </c>
      <c r="E72" s="4" t="s">
        <v>1351</v>
      </c>
      <c r="F72" s="4" t="s">
        <v>1356</v>
      </c>
      <c r="G72" s="5" t="n">
        <v>92</v>
      </c>
      <c r="H72" s="5" t="s">
        <v>1353</v>
      </c>
      <c r="I72" s="4" t="s">
        <v>1480</v>
      </c>
      <c r="J72" s="4" t="s">
        <v>131</v>
      </c>
    </row>
    <row r="73" customFormat="false" ht="15" hidden="false" customHeight="false" outlineLevel="0" collapsed="false">
      <c r="A73" s="5" t="n">
        <v>43103</v>
      </c>
      <c r="B73" s="5" t="s">
        <v>56</v>
      </c>
      <c r="C73" s="5" t="s">
        <v>1481</v>
      </c>
      <c r="D73" s="4" t="s">
        <v>22</v>
      </c>
      <c r="E73" s="4" t="s">
        <v>1351</v>
      </c>
      <c r="F73" s="4" t="s">
        <v>1356</v>
      </c>
      <c r="G73" s="5" t="n">
        <v>90</v>
      </c>
      <c r="H73" s="5" t="s">
        <v>1353</v>
      </c>
      <c r="I73" s="4" t="s">
        <v>1482</v>
      </c>
      <c r="J73" s="4" t="s">
        <v>131</v>
      </c>
    </row>
    <row r="74" customFormat="false" ht="15" hidden="false" customHeight="false" outlineLevel="0" collapsed="false">
      <c r="A74" s="5" t="n">
        <v>35173</v>
      </c>
      <c r="B74" s="5" t="s">
        <v>58</v>
      </c>
      <c r="C74" s="5" t="s">
        <v>1483</v>
      </c>
      <c r="D74" s="4" t="s">
        <v>32</v>
      </c>
      <c r="E74" s="4" t="s">
        <v>1351</v>
      </c>
      <c r="F74" s="4" t="s">
        <v>1356</v>
      </c>
      <c r="G74" s="5" t="n">
        <v>12</v>
      </c>
      <c r="H74" s="5" t="s">
        <v>1419</v>
      </c>
      <c r="I74" s="4" t="s">
        <v>1484</v>
      </c>
      <c r="J74" s="4" t="s">
        <v>133</v>
      </c>
    </row>
    <row r="75" customFormat="false" ht="15" hidden="false" customHeight="false" outlineLevel="0" collapsed="false">
      <c r="A75" s="5" t="n">
        <v>43104</v>
      </c>
      <c r="B75" s="5" t="s">
        <v>58</v>
      </c>
      <c r="C75" s="5" t="s">
        <v>684</v>
      </c>
      <c r="D75" s="4" t="s">
        <v>18</v>
      </c>
      <c r="E75" s="4" t="s">
        <v>1351</v>
      </c>
      <c r="F75" s="4" t="s">
        <v>1356</v>
      </c>
      <c r="G75" s="5" t="n">
        <v>137</v>
      </c>
      <c r="H75" s="5" t="s">
        <v>1353</v>
      </c>
      <c r="I75" s="4" t="s">
        <v>1485</v>
      </c>
      <c r="J75" s="4" t="s">
        <v>131</v>
      </c>
    </row>
    <row r="76" customFormat="false" ht="15" hidden="false" customHeight="false" outlineLevel="0" collapsed="false">
      <c r="A76" s="5" t="n">
        <v>37437</v>
      </c>
      <c r="B76" s="5" t="s">
        <v>58</v>
      </c>
      <c r="C76" s="5" t="s">
        <v>1486</v>
      </c>
      <c r="D76" s="4" t="s">
        <v>18</v>
      </c>
      <c r="E76" s="4" t="s">
        <v>1351</v>
      </c>
      <c r="F76" s="4" t="s">
        <v>1356</v>
      </c>
      <c r="G76" s="5" t="n">
        <v>91</v>
      </c>
      <c r="H76" s="5" t="s">
        <v>1353</v>
      </c>
      <c r="I76" s="4" t="s">
        <v>1487</v>
      </c>
      <c r="J76" s="4" t="s">
        <v>131</v>
      </c>
    </row>
    <row r="77" customFormat="false" ht="15" hidden="false" customHeight="false" outlineLevel="0" collapsed="false">
      <c r="A77" s="5" t="n">
        <v>43105</v>
      </c>
      <c r="B77" s="5" t="s">
        <v>58</v>
      </c>
      <c r="C77" s="5" t="s">
        <v>1488</v>
      </c>
      <c r="D77" s="4" t="s">
        <v>18</v>
      </c>
      <c r="E77" s="4" t="s">
        <v>1351</v>
      </c>
      <c r="F77" s="4" t="s">
        <v>1356</v>
      </c>
      <c r="G77" s="5" t="n">
        <v>57</v>
      </c>
      <c r="H77" s="5" t="s">
        <v>1353</v>
      </c>
      <c r="I77" s="4" t="s">
        <v>1489</v>
      </c>
      <c r="J77" s="4" t="s">
        <v>131</v>
      </c>
    </row>
    <row r="78" customFormat="false" ht="15" hidden="false" customHeight="false" outlineLevel="0" collapsed="false">
      <c r="A78" s="5" t="n">
        <v>43106</v>
      </c>
      <c r="B78" s="5" t="s">
        <v>60</v>
      </c>
      <c r="C78" s="5" t="s">
        <v>1355</v>
      </c>
      <c r="D78" s="4" t="s">
        <v>34</v>
      </c>
      <c r="E78" s="4" t="s">
        <v>1351</v>
      </c>
      <c r="F78" s="4" t="s">
        <v>1352</v>
      </c>
      <c r="G78" s="5" t="n">
        <v>180</v>
      </c>
      <c r="H78" s="5" t="s">
        <v>1353</v>
      </c>
      <c r="I78" s="4" t="s">
        <v>1490</v>
      </c>
      <c r="J78" s="4" t="s">
        <v>131</v>
      </c>
    </row>
    <row r="79" customFormat="false" ht="15" hidden="false" customHeight="false" outlineLevel="0" collapsed="false">
      <c r="A79" s="5" t="n">
        <v>41583</v>
      </c>
      <c r="B79" s="5" t="s">
        <v>60</v>
      </c>
      <c r="C79" s="5" t="s">
        <v>1491</v>
      </c>
      <c r="D79" s="4" t="s">
        <v>24</v>
      </c>
      <c r="E79" s="4" t="s">
        <v>1351</v>
      </c>
      <c r="F79" s="4" t="s">
        <v>1356</v>
      </c>
      <c r="G79" s="5" t="n">
        <v>95</v>
      </c>
      <c r="H79" s="5" t="s">
        <v>1353</v>
      </c>
      <c r="I79" s="4" t="s">
        <v>1492</v>
      </c>
      <c r="J79" s="4" t="s">
        <v>131</v>
      </c>
    </row>
    <row r="80" customFormat="false" ht="15" hidden="false" customHeight="false" outlineLevel="0" collapsed="false">
      <c r="A80" s="5" t="n">
        <v>40608</v>
      </c>
      <c r="B80" s="5" t="s">
        <v>60</v>
      </c>
      <c r="C80" s="5" t="s">
        <v>1493</v>
      </c>
      <c r="D80" s="4" t="s">
        <v>24</v>
      </c>
      <c r="E80" s="4" t="s">
        <v>1351</v>
      </c>
      <c r="F80" s="4" t="s">
        <v>1356</v>
      </c>
      <c r="G80" s="5" t="n">
        <v>124</v>
      </c>
      <c r="H80" s="5" t="s">
        <v>1353</v>
      </c>
      <c r="I80" s="4" t="s">
        <v>1494</v>
      </c>
      <c r="J80" s="4" t="s">
        <v>131</v>
      </c>
    </row>
    <row r="81" customFormat="false" ht="15" hidden="false" customHeight="false" outlineLevel="0" collapsed="false">
      <c r="A81" s="5" t="n">
        <v>26544</v>
      </c>
      <c r="B81" s="5" t="s">
        <v>60</v>
      </c>
      <c r="C81" s="5" t="s">
        <v>1456</v>
      </c>
      <c r="D81" s="4" t="s">
        <v>34</v>
      </c>
      <c r="E81" s="4" t="s">
        <v>1351</v>
      </c>
      <c r="F81" s="4" t="s">
        <v>1352</v>
      </c>
      <c r="G81" s="5" t="n">
        <v>72</v>
      </c>
      <c r="H81" s="5" t="s">
        <v>1353</v>
      </c>
      <c r="I81" s="4" t="s">
        <v>1495</v>
      </c>
      <c r="J81" s="4" t="s">
        <v>131</v>
      </c>
    </row>
    <row r="82" customFormat="false" ht="15" hidden="false" customHeight="false" outlineLevel="0" collapsed="false">
      <c r="A82" s="5" t="n">
        <v>43107</v>
      </c>
      <c r="B82" s="5" t="s">
        <v>60</v>
      </c>
      <c r="C82" s="5" t="s">
        <v>1496</v>
      </c>
      <c r="D82" s="4" t="s">
        <v>34</v>
      </c>
      <c r="E82" s="4" t="s">
        <v>1351</v>
      </c>
      <c r="F82" s="4" t="s">
        <v>1352</v>
      </c>
      <c r="G82" s="5" t="n">
        <v>89</v>
      </c>
      <c r="H82" s="5" t="s">
        <v>1353</v>
      </c>
      <c r="I82" s="4" t="s">
        <v>1497</v>
      </c>
      <c r="J82" s="4" t="s">
        <v>131</v>
      </c>
    </row>
    <row r="83" customFormat="false" ht="15" hidden="false" customHeight="false" outlineLevel="0" collapsed="false">
      <c r="A83" s="5" t="n">
        <v>28468</v>
      </c>
      <c r="B83" s="5" t="s">
        <v>60</v>
      </c>
      <c r="C83" s="5" t="s">
        <v>1498</v>
      </c>
      <c r="D83" s="4" t="s">
        <v>34</v>
      </c>
      <c r="E83" s="4" t="s">
        <v>1351</v>
      </c>
      <c r="F83" s="4" t="s">
        <v>1352</v>
      </c>
      <c r="G83" s="5" t="n">
        <v>98</v>
      </c>
      <c r="H83" s="5" t="s">
        <v>1353</v>
      </c>
      <c r="I83" s="4" t="s">
        <v>1499</v>
      </c>
      <c r="J83" s="4" t="s">
        <v>131</v>
      </c>
    </row>
    <row r="84" customFormat="false" ht="15" hidden="false" customHeight="false" outlineLevel="0" collapsed="false">
      <c r="A84" s="5" t="n">
        <v>43108</v>
      </c>
      <c r="B84" s="5" t="s">
        <v>60</v>
      </c>
      <c r="C84" s="5" t="s">
        <v>1500</v>
      </c>
      <c r="D84" s="4" t="s">
        <v>34</v>
      </c>
      <c r="E84" s="4" t="s">
        <v>1351</v>
      </c>
      <c r="F84" s="4" t="s">
        <v>1352</v>
      </c>
      <c r="G84" s="5" t="n">
        <v>79</v>
      </c>
      <c r="H84" s="5" t="s">
        <v>1353</v>
      </c>
      <c r="I84" s="4" t="s">
        <v>1501</v>
      </c>
      <c r="J84" s="4" t="s">
        <v>131</v>
      </c>
    </row>
    <row r="85" customFormat="false" ht="15" hidden="false" customHeight="false" outlineLevel="0" collapsed="false">
      <c r="A85" s="5" t="n">
        <v>40498</v>
      </c>
      <c r="B85" s="5" t="s">
        <v>60</v>
      </c>
      <c r="C85" s="5" t="s">
        <v>1502</v>
      </c>
      <c r="D85" s="4" t="s">
        <v>34</v>
      </c>
      <c r="E85" s="4" t="s">
        <v>1351</v>
      </c>
      <c r="F85" s="4" t="s">
        <v>1368</v>
      </c>
      <c r="G85" s="5" t="n">
        <v>60</v>
      </c>
      <c r="H85" s="5" t="s">
        <v>1353</v>
      </c>
      <c r="I85" s="4" t="s">
        <v>1503</v>
      </c>
      <c r="J85" s="4" t="s">
        <v>131</v>
      </c>
    </row>
    <row r="86" customFormat="false" ht="15" hidden="false" customHeight="false" outlineLevel="0" collapsed="false">
      <c r="A86" s="5" t="n">
        <v>43116</v>
      </c>
      <c r="B86" s="5" t="s">
        <v>60</v>
      </c>
      <c r="C86" s="5" t="s">
        <v>1504</v>
      </c>
      <c r="D86" s="4" t="s">
        <v>24</v>
      </c>
      <c r="E86" s="4" t="s">
        <v>1351</v>
      </c>
      <c r="F86" s="4" t="s">
        <v>1352</v>
      </c>
      <c r="G86" s="5" t="n">
        <v>87</v>
      </c>
      <c r="H86" s="5" t="s">
        <v>1353</v>
      </c>
      <c r="I86" s="4" t="s">
        <v>1505</v>
      </c>
      <c r="J86" s="4" t="s">
        <v>131</v>
      </c>
    </row>
    <row r="87" customFormat="false" ht="15" hidden="false" customHeight="false" outlineLevel="0" collapsed="false">
      <c r="A87" s="5" t="n">
        <v>43118</v>
      </c>
      <c r="B87" s="5" t="s">
        <v>60</v>
      </c>
      <c r="C87" s="5" t="s">
        <v>983</v>
      </c>
      <c r="D87" s="4" t="s">
        <v>22</v>
      </c>
      <c r="E87" s="4" t="s">
        <v>1351</v>
      </c>
      <c r="F87" s="4" t="s">
        <v>1356</v>
      </c>
      <c r="G87" s="5" t="n">
        <v>58</v>
      </c>
      <c r="H87" s="5" t="s">
        <v>1353</v>
      </c>
      <c r="I87" s="4" t="s">
        <v>1506</v>
      </c>
      <c r="J87" s="4" t="s">
        <v>131</v>
      </c>
    </row>
    <row r="88" customFormat="false" ht="15" hidden="false" customHeight="false" outlineLevel="0" collapsed="false">
      <c r="A88" s="5" t="n">
        <v>43119</v>
      </c>
      <c r="B88" s="5" t="s">
        <v>60</v>
      </c>
      <c r="C88" s="5" t="s">
        <v>735</v>
      </c>
      <c r="D88" s="4" t="s">
        <v>30</v>
      </c>
      <c r="E88" s="4" t="s">
        <v>1351</v>
      </c>
      <c r="F88" s="4" t="s">
        <v>1352</v>
      </c>
      <c r="G88" s="5" t="n">
        <v>51</v>
      </c>
      <c r="H88" s="5" t="s">
        <v>1353</v>
      </c>
      <c r="I88" s="4" t="s">
        <v>1507</v>
      </c>
      <c r="J88" s="4" t="s">
        <v>131</v>
      </c>
    </row>
    <row r="89" customFormat="false" ht="15" hidden="false" customHeight="false" outlineLevel="0" collapsed="false">
      <c r="A89" s="5" t="n">
        <v>43120</v>
      </c>
      <c r="B89" s="5" t="s">
        <v>60</v>
      </c>
      <c r="C89" s="5" t="s">
        <v>737</v>
      </c>
      <c r="D89" s="4" t="s">
        <v>30</v>
      </c>
      <c r="E89" s="4" t="s">
        <v>1351</v>
      </c>
      <c r="F89" s="4" t="s">
        <v>1352</v>
      </c>
      <c r="G89" s="5" t="n">
        <v>89</v>
      </c>
      <c r="H89" s="5" t="s">
        <v>1353</v>
      </c>
      <c r="I89" s="4" t="s">
        <v>1508</v>
      </c>
      <c r="J89" s="4" t="s">
        <v>131</v>
      </c>
    </row>
    <row r="90" customFormat="false" ht="15" hidden="false" customHeight="false" outlineLevel="0" collapsed="false">
      <c r="A90" s="5" t="n">
        <v>43122</v>
      </c>
      <c r="B90" s="5" t="s">
        <v>60</v>
      </c>
      <c r="C90" s="5" t="s">
        <v>1509</v>
      </c>
      <c r="D90" s="4" t="s">
        <v>30</v>
      </c>
      <c r="E90" s="4" t="s">
        <v>1351</v>
      </c>
      <c r="F90" s="4" t="s">
        <v>1352</v>
      </c>
      <c r="G90" s="5" t="n">
        <v>50</v>
      </c>
      <c r="H90" s="5" t="s">
        <v>1353</v>
      </c>
      <c r="I90" s="4" t="s">
        <v>1510</v>
      </c>
      <c r="J90" s="4" t="s">
        <v>131</v>
      </c>
    </row>
    <row r="91" customFormat="false" ht="15" hidden="false" customHeight="false" outlineLevel="0" collapsed="false">
      <c r="A91" s="5" t="n">
        <v>37437</v>
      </c>
      <c r="B91" s="5" t="s">
        <v>60</v>
      </c>
      <c r="C91" s="5" t="s">
        <v>1511</v>
      </c>
      <c r="D91" s="4" t="s">
        <v>18</v>
      </c>
      <c r="E91" s="4" t="s">
        <v>1351</v>
      </c>
      <c r="F91" s="4" t="s">
        <v>1356</v>
      </c>
      <c r="G91" s="5" t="n">
        <v>129</v>
      </c>
      <c r="H91" s="5" t="s">
        <v>1353</v>
      </c>
      <c r="I91" s="4" t="s">
        <v>1512</v>
      </c>
      <c r="J91" s="4" t="s">
        <v>131</v>
      </c>
    </row>
    <row r="92" customFormat="false" ht="15" hidden="false" customHeight="false" outlineLevel="0" collapsed="false">
      <c r="A92" s="5" t="n">
        <v>43123</v>
      </c>
      <c r="B92" s="5" t="s">
        <v>60</v>
      </c>
      <c r="C92" s="5" t="s">
        <v>1511</v>
      </c>
      <c r="D92" s="4" t="s">
        <v>30</v>
      </c>
      <c r="E92" s="4" t="s">
        <v>1351</v>
      </c>
      <c r="F92" s="4" t="s">
        <v>1352</v>
      </c>
      <c r="G92" s="5" t="n">
        <v>58</v>
      </c>
      <c r="H92" s="5" t="s">
        <v>1353</v>
      </c>
      <c r="I92" s="4" t="s">
        <v>1513</v>
      </c>
      <c r="J92" s="4" t="s">
        <v>131</v>
      </c>
    </row>
    <row r="93" customFormat="false" ht="15" hidden="false" customHeight="false" outlineLevel="0" collapsed="false">
      <c r="A93" s="5" t="n">
        <v>30297</v>
      </c>
      <c r="B93" s="5" t="s">
        <v>60</v>
      </c>
      <c r="C93" s="5" t="s">
        <v>306</v>
      </c>
      <c r="D93" s="4" t="s">
        <v>32</v>
      </c>
      <c r="E93" s="4" t="s">
        <v>1351</v>
      </c>
      <c r="F93" s="4" t="s">
        <v>1352</v>
      </c>
      <c r="G93" s="5" t="n">
        <v>91</v>
      </c>
      <c r="H93" s="5" t="s">
        <v>1353</v>
      </c>
      <c r="I93" s="4" t="s">
        <v>1514</v>
      </c>
      <c r="J93" s="4" t="s">
        <v>131</v>
      </c>
    </row>
    <row r="94" customFormat="false" ht="15" hidden="false" customHeight="false" outlineLevel="0" collapsed="false">
      <c r="A94" s="5" t="n">
        <v>43124</v>
      </c>
      <c r="B94" s="5" t="s">
        <v>60</v>
      </c>
      <c r="C94" s="5" t="s">
        <v>1137</v>
      </c>
      <c r="D94" s="4" t="s">
        <v>18</v>
      </c>
      <c r="E94" s="4" t="s">
        <v>1351</v>
      </c>
      <c r="F94" s="4" t="s">
        <v>1356</v>
      </c>
      <c r="G94" s="5" t="n">
        <v>163</v>
      </c>
      <c r="H94" s="5" t="s">
        <v>1353</v>
      </c>
      <c r="I94" s="4" t="s">
        <v>1515</v>
      </c>
      <c r="J94" s="4" t="s">
        <v>131</v>
      </c>
    </row>
    <row r="95" customFormat="false" ht="15" hidden="false" customHeight="false" outlineLevel="0" collapsed="false">
      <c r="A95" s="5" t="n">
        <v>43125</v>
      </c>
      <c r="B95" s="5" t="s">
        <v>60</v>
      </c>
      <c r="C95" s="5" t="s">
        <v>1137</v>
      </c>
      <c r="D95" s="4" t="s">
        <v>32</v>
      </c>
      <c r="E95" s="4" t="s">
        <v>1351</v>
      </c>
      <c r="F95" s="4" t="s">
        <v>1352</v>
      </c>
      <c r="G95" s="5" t="n">
        <v>20</v>
      </c>
      <c r="H95" s="5" t="s">
        <v>1397</v>
      </c>
      <c r="I95" s="4" t="s">
        <v>1516</v>
      </c>
      <c r="J95" s="4" t="s">
        <v>132</v>
      </c>
    </row>
    <row r="96" customFormat="false" ht="15" hidden="false" customHeight="false" outlineLevel="0" collapsed="false">
      <c r="A96" s="5" t="n">
        <v>42254</v>
      </c>
      <c r="B96" s="5" t="s">
        <v>60</v>
      </c>
      <c r="C96" s="5" t="s">
        <v>870</v>
      </c>
      <c r="D96" s="4" t="s">
        <v>18</v>
      </c>
      <c r="E96" s="4" t="s">
        <v>1351</v>
      </c>
      <c r="F96" s="4" t="s">
        <v>1356</v>
      </c>
      <c r="G96" s="5" t="n">
        <v>101</v>
      </c>
      <c r="H96" s="5" t="s">
        <v>1353</v>
      </c>
      <c r="I96" s="4" t="s">
        <v>1517</v>
      </c>
      <c r="J96" s="4" t="s">
        <v>131</v>
      </c>
    </row>
    <row r="97" customFormat="false" ht="15" hidden="false" customHeight="false" outlineLevel="0" collapsed="false">
      <c r="A97" s="5" t="n">
        <v>41325</v>
      </c>
      <c r="B97" s="5" t="s">
        <v>60</v>
      </c>
      <c r="C97" s="5" t="s">
        <v>311</v>
      </c>
      <c r="D97" s="4" t="s">
        <v>18</v>
      </c>
      <c r="E97" s="4" t="s">
        <v>1351</v>
      </c>
      <c r="F97" s="4" t="s">
        <v>1356</v>
      </c>
      <c r="G97" s="5" t="n">
        <v>90</v>
      </c>
      <c r="H97" s="5" t="s">
        <v>1353</v>
      </c>
      <c r="I97" s="4" t="s">
        <v>1518</v>
      </c>
      <c r="J97" s="4" t="s">
        <v>131</v>
      </c>
    </row>
    <row r="98" customFormat="false" ht="15" hidden="false" customHeight="false" outlineLevel="0" collapsed="false">
      <c r="A98" s="5" t="n">
        <v>43126</v>
      </c>
      <c r="B98" s="5" t="s">
        <v>60</v>
      </c>
      <c r="C98" s="5" t="s">
        <v>311</v>
      </c>
      <c r="D98" s="4" t="s">
        <v>32</v>
      </c>
      <c r="E98" s="4" t="s">
        <v>1351</v>
      </c>
      <c r="F98" s="4" t="s">
        <v>1352</v>
      </c>
      <c r="G98" s="5" t="n">
        <v>75</v>
      </c>
      <c r="H98" s="5" t="s">
        <v>1353</v>
      </c>
      <c r="I98" s="4" t="s">
        <v>1519</v>
      </c>
      <c r="J98" s="4" t="s">
        <v>131</v>
      </c>
    </row>
    <row r="99" customFormat="false" ht="15" hidden="false" customHeight="false" outlineLevel="0" collapsed="false">
      <c r="A99" s="5" t="n">
        <v>43127</v>
      </c>
      <c r="B99" s="5" t="s">
        <v>60</v>
      </c>
      <c r="C99" s="5" t="s">
        <v>874</v>
      </c>
      <c r="D99" s="4" t="s">
        <v>32</v>
      </c>
      <c r="E99" s="4" t="s">
        <v>1351</v>
      </c>
      <c r="F99" s="4" t="s">
        <v>1352</v>
      </c>
      <c r="G99" s="5" t="n">
        <v>59</v>
      </c>
      <c r="H99" s="5" t="s">
        <v>1353</v>
      </c>
      <c r="I99" s="4" t="s">
        <v>1520</v>
      </c>
      <c r="J99" s="4" t="s">
        <v>131</v>
      </c>
    </row>
    <row r="100" customFormat="false" ht="15" hidden="false" customHeight="false" outlineLevel="0" collapsed="false">
      <c r="A100" s="5" t="n">
        <v>35173</v>
      </c>
      <c r="B100" s="5" t="s">
        <v>60</v>
      </c>
      <c r="C100" s="5" t="s">
        <v>1521</v>
      </c>
      <c r="D100" s="4" t="s">
        <v>32</v>
      </c>
      <c r="E100" s="4" t="s">
        <v>1351</v>
      </c>
      <c r="F100" s="4" t="s">
        <v>1356</v>
      </c>
      <c r="G100" s="5" t="n">
        <v>61</v>
      </c>
      <c r="H100" s="5" t="s">
        <v>1353</v>
      </c>
      <c r="I100" s="4" t="s">
        <v>1522</v>
      </c>
      <c r="J100" s="4" t="s">
        <v>131</v>
      </c>
    </row>
    <row r="101" customFormat="false" ht="15" hidden="false" customHeight="false" outlineLevel="0" collapsed="false">
      <c r="A101" s="5" t="n">
        <v>42796</v>
      </c>
      <c r="B101" s="5" t="s">
        <v>60</v>
      </c>
      <c r="C101" s="5" t="s">
        <v>1146</v>
      </c>
      <c r="D101" s="4" t="s">
        <v>18</v>
      </c>
      <c r="E101" s="4" t="s">
        <v>1351</v>
      </c>
      <c r="F101" s="4" t="s">
        <v>1356</v>
      </c>
      <c r="G101" s="5" t="n">
        <v>93</v>
      </c>
      <c r="H101" s="5" t="s">
        <v>1353</v>
      </c>
      <c r="I101" s="4" t="s">
        <v>1523</v>
      </c>
      <c r="J101" s="4" t="s">
        <v>131</v>
      </c>
    </row>
    <row r="102" customFormat="false" ht="15" hidden="false" customHeight="false" outlineLevel="0" collapsed="false">
      <c r="A102" s="5" t="n">
        <v>43129</v>
      </c>
      <c r="B102" s="5" t="s">
        <v>60</v>
      </c>
      <c r="C102" s="5" t="s">
        <v>744</v>
      </c>
      <c r="D102" s="4" t="s">
        <v>34</v>
      </c>
      <c r="E102" s="4" t="s">
        <v>1351</v>
      </c>
      <c r="F102" s="4" t="s">
        <v>1352</v>
      </c>
      <c r="G102" s="5" t="n">
        <v>99</v>
      </c>
      <c r="H102" s="5" t="s">
        <v>1353</v>
      </c>
      <c r="I102" s="4" t="s">
        <v>1524</v>
      </c>
      <c r="J102" s="4" t="s">
        <v>131</v>
      </c>
    </row>
    <row r="103" customFormat="false" ht="15" hidden="false" customHeight="false" outlineLevel="0" collapsed="false">
      <c r="A103" s="5" t="n">
        <v>40486</v>
      </c>
      <c r="B103" s="5" t="s">
        <v>60</v>
      </c>
      <c r="C103" s="5" t="s">
        <v>1050</v>
      </c>
      <c r="D103" s="4" t="s">
        <v>34</v>
      </c>
      <c r="E103" s="4" t="s">
        <v>1351</v>
      </c>
      <c r="F103" s="4" t="s">
        <v>1352</v>
      </c>
      <c r="G103" s="5" t="n">
        <v>111</v>
      </c>
      <c r="H103" s="5" t="s">
        <v>1353</v>
      </c>
      <c r="I103" s="4" t="s">
        <v>1525</v>
      </c>
      <c r="J103" s="4" t="s">
        <v>131</v>
      </c>
    </row>
    <row r="104" customFormat="false" ht="15" hidden="false" customHeight="false" outlineLevel="0" collapsed="false">
      <c r="A104" s="5" t="n">
        <v>43130</v>
      </c>
      <c r="B104" s="5" t="s">
        <v>60</v>
      </c>
      <c r="C104" s="5" t="s">
        <v>1526</v>
      </c>
      <c r="D104" s="4" t="s">
        <v>22</v>
      </c>
      <c r="E104" s="4" t="s">
        <v>1351</v>
      </c>
      <c r="F104" s="4" t="s">
        <v>1356</v>
      </c>
      <c r="G104" s="5" t="n">
        <v>65</v>
      </c>
      <c r="H104" s="5" t="s">
        <v>1353</v>
      </c>
      <c r="I104" s="4" t="s">
        <v>1527</v>
      </c>
      <c r="J104" s="4" t="s">
        <v>131</v>
      </c>
    </row>
    <row r="105" customFormat="false" ht="15" hidden="false" customHeight="false" outlineLevel="0" collapsed="false">
      <c r="A105" s="5" t="n">
        <v>40486</v>
      </c>
      <c r="B105" s="5" t="s">
        <v>62</v>
      </c>
      <c r="C105" s="5" t="s">
        <v>1528</v>
      </c>
      <c r="D105" s="4" t="s">
        <v>34</v>
      </c>
      <c r="E105" s="4" t="s">
        <v>1351</v>
      </c>
      <c r="F105" s="4" t="s">
        <v>1368</v>
      </c>
      <c r="G105" s="5" t="n">
        <v>53</v>
      </c>
      <c r="H105" s="5" t="s">
        <v>1353</v>
      </c>
      <c r="I105" s="4" t="s">
        <v>1529</v>
      </c>
      <c r="J105" s="4" t="s">
        <v>131</v>
      </c>
    </row>
    <row r="106" customFormat="false" ht="15" hidden="false" customHeight="false" outlineLevel="0" collapsed="false">
      <c r="A106" s="5" t="n">
        <v>43155</v>
      </c>
      <c r="B106" s="5" t="s">
        <v>62</v>
      </c>
      <c r="C106" s="5" t="s">
        <v>1243</v>
      </c>
      <c r="D106" s="4" t="s">
        <v>30</v>
      </c>
      <c r="E106" s="4" t="s">
        <v>1351</v>
      </c>
      <c r="F106" s="4" t="s">
        <v>1356</v>
      </c>
      <c r="G106" s="5" t="n">
        <v>12</v>
      </c>
      <c r="H106" s="5" t="s">
        <v>1419</v>
      </c>
      <c r="I106" s="4" t="s">
        <v>1484</v>
      </c>
      <c r="J106" s="4" t="s">
        <v>133</v>
      </c>
    </row>
    <row r="107" customFormat="false" ht="15" hidden="false" customHeight="false" outlineLevel="0" collapsed="false">
      <c r="A107" s="5" t="n">
        <v>43155</v>
      </c>
      <c r="B107" s="5" t="s">
        <v>62</v>
      </c>
      <c r="C107" s="5" t="s">
        <v>1320</v>
      </c>
      <c r="D107" s="4" t="s">
        <v>30</v>
      </c>
      <c r="E107" s="4" t="s">
        <v>1351</v>
      </c>
      <c r="F107" s="4" t="s">
        <v>1356</v>
      </c>
      <c r="G107" s="5" t="n">
        <v>14</v>
      </c>
      <c r="H107" s="5" t="s">
        <v>1419</v>
      </c>
      <c r="I107" s="4" t="s">
        <v>1530</v>
      </c>
      <c r="J107" s="4" t="s">
        <v>133</v>
      </c>
    </row>
    <row r="108" customFormat="false" ht="15" hidden="false" customHeight="false" outlineLevel="0" collapsed="false">
      <c r="A108" s="5" t="n">
        <v>26245</v>
      </c>
      <c r="B108" s="5" t="s">
        <v>64</v>
      </c>
      <c r="C108" s="5" t="s">
        <v>1531</v>
      </c>
      <c r="D108" s="4" t="s">
        <v>34</v>
      </c>
      <c r="E108" s="4" t="s">
        <v>1351</v>
      </c>
      <c r="F108" s="4" t="s">
        <v>1352</v>
      </c>
      <c r="G108" s="5" t="n">
        <v>69</v>
      </c>
      <c r="H108" s="5" t="s">
        <v>1353</v>
      </c>
      <c r="I108" s="4" t="s">
        <v>1532</v>
      </c>
      <c r="J108" s="4" t="s">
        <v>131</v>
      </c>
    </row>
    <row r="109" customFormat="false" ht="15" hidden="false" customHeight="false" outlineLevel="0" collapsed="false">
      <c r="A109" s="5" t="n">
        <v>30869</v>
      </c>
      <c r="B109" s="5" t="s">
        <v>64</v>
      </c>
      <c r="C109" s="5" t="s">
        <v>329</v>
      </c>
      <c r="D109" s="4" t="s">
        <v>28</v>
      </c>
      <c r="E109" s="4" t="s">
        <v>1351</v>
      </c>
      <c r="F109" s="4" t="s">
        <v>1356</v>
      </c>
      <c r="G109" s="5" t="n">
        <v>71</v>
      </c>
      <c r="H109" s="5" t="s">
        <v>1353</v>
      </c>
      <c r="I109" s="4" t="s">
        <v>1533</v>
      </c>
      <c r="J109" s="4" t="s">
        <v>131</v>
      </c>
    </row>
    <row r="110" customFormat="false" ht="15" hidden="false" customHeight="false" outlineLevel="0" collapsed="false">
      <c r="A110" s="5" t="n">
        <v>43167</v>
      </c>
      <c r="B110" s="5" t="s">
        <v>64</v>
      </c>
      <c r="C110" s="5" t="s">
        <v>1534</v>
      </c>
      <c r="D110" s="4" t="s">
        <v>28</v>
      </c>
      <c r="E110" s="4" t="s">
        <v>1351</v>
      </c>
      <c r="F110" s="4" t="s">
        <v>1368</v>
      </c>
      <c r="G110" s="5" t="n">
        <v>73</v>
      </c>
      <c r="H110" s="5" t="s">
        <v>1353</v>
      </c>
      <c r="I110" s="4" t="s">
        <v>1535</v>
      </c>
      <c r="J110" s="4" t="s">
        <v>131</v>
      </c>
    </row>
    <row r="111" customFormat="false" ht="15" hidden="false" customHeight="false" outlineLevel="0" collapsed="false">
      <c r="A111" s="5" t="n">
        <v>43189</v>
      </c>
      <c r="B111" s="5" t="s">
        <v>64</v>
      </c>
      <c r="C111" s="5" t="s">
        <v>861</v>
      </c>
      <c r="D111" s="4" t="s">
        <v>34</v>
      </c>
      <c r="E111" s="4" t="s">
        <v>1351</v>
      </c>
      <c r="F111" s="4" t="s">
        <v>1368</v>
      </c>
      <c r="G111" s="5" t="n">
        <v>105</v>
      </c>
      <c r="H111" s="5" t="s">
        <v>1353</v>
      </c>
      <c r="I111" s="4" t="s">
        <v>1536</v>
      </c>
      <c r="J111" s="4" t="s">
        <v>131</v>
      </c>
    </row>
    <row r="112" customFormat="false" ht="15" hidden="false" customHeight="false" outlineLevel="0" collapsed="false">
      <c r="A112" s="5" t="n">
        <v>40498</v>
      </c>
      <c r="B112" s="5" t="s">
        <v>64</v>
      </c>
      <c r="C112" s="5" t="s">
        <v>510</v>
      </c>
      <c r="D112" s="4" t="s">
        <v>34</v>
      </c>
      <c r="E112" s="4" t="s">
        <v>1351</v>
      </c>
      <c r="F112" s="4" t="s">
        <v>1368</v>
      </c>
      <c r="G112" s="5" t="n">
        <v>46</v>
      </c>
      <c r="H112" s="5" t="s">
        <v>1353</v>
      </c>
      <c r="I112" s="4" t="s">
        <v>1537</v>
      </c>
      <c r="J112" s="4" t="s">
        <v>131</v>
      </c>
    </row>
    <row r="113" customFormat="false" ht="15" hidden="false" customHeight="false" outlineLevel="0" collapsed="false">
      <c r="A113" s="5" t="n">
        <v>40447</v>
      </c>
      <c r="B113" s="5" t="s">
        <v>64</v>
      </c>
      <c r="C113" s="5" t="s">
        <v>306</v>
      </c>
      <c r="D113" s="4" t="s">
        <v>34</v>
      </c>
      <c r="E113" s="4" t="s">
        <v>1351</v>
      </c>
      <c r="F113" s="4" t="s">
        <v>1352</v>
      </c>
      <c r="G113" s="5" t="n">
        <v>90</v>
      </c>
      <c r="H113" s="5" t="s">
        <v>1353</v>
      </c>
      <c r="I113" s="4" t="s">
        <v>1538</v>
      </c>
      <c r="J113" s="4" t="s">
        <v>131</v>
      </c>
    </row>
    <row r="114" customFormat="false" ht="15" hidden="false" customHeight="false" outlineLevel="0" collapsed="false">
      <c r="A114" s="5" t="n">
        <v>41397</v>
      </c>
      <c r="B114" s="5" t="s">
        <v>64</v>
      </c>
      <c r="C114" s="5" t="s">
        <v>1539</v>
      </c>
      <c r="D114" s="4" t="s">
        <v>28</v>
      </c>
      <c r="E114" s="4" t="s">
        <v>1351</v>
      </c>
      <c r="F114" s="4" t="s">
        <v>1356</v>
      </c>
      <c r="G114" s="5" t="n">
        <v>69</v>
      </c>
      <c r="H114" s="5" t="s">
        <v>1353</v>
      </c>
      <c r="I114" s="4" t="s">
        <v>1540</v>
      </c>
      <c r="J114" s="4" t="s">
        <v>131</v>
      </c>
    </row>
    <row r="115" customFormat="false" ht="15" hidden="false" customHeight="false" outlineLevel="0" collapsed="false">
      <c r="A115" s="5" t="n">
        <v>21339</v>
      </c>
      <c r="B115" s="5" t="s">
        <v>64</v>
      </c>
      <c r="C115" s="5" t="s">
        <v>1541</v>
      </c>
      <c r="D115" s="4" t="s">
        <v>28</v>
      </c>
      <c r="E115" s="4" t="s">
        <v>1351</v>
      </c>
      <c r="F115" s="4" t="s">
        <v>1356</v>
      </c>
      <c r="G115" s="5" t="n">
        <v>81</v>
      </c>
      <c r="H115" s="5" t="s">
        <v>1353</v>
      </c>
      <c r="I115" s="4" t="s">
        <v>1542</v>
      </c>
      <c r="J115" s="4" t="s">
        <v>131</v>
      </c>
    </row>
    <row r="116" customFormat="false" ht="15" hidden="false" customHeight="false" outlineLevel="0" collapsed="false">
      <c r="A116" s="5" t="n">
        <v>43190</v>
      </c>
      <c r="B116" s="5" t="s">
        <v>64</v>
      </c>
      <c r="C116" s="5" t="s">
        <v>1543</v>
      </c>
      <c r="D116" s="4" t="s">
        <v>34</v>
      </c>
      <c r="E116" s="4" t="s">
        <v>1351</v>
      </c>
      <c r="F116" s="4" t="s">
        <v>1368</v>
      </c>
      <c r="G116" s="5" t="n">
        <v>130</v>
      </c>
      <c r="H116" s="5" t="s">
        <v>1353</v>
      </c>
      <c r="I116" s="4" t="s">
        <v>1544</v>
      </c>
      <c r="J116" s="4" t="s">
        <v>131</v>
      </c>
    </row>
    <row r="117" customFormat="false" ht="15" hidden="false" customHeight="false" outlineLevel="0" collapsed="false">
      <c r="A117" s="5" t="n">
        <v>43191</v>
      </c>
      <c r="B117" s="5" t="s">
        <v>64</v>
      </c>
      <c r="C117" s="5" t="s">
        <v>1545</v>
      </c>
      <c r="D117" s="4" t="s">
        <v>34</v>
      </c>
      <c r="E117" s="4" t="s">
        <v>1351</v>
      </c>
      <c r="F117" s="4" t="s">
        <v>1352</v>
      </c>
      <c r="G117" s="5" t="n">
        <v>125</v>
      </c>
      <c r="H117" s="5" t="s">
        <v>1353</v>
      </c>
      <c r="I117" s="4" t="s">
        <v>1546</v>
      </c>
      <c r="J117" s="4" t="s">
        <v>131</v>
      </c>
    </row>
    <row r="118" customFormat="false" ht="15" hidden="false" customHeight="false" outlineLevel="0" collapsed="false">
      <c r="A118" s="5" t="n">
        <v>43192</v>
      </c>
      <c r="B118" s="5" t="s">
        <v>64</v>
      </c>
      <c r="C118" s="5" t="s">
        <v>343</v>
      </c>
      <c r="D118" s="4" t="s">
        <v>30</v>
      </c>
      <c r="E118" s="4" t="s">
        <v>1351</v>
      </c>
      <c r="F118" s="4" t="s">
        <v>1352</v>
      </c>
      <c r="G118" s="5" t="n">
        <v>48</v>
      </c>
      <c r="H118" s="5" t="s">
        <v>1353</v>
      </c>
      <c r="I118" s="4" t="s">
        <v>1547</v>
      </c>
      <c r="J118" s="4" t="s">
        <v>131</v>
      </c>
    </row>
    <row r="119" customFormat="false" ht="15" hidden="false" customHeight="false" outlineLevel="0" collapsed="false">
      <c r="A119" s="5" t="n">
        <v>43193</v>
      </c>
      <c r="B119" s="5" t="s">
        <v>64</v>
      </c>
      <c r="C119" s="5" t="s">
        <v>1548</v>
      </c>
      <c r="D119" s="4" t="s">
        <v>32</v>
      </c>
      <c r="E119" s="4" t="s">
        <v>1351</v>
      </c>
      <c r="F119" s="4" t="s">
        <v>1356</v>
      </c>
      <c r="G119" s="5" t="n">
        <v>91</v>
      </c>
      <c r="H119" s="5" t="s">
        <v>1353</v>
      </c>
      <c r="I119" s="4" t="s">
        <v>1549</v>
      </c>
      <c r="J119" s="4" t="s">
        <v>131</v>
      </c>
    </row>
    <row r="120" customFormat="false" ht="15" hidden="false" customHeight="false" outlineLevel="0" collapsed="false">
      <c r="A120" s="5" t="n">
        <v>18550</v>
      </c>
      <c r="B120" s="5" t="s">
        <v>64</v>
      </c>
      <c r="C120" s="5" t="s">
        <v>1085</v>
      </c>
      <c r="D120" s="4" t="s">
        <v>32</v>
      </c>
      <c r="E120" s="4" t="s">
        <v>1351</v>
      </c>
      <c r="F120" s="4" t="s">
        <v>1356</v>
      </c>
      <c r="G120" s="5" t="n">
        <v>59</v>
      </c>
      <c r="H120" s="5" t="s">
        <v>1353</v>
      </c>
      <c r="I120" s="4" t="s">
        <v>1550</v>
      </c>
      <c r="J120" s="4" t="s">
        <v>131</v>
      </c>
    </row>
    <row r="121" customFormat="false" ht="15" hidden="false" customHeight="false" outlineLevel="0" collapsed="false">
      <c r="A121" s="5" t="n">
        <v>43194</v>
      </c>
      <c r="B121" s="5" t="s">
        <v>64</v>
      </c>
      <c r="C121" s="5" t="s">
        <v>1551</v>
      </c>
      <c r="D121" s="4" t="s">
        <v>32</v>
      </c>
      <c r="E121" s="4" t="s">
        <v>1351</v>
      </c>
      <c r="F121" s="4" t="s">
        <v>1352</v>
      </c>
      <c r="G121" s="5" t="n">
        <v>105</v>
      </c>
      <c r="H121" s="5" t="s">
        <v>1353</v>
      </c>
      <c r="I121" s="4" t="s">
        <v>1552</v>
      </c>
      <c r="J121" s="4" t="s">
        <v>131</v>
      </c>
    </row>
    <row r="122" customFormat="false" ht="15" hidden="false" customHeight="false" outlineLevel="0" collapsed="false">
      <c r="A122" s="5" t="n">
        <v>43195</v>
      </c>
      <c r="B122" s="5" t="s">
        <v>64</v>
      </c>
      <c r="C122" s="5" t="s">
        <v>355</v>
      </c>
      <c r="D122" s="4" t="s">
        <v>32</v>
      </c>
      <c r="E122" s="4" t="s">
        <v>1351</v>
      </c>
      <c r="F122" s="4" t="s">
        <v>1352</v>
      </c>
      <c r="G122" s="5" t="n">
        <v>94</v>
      </c>
      <c r="H122" s="5" t="s">
        <v>1353</v>
      </c>
      <c r="I122" s="4" t="s">
        <v>1553</v>
      </c>
      <c r="J122" s="4" t="s">
        <v>131</v>
      </c>
    </row>
    <row r="123" customFormat="false" ht="15" hidden="false" customHeight="false" outlineLevel="0" collapsed="false">
      <c r="A123" s="5" t="n">
        <v>43196</v>
      </c>
      <c r="B123" s="5" t="s">
        <v>64</v>
      </c>
      <c r="C123" s="5" t="s">
        <v>361</v>
      </c>
      <c r="D123" s="4" t="s">
        <v>32</v>
      </c>
      <c r="E123" s="4" t="s">
        <v>1351</v>
      </c>
      <c r="F123" s="4" t="s">
        <v>1352</v>
      </c>
      <c r="G123" s="5" t="n">
        <v>63</v>
      </c>
      <c r="H123" s="5" t="s">
        <v>1353</v>
      </c>
      <c r="I123" s="4" t="s">
        <v>1554</v>
      </c>
      <c r="J123" s="4" t="s">
        <v>131</v>
      </c>
    </row>
    <row r="124" customFormat="false" ht="15" hidden="false" customHeight="false" outlineLevel="0" collapsed="false">
      <c r="A124" s="5" t="n">
        <v>41020</v>
      </c>
      <c r="B124" s="5" t="s">
        <v>64</v>
      </c>
      <c r="C124" s="5" t="s">
        <v>1555</v>
      </c>
      <c r="D124" s="4" t="s">
        <v>18</v>
      </c>
      <c r="E124" s="4" t="s">
        <v>1351</v>
      </c>
      <c r="F124" s="4" t="s">
        <v>1356</v>
      </c>
      <c r="G124" s="5" t="n">
        <v>91</v>
      </c>
      <c r="H124" s="5" t="s">
        <v>1353</v>
      </c>
      <c r="I124" s="4" t="s">
        <v>1556</v>
      </c>
      <c r="J124" s="4" t="s">
        <v>131</v>
      </c>
    </row>
    <row r="125" customFormat="false" ht="15" hidden="false" customHeight="false" outlineLevel="0" collapsed="false">
      <c r="A125" s="5" t="n">
        <v>41387</v>
      </c>
      <c r="B125" s="5" t="s">
        <v>64</v>
      </c>
      <c r="C125" s="5" t="s">
        <v>1557</v>
      </c>
      <c r="D125" s="4" t="s">
        <v>18</v>
      </c>
      <c r="E125" s="4" t="s">
        <v>1351</v>
      </c>
      <c r="F125" s="4" t="s">
        <v>1356</v>
      </c>
      <c r="G125" s="5" t="n">
        <v>94</v>
      </c>
      <c r="H125" s="5" t="s">
        <v>1353</v>
      </c>
      <c r="I125" s="4" t="s">
        <v>1558</v>
      </c>
      <c r="J125" s="4" t="s">
        <v>131</v>
      </c>
    </row>
    <row r="126" customFormat="false" ht="15" hidden="false" customHeight="false" outlineLevel="0" collapsed="false">
      <c r="A126" s="5" t="n">
        <v>40308</v>
      </c>
      <c r="B126" s="5" t="s">
        <v>64</v>
      </c>
      <c r="C126" s="5" t="s">
        <v>1559</v>
      </c>
      <c r="D126" s="4" t="s">
        <v>18</v>
      </c>
      <c r="E126" s="4" t="s">
        <v>1351</v>
      </c>
      <c r="F126" s="4" t="s">
        <v>1356</v>
      </c>
      <c r="G126" s="5" t="n">
        <v>103</v>
      </c>
      <c r="H126" s="5" t="s">
        <v>1353</v>
      </c>
      <c r="I126" s="4" t="s">
        <v>1560</v>
      </c>
      <c r="J126" s="4" t="s">
        <v>131</v>
      </c>
    </row>
    <row r="127" customFormat="false" ht="15" hidden="false" customHeight="false" outlineLevel="0" collapsed="false">
      <c r="A127" s="5" t="n">
        <v>41920</v>
      </c>
      <c r="B127" s="5" t="s">
        <v>64</v>
      </c>
      <c r="C127" s="5" t="s">
        <v>1561</v>
      </c>
      <c r="D127" s="4" t="s">
        <v>22</v>
      </c>
      <c r="E127" s="4" t="s">
        <v>1351</v>
      </c>
      <c r="F127" s="4" t="s">
        <v>1356</v>
      </c>
      <c r="G127" s="5" t="n">
        <v>68</v>
      </c>
      <c r="H127" s="5" t="s">
        <v>1353</v>
      </c>
      <c r="I127" s="4" t="s">
        <v>1562</v>
      </c>
      <c r="J127" s="4" t="s">
        <v>131</v>
      </c>
    </row>
    <row r="128" customFormat="false" ht="15" hidden="false" customHeight="false" outlineLevel="0" collapsed="false">
      <c r="A128" s="5" t="n">
        <v>42001</v>
      </c>
      <c r="B128" s="5" t="s">
        <v>64</v>
      </c>
      <c r="C128" s="5" t="s">
        <v>1561</v>
      </c>
      <c r="D128" s="4" t="s">
        <v>18</v>
      </c>
      <c r="E128" s="4" t="s">
        <v>1351</v>
      </c>
      <c r="F128" s="4" t="s">
        <v>1356</v>
      </c>
      <c r="G128" s="5" t="n">
        <v>135</v>
      </c>
      <c r="H128" s="5" t="s">
        <v>1353</v>
      </c>
      <c r="I128" s="4" t="s">
        <v>1563</v>
      </c>
      <c r="J128" s="4" t="s">
        <v>131</v>
      </c>
    </row>
    <row r="129" customFormat="false" ht="15" hidden="false" customHeight="false" outlineLevel="0" collapsed="false">
      <c r="A129" s="5" t="n">
        <v>41355</v>
      </c>
      <c r="B129" s="5" t="s">
        <v>64</v>
      </c>
      <c r="C129" s="5" t="s">
        <v>212</v>
      </c>
      <c r="D129" s="4" t="s">
        <v>22</v>
      </c>
      <c r="E129" s="4" t="s">
        <v>1351</v>
      </c>
      <c r="F129" s="4" t="s">
        <v>1370</v>
      </c>
      <c r="G129" s="5" t="n">
        <v>34</v>
      </c>
      <c r="H129" s="5" t="s">
        <v>1397</v>
      </c>
      <c r="I129" s="4" t="s">
        <v>1564</v>
      </c>
      <c r="J129" s="4" t="s">
        <v>132</v>
      </c>
    </row>
    <row r="130" customFormat="false" ht="15" hidden="false" customHeight="false" outlineLevel="0" collapsed="false">
      <c r="A130" s="5" t="n">
        <v>43197</v>
      </c>
      <c r="B130" s="5" t="s">
        <v>64</v>
      </c>
      <c r="C130" s="5" t="s">
        <v>1565</v>
      </c>
      <c r="D130" s="4" t="s">
        <v>18</v>
      </c>
      <c r="E130" s="4" t="s">
        <v>1351</v>
      </c>
      <c r="F130" s="4" t="s">
        <v>1356</v>
      </c>
      <c r="G130" s="5" t="n">
        <v>205</v>
      </c>
      <c r="H130" s="5" t="s">
        <v>1353</v>
      </c>
      <c r="I130" s="4" t="s">
        <v>1566</v>
      </c>
      <c r="J130" s="4" t="s">
        <v>131</v>
      </c>
    </row>
    <row r="131" customFormat="false" ht="15" hidden="false" customHeight="false" outlineLevel="0" collapsed="false">
      <c r="A131" s="5" t="n">
        <v>43197</v>
      </c>
      <c r="B131" s="5" t="s">
        <v>64</v>
      </c>
      <c r="C131" s="5" t="s">
        <v>1565</v>
      </c>
      <c r="D131" s="4" t="s">
        <v>18</v>
      </c>
      <c r="E131" s="4" t="s">
        <v>1418</v>
      </c>
      <c r="F131" s="4"/>
      <c r="G131" s="5" t="n">
        <v>0</v>
      </c>
      <c r="H131" s="5" t="s">
        <v>1419</v>
      </c>
      <c r="I131" s="4"/>
      <c r="J131" s="4" t="s">
        <v>134</v>
      </c>
    </row>
    <row r="132" customFormat="false" ht="15" hidden="false" customHeight="false" outlineLevel="0" collapsed="false">
      <c r="A132" s="5" t="n">
        <v>39275</v>
      </c>
      <c r="B132" s="5" t="s">
        <v>64</v>
      </c>
      <c r="C132" s="5" t="s">
        <v>1567</v>
      </c>
      <c r="D132" s="4" t="s">
        <v>24</v>
      </c>
      <c r="E132" s="4" t="s">
        <v>1351</v>
      </c>
      <c r="F132" s="4" t="s">
        <v>1377</v>
      </c>
      <c r="G132" s="5" t="n">
        <v>63</v>
      </c>
      <c r="H132" s="5" t="s">
        <v>1353</v>
      </c>
      <c r="I132" s="4" t="s">
        <v>1568</v>
      </c>
      <c r="J132" s="4" t="s">
        <v>131</v>
      </c>
    </row>
    <row r="133" customFormat="false" ht="15" hidden="false" customHeight="false" outlineLevel="0" collapsed="false">
      <c r="A133" s="5" t="n">
        <v>40688</v>
      </c>
      <c r="B133" s="5" t="s">
        <v>64</v>
      </c>
      <c r="C133" s="5" t="s">
        <v>1569</v>
      </c>
      <c r="D133" s="4" t="s">
        <v>24</v>
      </c>
      <c r="E133" s="4" t="s">
        <v>1351</v>
      </c>
      <c r="F133" s="4" t="s">
        <v>1356</v>
      </c>
      <c r="G133" s="5" t="n">
        <v>98</v>
      </c>
      <c r="H133" s="5" t="s">
        <v>1353</v>
      </c>
      <c r="I133" s="4" t="s">
        <v>1570</v>
      </c>
      <c r="J133" s="4" t="s">
        <v>131</v>
      </c>
    </row>
    <row r="134" customFormat="false" ht="15" hidden="false" customHeight="false" outlineLevel="0" collapsed="false">
      <c r="A134" s="5" t="n">
        <v>43200</v>
      </c>
      <c r="B134" s="5" t="s">
        <v>64</v>
      </c>
      <c r="C134" s="5" t="s">
        <v>1571</v>
      </c>
      <c r="D134" s="4" t="s">
        <v>24</v>
      </c>
      <c r="E134" s="4" t="s">
        <v>1351</v>
      </c>
      <c r="F134" s="4" t="s">
        <v>1356</v>
      </c>
      <c r="G134" s="5" t="n">
        <v>205</v>
      </c>
      <c r="H134" s="5" t="s">
        <v>1353</v>
      </c>
      <c r="I134" s="4" t="s">
        <v>1572</v>
      </c>
      <c r="J134" s="4" t="s">
        <v>131</v>
      </c>
    </row>
    <row r="135" customFormat="false" ht="15" hidden="false" customHeight="false" outlineLevel="0" collapsed="false">
      <c r="A135" s="5" t="n">
        <v>43116</v>
      </c>
      <c r="B135" s="5" t="s">
        <v>64</v>
      </c>
      <c r="C135" s="5" t="s">
        <v>1475</v>
      </c>
      <c r="D135" s="4" t="s">
        <v>24</v>
      </c>
      <c r="E135" s="4" t="s">
        <v>1351</v>
      </c>
      <c r="F135" s="4" t="s">
        <v>1368</v>
      </c>
      <c r="G135" s="5" t="n">
        <v>80</v>
      </c>
      <c r="H135" s="5" t="s">
        <v>1353</v>
      </c>
      <c r="I135" s="4" t="s">
        <v>1573</v>
      </c>
      <c r="J135" s="4" t="s">
        <v>131</v>
      </c>
    </row>
    <row r="136" customFormat="false" ht="15" hidden="false" customHeight="false" outlineLevel="0" collapsed="false">
      <c r="A136" s="5" t="n">
        <v>43201</v>
      </c>
      <c r="B136" s="5" t="s">
        <v>65</v>
      </c>
      <c r="C136" s="5" t="s">
        <v>1574</v>
      </c>
      <c r="D136" s="4" t="s">
        <v>34</v>
      </c>
      <c r="E136" s="4" t="s">
        <v>1351</v>
      </c>
      <c r="F136" s="4" t="s">
        <v>1352</v>
      </c>
      <c r="G136" s="5" t="n">
        <v>173</v>
      </c>
      <c r="H136" s="5" t="s">
        <v>1353</v>
      </c>
      <c r="I136" s="4" t="s">
        <v>1575</v>
      </c>
      <c r="J136" s="4" t="s">
        <v>131</v>
      </c>
    </row>
    <row r="137" customFormat="false" ht="15" hidden="false" customHeight="false" outlineLevel="0" collapsed="false">
      <c r="A137" s="5" t="n">
        <v>39395</v>
      </c>
      <c r="B137" s="5" t="s">
        <v>65</v>
      </c>
      <c r="C137" s="5" t="s">
        <v>377</v>
      </c>
      <c r="D137" s="4" t="s">
        <v>34</v>
      </c>
      <c r="E137" s="4" t="s">
        <v>1418</v>
      </c>
      <c r="F137" s="4"/>
      <c r="G137" s="5" t="n">
        <v>0</v>
      </c>
      <c r="H137" s="5" t="s">
        <v>1419</v>
      </c>
      <c r="I137" s="4"/>
      <c r="J137" s="4" t="s">
        <v>134</v>
      </c>
    </row>
    <row r="138" customFormat="false" ht="15" hidden="false" customHeight="false" outlineLevel="0" collapsed="false">
      <c r="A138" s="5" t="n">
        <v>43202</v>
      </c>
      <c r="B138" s="5" t="s">
        <v>65</v>
      </c>
      <c r="C138" s="5" t="s">
        <v>1576</v>
      </c>
      <c r="D138" s="4" t="s">
        <v>34</v>
      </c>
      <c r="E138" s="4" t="s">
        <v>1351</v>
      </c>
      <c r="F138" s="4" t="s">
        <v>1352</v>
      </c>
      <c r="G138" s="5" t="n">
        <v>132</v>
      </c>
      <c r="H138" s="5" t="s">
        <v>1353</v>
      </c>
      <c r="I138" s="4" t="s">
        <v>1577</v>
      </c>
      <c r="J138" s="4" t="s">
        <v>131</v>
      </c>
    </row>
    <row r="139" customFormat="false" ht="15" hidden="false" customHeight="false" outlineLevel="0" collapsed="false">
      <c r="A139" s="5" t="n">
        <v>43202</v>
      </c>
      <c r="B139" s="5" t="s">
        <v>65</v>
      </c>
      <c r="C139" s="5" t="s">
        <v>329</v>
      </c>
      <c r="D139" s="4" t="s">
        <v>34</v>
      </c>
      <c r="E139" s="4" t="s">
        <v>1418</v>
      </c>
      <c r="F139" s="4"/>
      <c r="G139" s="5" t="n">
        <v>0</v>
      </c>
      <c r="H139" s="5" t="s">
        <v>1419</v>
      </c>
      <c r="I139" s="4"/>
      <c r="J139" s="4" t="s">
        <v>134</v>
      </c>
    </row>
    <row r="140" customFormat="false" ht="15" hidden="false" customHeight="false" outlineLevel="0" collapsed="false">
      <c r="A140" s="5" t="n">
        <v>37564</v>
      </c>
      <c r="B140" s="5" t="s">
        <v>65</v>
      </c>
      <c r="C140" s="5" t="s">
        <v>841</v>
      </c>
      <c r="D140" s="4" t="s">
        <v>34</v>
      </c>
      <c r="E140" s="4" t="s">
        <v>1351</v>
      </c>
      <c r="F140" s="4" t="s">
        <v>1352</v>
      </c>
      <c r="G140" s="5" t="n">
        <v>95</v>
      </c>
      <c r="H140" s="5" t="s">
        <v>1353</v>
      </c>
      <c r="I140" s="4" t="s">
        <v>1532</v>
      </c>
      <c r="J140" s="4" t="s">
        <v>131</v>
      </c>
    </row>
    <row r="141" customFormat="false" ht="15" hidden="false" customHeight="false" outlineLevel="0" collapsed="false">
      <c r="A141" s="5" t="n">
        <v>37572</v>
      </c>
      <c r="B141" s="5" t="s">
        <v>65</v>
      </c>
      <c r="C141" s="5" t="s">
        <v>1578</v>
      </c>
      <c r="D141" s="4" t="s">
        <v>28</v>
      </c>
      <c r="E141" s="4" t="s">
        <v>1351</v>
      </c>
      <c r="F141" s="4" t="s">
        <v>1352</v>
      </c>
      <c r="G141" s="5" t="n">
        <v>101</v>
      </c>
      <c r="H141" s="5" t="s">
        <v>1353</v>
      </c>
      <c r="I141" s="4" t="s">
        <v>1579</v>
      </c>
      <c r="J141" s="4" t="s">
        <v>131</v>
      </c>
    </row>
    <row r="142" customFormat="false" ht="15" hidden="false" customHeight="false" outlineLevel="0" collapsed="false">
      <c r="A142" s="5" t="n">
        <v>43208</v>
      </c>
      <c r="B142" s="5" t="s">
        <v>65</v>
      </c>
      <c r="C142" s="5" t="s">
        <v>1235</v>
      </c>
      <c r="D142" s="4" t="s">
        <v>18</v>
      </c>
      <c r="E142" s="4" t="s">
        <v>1351</v>
      </c>
      <c r="F142" s="4" t="s">
        <v>1356</v>
      </c>
      <c r="G142" s="5" t="n">
        <v>204</v>
      </c>
      <c r="H142" s="5" t="s">
        <v>1353</v>
      </c>
      <c r="I142" s="4" t="s">
        <v>1580</v>
      </c>
      <c r="J142" s="4" t="s">
        <v>131</v>
      </c>
    </row>
    <row r="143" customFormat="false" ht="15" hidden="false" customHeight="false" outlineLevel="0" collapsed="false">
      <c r="A143" s="5" t="n">
        <v>40902</v>
      </c>
      <c r="B143" s="5" t="s">
        <v>65</v>
      </c>
      <c r="C143" s="5" t="s">
        <v>1581</v>
      </c>
      <c r="D143" s="4" t="s">
        <v>18</v>
      </c>
      <c r="E143" s="4" t="s">
        <v>1351</v>
      </c>
      <c r="F143" s="4" t="s">
        <v>1356</v>
      </c>
      <c r="G143" s="5" t="n">
        <v>67</v>
      </c>
      <c r="H143" s="5" t="s">
        <v>1353</v>
      </c>
      <c r="I143" s="4" t="s">
        <v>1582</v>
      </c>
      <c r="J143" s="4" t="s">
        <v>131</v>
      </c>
    </row>
    <row r="144" customFormat="false" ht="15" hidden="false" customHeight="false" outlineLevel="0" collapsed="false">
      <c r="A144" s="5" t="n">
        <v>43209</v>
      </c>
      <c r="B144" s="5" t="s">
        <v>65</v>
      </c>
      <c r="C144" s="5" t="s">
        <v>1583</v>
      </c>
      <c r="D144" s="4" t="s">
        <v>18</v>
      </c>
      <c r="E144" s="4" t="s">
        <v>1351</v>
      </c>
      <c r="F144" s="4" t="s">
        <v>1356</v>
      </c>
      <c r="G144" s="5" t="n">
        <v>98</v>
      </c>
      <c r="H144" s="5" t="s">
        <v>1353</v>
      </c>
      <c r="I144" s="4" t="s">
        <v>1584</v>
      </c>
      <c r="J144" s="4" t="s">
        <v>131</v>
      </c>
    </row>
    <row r="145" customFormat="false" ht="15" hidden="false" customHeight="false" outlineLevel="0" collapsed="false">
      <c r="A145" s="5" t="n">
        <v>35884</v>
      </c>
      <c r="B145" s="5" t="s">
        <v>65</v>
      </c>
      <c r="C145" s="5" t="s">
        <v>700</v>
      </c>
      <c r="D145" s="4" t="s">
        <v>18</v>
      </c>
      <c r="E145" s="4" t="s">
        <v>1351</v>
      </c>
      <c r="F145" s="4" t="s">
        <v>1356</v>
      </c>
      <c r="G145" s="5" t="n">
        <v>77</v>
      </c>
      <c r="H145" s="5" t="s">
        <v>1353</v>
      </c>
      <c r="I145" s="4" t="s">
        <v>1585</v>
      </c>
      <c r="J145" s="4" t="s">
        <v>131</v>
      </c>
    </row>
    <row r="146" customFormat="false" ht="15" hidden="false" customHeight="false" outlineLevel="0" collapsed="false">
      <c r="A146" s="5" t="n">
        <v>31277</v>
      </c>
      <c r="B146" s="5" t="s">
        <v>65</v>
      </c>
      <c r="C146" s="5" t="s">
        <v>1586</v>
      </c>
      <c r="D146" s="4" t="s">
        <v>34</v>
      </c>
      <c r="E146" s="4" t="s">
        <v>1351</v>
      </c>
      <c r="F146" s="4" t="s">
        <v>1352</v>
      </c>
      <c r="G146" s="5" t="n">
        <v>68</v>
      </c>
      <c r="H146" s="5" t="s">
        <v>1353</v>
      </c>
      <c r="I146" s="4" t="s">
        <v>1587</v>
      </c>
      <c r="J146" s="4" t="s">
        <v>131</v>
      </c>
    </row>
    <row r="147" customFormat="false" ht="15" hidden="false" customHeight="false" outlineLevel="0" collapsed="false">
      <c r="A147" s="5" t="n">
        <v>37562</v>
      </c>
      <c r="B147" s="5" t="s">
        <v>65</v>
      </c>
      <c r="C147" s="5" t="s">
        <v>858</v>
      </c>
      <c r="D147" s="4" t="s">
        <v>34</v>
      </c>
      <c r="E147" s="4" t="s">
        <v>1351</v>
      </c>
      <c r="F147" s="4" t="s">
        <v>1352</v>
      </c>
      <c r="G147" s="5" t="n">
        <v>69</v>
      </c>
      <c r="H147" s="5" t="s">
        <v>1353</v>
      </c>
      <c r="I147" s="4" t="s">
        <v>1532</v>
      </c>
      <c r="J147" s="4" t="s">
        <v>131</v>
      </c>
    </row>
    <row r="148" customFormat="false" ht="15" hidden="false" customHeight="false" outlineLevel="0" collapsed="false">
      <c r="A148" s="5" t="n">
        <v>37560</v>
      </c>
      <c r="B148" s="5" t="s">
        <v>65</v>
      </c>
      <c r="C148" s="5" t="s">
        <v>1588</v>
      </c>
      <c r="D148" s="4" t="s">
        <v>34</v>
      </c>
      <c r="E148" s="4" t="s">
        <v>1351</v>
      </c>
      <c r="F148" s="4" t="s">
        <v>1352</v>
      </c>
      <c r="G148" s="5" t="n">
        <v>69</v>
      </c>
      <c r="H148" s="5" t="s">
        <v>1353</v>
      </c>
      <c r="I148" s="4" t="s">
        <v>1532</v>
      </c>
      <c r="J148" s="4" t="s">
        <v>131</v>
      </c>
    </row>
    <row r="149" customFormat="false" ht="15" hidden="false" customHeight="false" outlineLevel="0" collapsed="false">
      <c r="A149" s="5" t="n">
        <v>39348</v>
      </c>
      <c r="B149" s="5" t="s">
        <v>65</v>
      </c>
      <c r="C149" s="5" t="s">
        <v>1589</v>
      </c>
      <c r="D149" s="4" t="s">
        <v>34</v>
      </c>
      <c r="E149" s="4" t="s">
        <v>1351</v>
      </c>
      <c r="F149" s="4" t="s">
        <v>1352</v>
      </c>
      <c r="G149" s="5" t="n">
        <v>49</v>
      </c>
      <c r="H149" s="5" t="s">
        <v>1353</v>
      </c>
      <c r="I149" s="4" t="s">
        <v>1590</v>
      </c>
      <c r="J149" s="4" t="s">
        <v>131</v>
      </c>
    </row>
    <row r="150" customFormat="false" ht="15" hidden="false" customHeight="false" outlineLevel="0" collapsed="false">
      <c r="A150" s="5" t="n">
        <v>39346</v>
      </c>
      <c r="B150" s="5" t="s">
        <v>65</v>
      </c>
      <c r="C150" s="5" t="s">
        <v>1591</v>
      </c>
      <c r="D150" s="4" t="s">
        <v>34</v>
      </c>
      <c r="E150" s="4" t="s">
        <v>1351</v>
      </c>
      <c r="F150" s="4" t="s">
        <v>1352</v>
      </c>
      <c r="G150" s="5" t="n">
        <v>48</v>
      </c>
      <c r="H150" s="5" t="s">
        <v>1353</v>
      </c>
      <c r="I150" s="4" t="s">
        <v>1592</v>
      </c>
      <c r="J150" s="4" t="s">
        <v>131</v>
      </c>
    </row>
    <row r="151" customFormat="false" ht="15" hidden="false" customHeight="false" outlineLevel="0" collapsed="false">
      <c r="A151" s="5" t="n">
        <v>37317</v>
      </c>
      <c r="B151" s="5" t="s">
        <v>65</v>
      </c>
      <c r="C151" s="5" t="s">
        <v>1593</v>
      </c>
      <c r="D151" s="4" t="s">
        <v>34</v>
      </c>
      <c r="E151" s="4" t="s">
        <v>1351</v>
      </c>
      <c r="F151" s="4" t="s">
        <v>1352</v>
      </c>
      <c r="G151" s="5" t="n">
        <v>49</v>
      </c>
      <c r="H151" s="5" t="s">
        <v>1353</v>
      </c>
      <c r="I151" s="4" t="s">
        <v>1590</v>
      </c>
      <c r="J151" s="4" t="s">
        <v>131</v>
      </c>
    </row>
    <row r="152" customFormat="false" ht="15" hidden="false" customHeight="false" outlineLevel="0" collapsed="false">
      <c r="A152" s="5" t="n">
        <v>43189</v>
      </c>
      <c r="B152" s="5" t="s">
        <v>65</v>
      </c>
      <c r="C152" s="5" t="s">
        <v>1594</v>
      </c>
      <c r="D152" s="4" t="s">
        <v>34</v>
      </c>
      <c r="E152" s="4" t="s">
        <v>1351</v>
      </c>
      <c r="F152" s="4" t="s">
        <v>1368</v>
      </c>
      <c r="G152" s="5" t="n">
        <v>82</v>
      </c>
      <c r="H152" s="5" t="s">
        <v>1353</v>
      </c>
      <c r="I152" s="4" t="s">
        <v>1595</v>
      </c>
      <c r="J152" s="4" t="s">
        <v>131</v>
      </c>
    </row>
    <row r="153" customFormat="false" ht="15" hidden="false" customHeight="false" outlineLevel="0" collapsed="false">
      <c r="A153" s="5" t="n">
        <v>43213</v>
      </c>
      <c r="B153" s="5" t="s">
        <v>65</v>
      </c>
      <c r="C153" s="5" t="s">
        <v>1082</v>
      </c>
      <c r="D153" s="4" t="s">
        <v>28</v>
      </c>
      <c r="E153" s="4" t="s">
        <v>1351</v>
      </c>
      <c r="F153" s="4" t="s">
        <v>1352</v>
      </c>
      <c r="G153" s="5" t="n">
        <v>103</v>
      </c>
      <c r="H153" s="5" t="s">
        <v>1353</v>
      </c>
      <c r="I153" s="4" t="s">
        <v>1596</v>
      </c>
      <c r="J153" s="4" t="s">
        <v>131</v>
      </c>
    </row>
    <row r="154" customFormat="false" ht="15" hidden="false" customHeight="false" outlineLevel="0" collapsed="false">
      <c r="A154" s="5" t="n">
        <v>43200</v>
      </c>
      <c r="B154" s="5" t="s">
        <v>65</v>
      </c>
      <c r="C154" s="5" t="s">
        <v>899</v>
      </c>
      <c r="D154" s="4" t="s">
        <v>24</v>
      </c>
      <c r="E154" s="4" t="s">
        <v>1351</v>
      </c>
      <c r="F154" s="4" t="s">
        <v>1352</v>
      </c>
      <c r="G154" s="5" t="n">
        <v>84</v>
      </c>
      <c r="H154" s="5" t="s">
        <v>1353</v>
      </c>
      <c r="I154" s="4" t="s">
        <v>1597</v>
      </c>
      <c r="J154" s="4" t="s">
        <v>131</v>
      </c>
    </row>
    <row r="155" customFormat="false" ht="15" hidden="false" customHeight="false" outlineLevel="0" collapsed="false">
      <c r="A155" s="5" t="n">
        <v>17121</v>
      </c>
      <c r="B155" s="5" t="s">
        <v>65</v>
      </c>
      <c r="C155" s="5" t="s">
        <v>729</v>
      </c>
      <c r="D155" s="4" t="s">
        <v>24</v>
      </c>
      <c r="E155" s="4" t="s">
        <v>1351</v>
      </c>
      <c r="F155" s="4" t="s">
        <v>1368</v>
      </c>
      <c r="G155" s="5" t="n">
        <v>99</v>
      </c>
      <c r="H155" s="5" t="s">
        <v>1353</v>
      </c>
      <c r="I155" s="4" t="s">
        <v>1598</v>
      </c>
      <c r="J155" s="4" t="s">
        <v>131</v>
      </c>
    </row>
    <row r="156" customFormat="false" ht="15" hidden="false" customHeight="false" outlineLevel="0" collapsed="false">
      <c r="A156" s="5" t="n">
        <v>8958</v>
      </c>
      <c r="B156" s="5" t="s">
        <v>65</v>
      </c>
      <c r="C156" s="5" t="s">
        <v>429</v>
      </c>
      <c r="D156" s="4" t="s">
        <v>28</v>
      </c>
      <c r="E156" s="4" t="s">
        <v>1351</v>
      </c>
      <c r="F156" s="4" t="s">
        <v>1356</v>
      </c>
      <c r="G156" s="5" t="n">
        <v>43</v>
      </c>
      <c r="H156" s="5" t="s">
        <v>1353</v>
      </c>
      <c r="I156" s="4" t="s">
        <v>1599</v>
      </c>
      <c r="J156" s="4" t="s">
        <v>131</v>
      </c>
    </row>
    <row r="157" customFormat="false" ht="15" hidden="false" customHeight="false" outlineLevel="0" collapsed="false">
      <c r="A157" s="5" t="n">
        <v>43229</v>
      </c>
      <c r="B157" s="5" t="s">
        <v>65</v>
      </c>
      <c r="C157" s="5" t="s">
        <v>904</v>
      </c>
      <c r="D157" s="4" t="s">
        <v>24</v>
      </c>
      <c r="E157" s="4" t="s">
        <v>1351</v>
      </c>
      <c r="F157" s="4" t="s">
        <v>1352</v>
      </c>
      <c r="G157" s="5" t="n">
        <v>82</v>
      </c>
      <c r="H157" s="5" t="s">
        <v>1353</v>
      </c>
      <c r="I157" s="4" t="s">
        <v>1600</v>
      </c>
      <c r="J157" s="4" t="s">
        <v>131</v>
      </c>
    </row>
    <row r="158" customFormat="false" ht="15" hidden="false" customHeight="false" outlineLevel="0" collapsed="false">
      <c r="A158" s="5" t="n">
        <v>43228</v>
      </c>
      <c r="B158" s="5" t="s">
        <v>65</v>
      </c>
      <c r="C158" s="5" t="s">
        <v>618</v>
      </c>
      <c r="D158" s="4" t="s">
        <v>24</v>
      </c>
      <c r="E158" s="4" t="s">
        <v>1351</v>
      </c>
      <c r="F158" s="4" t="s">
        <v>1352</v>
      </c>
      <c r="G158" s="5" t="n">
        <v>80</v>
      </c>
      <c r="H158" s="5" t="s">
        <v>1353</v>
      </c>
      <c r="I158" s="4" t="s">
        <v>1601</v>
      </c>
      <c r="J158" s="4" t="s">
        <v>131</v>
      </c>
    </row>
    <row r="159" customFormat="false" ht="15" hidden="false" customHeight="false" outlineLevel="0" collapsed="false">
      <c r="A159" s="5" t="n">
        <v>43237</v>
      </c>
      <c r="B159" s="5" t="s">
        <v>65</v>
      </c>
      <c r="C159" s="5" t="s">
        <v>1602</v>
      </c>
      <c r="D159" s="4" t="s">
        <v>24</v>
      </c>
      <c r="E159" s="4" t="s">
        <v>1351</v>
      </c>
      <c r="F159" s="4" t="s">
        <v>1352</v>
      </c>
      <c r="G159" s="5" t="n">
        <v>75</v>
      </c>
      <c r="H159" s="5" t="s">
        <v>1353</v>
      </c>
      <c r="I159" s="4" t="s">
        <v>1603</v>
      </c>
      <c r="J159" s="4" t="s">
        <v>131</v>
      </c>
    </row>
    <row r="160" customFormat="false" ht="15" hidden="false" customHeight="false" outlineLevel="0" collapsed="false">
      <c r="A160" s="5" t="n">
        <v>35402</v>
      </c>
      <c r="B160" s="5" t="s">
        <v>65</v>
      </c>
      <c r="C160" s="5" t="s">
        <v>513</v>
      </c>
      <c r="D160" s="4" t="s">
        <v>34</v>
      </c>
      <c r="E160" s="4" t="s">
        <v>1351</v>
      </c>
      <c r="F160" s="4" t="s">
        <v>1356</v>
      </c>
      <c r="G160" s="5" t="n">
        <v>72</v>
      </c>
      <c r="H160" s="5" t="s">
        <v>1353</v>
      </c>
      <c r="I160" s="4" t="s">
        <v>1604</v>
      </c>
      <c r="J160" s="4" t="s">
        <v>131</v>
      </c>
    </row>
    <row r="161" customFormat="false" ht="15" hidden="false" customHeight="false" outlineLevel="0" collapsed="false">
      <c r="A161" s="5" t="n">
        <v>24082</v>
      </c>
      <c r="B161" s="5" t="s">
        <v>65</v>
      </c>
      <c r="C161" s="5" t="s">
        <v>1038</v>
      </c>
      <c r="D161" s="4" t="s">
        <v>34</v>
      </c>
      <c r="E161" s="4" t="s">
        <v>1351</v>
      </c>
      <c r="F161" s="4" t="s">
        <v>1356</v>
      </c>
      <c r="G161" s="5" t="n">
        <v>75</v>
      </c>
      <c r="H161" s="5" t="s">
        <v>1353</v>
      </c>
      <c r="I161" s="4" t="s">
        <v>1605</v>
      </c>
      <c r="J161" s="4" t="s">
        <v>131</v>
      </c>
    </row>
    <row r="162" customFormat="false" ht="15" hidden="false" customHeight="false" outlineLevel="0" collapsed="false">
      <c r="A162" s="5" t="n">
        <v>41952</v>
      </c>
      <c r="B162" s="5" t="s">
        <v>65</v>
      </c>
      <c r="C162" s="5" t="s">
        <v>1606</v>
      </c>
      <c r="D162" s="4" t="s">
        <v>32</v>
      </c>
      <c r="E162" s="4" t="s">
        <v>1351</v>
      </c>
      <c r="F162" s="4" t="s">
        <v>1352</v>
      </c>
      <c r="G162" s="5" t="n">
        <v>48</v>
      </c>
      <c r="H162" s="5" t="s">
        <v>1353</v>
      </c>
      <c r="I162" s="4" t="s">
        <v>1607</v>
      </c>
      <c r="J162" s="4" t="s">
        <v>131</v>
      </c>
    </row>
    <row r="163" customFormat="false" ht="15" hidden="false" customHeight="false" outlineLevel="0" collapsed="false">
      <c r="A163" s="5" t="n">
        <v>21298</v>
      </c>
      <c r="B163" s="5" t="s">
        <v>65</v>
      </c>
      <c r="C163" s="5" t="s">
        <v>1608</v>
      </c>
      <c r="D163" s="4" t="s">
        <v>32</v>
      </c>
      <c r="E163" s="4" t="s">
        <v>1351</v>
      </c>
      <c r="F163" s="4" t="s">
        <v>1356</v>
      </c>
      <c r="G163" s="5" t="n">
        <v>100</v>
      </c>
      <c r="H163" s="5" t="s">
        <v>1353</v>
      </c>
      <c r="I163" s="4" t="s">
        <v>1609</v>
      </c>
      <c r="J163" s="4" t="s">
        <v>131</v>
      </c>
    </row>
    <row r="164" customFormat="false" ht="15" hidden="false" customHeight="false" outlineLevel="0" collapsed="false">
      <c r="A164" s="5" t="n">
        <v>43193</v>
      </c>
      <c r="B164" s="5" t="s">
        <v>65</v>
      </c>
      <c r="C164" s="5" t="s">
        <v>1610</v>
      </c>
      <c r="D164" s="4" t="s">
        <v>32</v>
      </c>
      <c r="E164" s="4" t="s">
        <v>1351</v>
      </c>
      <c r="F164" s="4" t="s">
        <v>1368</v>
      </c>
      <c r="G164" s="5" t="n">
        <v>34</v>
      </c>
      <c r="H164" s="5" t="s">
        <v>1397</v>
      </c>
      <c r="I164" s="4" t="s">
        <v>1611</v>
      </c>
      <c r="J164" s="4" t="s">
        <v>132</v>
      </c>
    </row>
    <row r="165" customFormat="false" ht="15" hidden="false" customHeight="false" outlineLevel="0" collapsed="false">
      <c r="A165" s="5" t="n">
        <v>43193</v>
      </c>
      <c r="B165" s="5" t="s">
        <v>65</v>
      </c>
      <c r="C165" s="5" t="s">
        <v>1610</v>
      </c>
      <c r="D165" s="4" t="s">
        <v>32</v>
      </c>
      <c r="E165" s="4" t="s">
        <v>1351</v>
      </c>
      <c r="F165" s="4" t="s">
        <v>1377</v>
      </c>
      <c r="G165" s="5" t="n">
        <v>10</v>
      </c>
      <c r="H165" s="5" t="s">
        <v>1419</v>
      </c>
      <c r="I165" s="4" t="s">
        <v>1427</v>
      </c>
      <c r="J165" s="4" t="s">
        <v>133</v>
      </c>
    </row>
    <row r="166" customFormat="false" ht="15" hidden="false" customHeight="false" outlineLevel="0" collapsed="false">
      <c r="A166" s="5" t="n">
        <v>43249</v>
      </c>
      <c r="B166" s="5" t="s">
        <v>65</v>
      </c>
      <c r="C166" s="5" t="s">
        <v>1302</v>
      </c>
      <c r="D166" s="4" t="s">
        <v>22</v>
      </c>
      <c r="E166" s="4" t="s">
        <v>1351</v>
      </c>
      <c r="F166" s="4" t="s">
        <v>1356</v>
      </c>
      <c r="G166" s="5" t="n">
        <v>39</v>
      </c>
      <c r="H166" s="5" t="s">
        <v>1397</v>
      </c>
      <c r="I166" s="4" t="s">
        <v>1612</v>
      </c>
      <c r="J166" s="4" t="s">
        <v>132</v>
      </c>
    </row>
    <row r="167" customFormat="false" ht="15" hidden="false" customHeight="false" outlineLevel="0" collapsed="false">
      <c r="A167" s="5" t="n">
        <v>43250</v>
      </c>
      <c r="B167" s="5" t="s">
        <v>65</v>
      </c>
      <c r="C167" s="5" t="s">
        <v>1613</v>
      </c>
      <c r="D167" s="4" t="s">
        <v>22</v>
      </c>
      <c r="E167" s="4" t="s">
        <v>1351</v>
      </c>
      <c r="F167" s="4" t="s">
        <v>1356</v>
      </c>
      <c r="G167" s="5" t="n">
        <v>81</v>
      </c>
      <c r="H167" s="5" t="s">
        <v>1353</v>
      </c>
      <c r="I167" s="4" t="s">
        <v>1614</v>
      </c>
      <c r="J167" s="4" t="s">
        <v>131</v>
      </c>
    </row>
    <row r="168" customFormat="false" ht="15" hidden="false" customHeight="false" outlineLevel="0" collapsed="false">
      <c r="A168" s="5" t="n">
        <v>37808</v>
      </c>
      <c r="B168" s="5" t="s">
        <v>65</v>
      </c>
      <c r="C168" s="5" t="s">
        <v>1615</v>
      </c>
      <c r="D168" s="4" t="s">
        <v>32</v>
      </c>
      <c r="E168" s="4" t="s">
        <v>1351</v>
      </c>
      <c r="F168" s="4" t="s">
        <v>1356</v>
      </c>
      <c r="G168" s="5" t="n">
        <v>38</v>
      </c>
      <c r="H168" s="5" t="s">
        <v>1397</v>
      </c>
      <c r="I168" s="4" t="s">
        <v>1616</v>
      </c>
      <c r="J168" s="4" t="s">
        <v>132</v>
      </c>
    </row>
    <row r="169" customFormat="false" ht="15" hidden="false" customHeight="false" outlineLevel="0" collapsed="false">
      <c r="A169" s="5" t="n">
        <v>35173</v>
      </c>
      <c r="B169" s="5" t="s">
        <v>65</v>
      </c>
      <c r="C169" s="5" t="s">
        <v>1617</v>
      </c>
      <c r="D169" s="4" t="s">
        <v>32</v>
      </c>
      <c r="E169" s="4" t="s">
        <v>1351</v>
      </c>
      <c r="F169" s="4" t="s">
        <v>1356</v>
      </c>
      <c r="G169" s="5" t="n">
        <v>26</v>
      </c>
      <c r="H169" s="5" t="s">
        <v>1397</v>
      </c>
      <c r="I169" s="4" t="s">
        <v>1618</v>
      </c>
      <c r="J169" s="4" t="s">
        <v>132</v>
      </c>
    </row>
    <row r="170" customFormat="false" ht="15" hidden="false" customHeight="false" outlineLevel="0" collapsed="false">
      <c r="A170" s="5" t="n">
        <v>43252</v>
      </c>
      <c r="B170" s="5" t="s">
        <v>65</v>
      </c>
      <c r="C170" s="5" t="s">
        <v>1619</v>
      </c>
      <c r="D170" s="4" t="s">
        <v>30</v>
      </c>
      <c r="E170" s="4" t="s">
        <v>1351</v>
      </c>
      <c r="F170" s="4" t="s">
        <v>1356</v>
      </c>
      <c r="G170" s="5" t="n">
        <v>74</v>
      </c>
      <c r="H170" s="5" t="s">
        <v>1353</v>
      </c>
      <c r="I170" s="4" t="s">
        <v>1620</v>
      </c>
      <c r="J170" s="4" t="s">
        <v>131</v>
      </c>
    </row>
    <row r="171" customFormat="false" ht="15" hidden="false" customHeight="false" outlineLevel="0" collapsed="false">
      <c r="A171" s="5" t="n">
        <v>43253</v>
      </c>
      <c r="B171" s="5" t="s">
        <v>65</v>
      </c>
      <c r="C171" s="5" t="s">
        <v>421</v>
      </c>
      <c r="D171" s="4" t="s">
        <v>30</v>
      </c>
      <c r="E171" s="4" t="s">
        <v>1351</v>
      </c>
      <c r="F171" s="4" t="s">
        <v>1356</v>
      </c>
      <c r="G171" s="5" t="n">
        <v>73</v>
      </c>
      <c r="H171" s="5" t="s">
        <v>1353</v>
      </c>
      <c r="I171" s="4" t="s">
        <v>1621</v>
      </c>
      <c r="J171" s="4" t="s">
        <v>131</v>
      </c>
    </row>
    <row r="172" customFormat="false" ht="15" hidden="false" customHeight="false" outlineLevel="0" collapsed="false">
      <c r="A172" s="5" t="n">
        <v>43254</v>
      </c>
      <c r="B172" s="5" t="s">
        <v>65</v>
      </c>
      <c r="C172" s="5" t="s">
        <v>1622</v>
      </c>
      <c r="D172" s="4" t="s">
        <v>30</v>
      </c>
      <c r="E172" s="4" t="s">
        <v>1351</v>
      </c>
      <c r="F172" s="4" t="s">
        <v>1356</v>
      </c>
      <c r="G172" s="5" t="n">
        <v>73</v>
      </c>
      <c r="H172" s="5" t="s">
        <v>1353</v>
      </c>
      <c r="I172" s="4" t="s">
        <v>1623</v>
      </c>
      <c r="J172" s="4" t="s">
        <v>131</v>
      </c>
    </row>
    <row r="173" customFormat="false" ht="15" hidden="false" customHeight="false" outlineLevel="0" collapsed="false">
      <c r="A173" s="5" t="n">
        <v>43255</v>
      </c>
      <c r="B173" s="5" t="s">
        <v>65</v>
      </c>
      <c r="C173" s="5" t="s">
        <v>422</v>
      </c>
      <c r="D173" s="4" t="s">
        <v>30</v>
      </c>
      <c r="E173" s="4" t="s">
        <v>1351</v>
      </c>
      <c r="F173" s="4" t="s">
        <v>1356</v>
      </c>
      <c r="G173" s="5" t="n">
        <v>54</v>
      </c>
      <c r="H173" s="5" t="s">
        <v>1353</v>
      </c>
      <c r="I173" s="4" t="s">
        <v>1624</v>
      </c>
      <c r="J173" s="4" t="s">
        <v>131</v>
      </c>
    </row>
    <row r="174" customFormat="false" ht="15" hidden="false" customHeight="false" outlineLevel="0" collapsed="false">
      <c r="A174" s="5" t="n">
        <v>43256</v>
      </c>
      <c r="B174" s="5" t="s">
        <v>65</v>
      </c>
      <c r="C174" s="5" t="s">
        <v>326</v>
      </c>
      <c r="D174" s="4" t="s">
        <v>30</v>
      </c>
      <c r="E174" s="4" t="s">
        <v>1351</v>
      </c>
      <c r="F174" s="4" t="s">
        <v>1356</v>
      </c>
      <c r="G174" s="5" t="n">
        <v>79</v>
      </c>
      <c r="H174" s="5" t="s">
        <v>1353</v>
      </c>
      <c r="I174" s="4" t="s">
        <v>1625</v>
      </c>
      <c r="J174" s="4" t="s">
        <v>131</v>
      </c>
    </row>
    <row r="175" customFormat="false" ht="15" hidden="false" customHeight="false" outlineLevel="0" collapsed="false">
      <c r="A175" s="5" t="n">
        <v>43257</v>
      </c>
      <c r="B175" s="5" t="s">
        <v>65</v>
      </c>
      <c r="C175" s="5" t="s">
        <v>1243</v>
      </c>
      <c r="D175" s="4" t="s">
        <v>30</v>
      </c>
      <c r="E175" s="4" t="s">
        <v>1351</v>
      </c>
      <c r="F175" s="4" t="s">
        <v>1356</v>
      </c>
      <c r="G175" s="5" t="n">
        <v>59</v>
      </c>
      <c r="H175" s="5" t="s">
        <v>1353</v>
      </c>
      <c r="I175" s="4" t="s">
        <v>1626</v>
      </c>
      <c r="J175" s="4" t="s">
        <v>131</v>
      </c>
    </row>
    <row r="176" customFormat="false" ht="15" hidden="false" customHeight="false" outlineLevel="0" collapsed="false">
      <c r="A176" s="5" t="n">
        <v>41221</v>
      </c>
      <c r="B176" s="5" t="s">
        <v>65</v>
      </c>
      <c r="C176" s="5" t="s">
        <v>1627</v>
      </c>
      <c r="D176" s="4" t="s">
        <v>18</v>
      </c>
      <c r="E176" s="4" t="s">
        <v>1351</v>
      </c>
      <c r="F176" s="4" t="s">
        <v>1356</v>
      </c>
      <c r="G176" s="5" t="n">
        <v>58</v>
      </c>
      <c r="H176" s="5" t="s">
        <v>1353</v>
      </c>
      <c r="I176" s="4" t="s">
        <v>1628</v>
      </c>
      <c r="J176" s="4" t="s">
        <v>131</v>
      </c>
    </row>
    <row r="177" customFormat="false" ht="15" hidden="false" customHeight="false" outlineLevel="0" collapsed="false">
      <c r="A177" s="5" t="n">
        <v>39358</v>
      </c>
      <c r="B177" s="5" t="s">
        <v>66</v>
      </c>
      <c r="C177" s="5" t="s">
        <v>1629</v>
      </c>
      <c r="D177" s="4" t="s">
        <v>34</v>
      </c>
      <c r="E177" s="4" t="s">
        <v>1351</v>
      </c>
      <c r="F177" s="4" t="s">
        <v>1352</v>
      </c>
      <c r="G177" s="5" t="n">
        <v>85</v>
      </c>
      <c r="H177" s="5" t="s">
        <v>1353</v>
      </c>
      <c r="I177" s="4" t="s">
        <v>1630</v>
      </c>
      <c r="J177" s="4" t="s">
        <v>131</v>
      </c>
    </row>
    <row r="178" customFormat="false" ht="15" hidden="false" customHeight="false" outlineLevel="0" collapsed="false">
      <c r="A178" s="5" t="n">
        <v>31862</v>
      </c>
      <c r="B178" s="5" t="s">
        <v>66</v>
      </c>
      <c r="C178" s="5" t="s">
        <v>1631</v>
      </c>
      <c r="D178" s="4" t="s">
        <v>34</v>
      </c>
      <c r="E178" s="4" t="s">
        <v>1351</v>
      </c>
      <c r="F178" s="4" t="s">
        <v>1352</v>
      </c>
      <c r="G178" s="5" t="n">
        <v>118</v>
      </c>
      <c r="H178" s="5" t="s">
        <v>1353</v>
      </c>
      <c r="I178" s="4" t="s">
        <v>1632</v>
      </c>
      <c r="J178" s="4" t="s">
        <v>131</v>
      </c>
    </row>
    <row r="179" customFormat="false" ht="15" hidden="false" customHeight="false" outlineLevel="0" collapsed="false">
      <c r="A179" s="5" t="n">
        <v>38986</v>
      </c>
      <c r="B179" s="5" t="s">
        <v>66</v>
      </c>
      <c r="C179" s="5" t="s">
        <v>1633</v>
      </c>
      <c r="D179" s="4" t="s">
        <v>34</v>
      </c>
      <c r="E179" s="4" t="s">
        <v>1351</v>
      </c>
      <c r="F179" s="4" t="s">
        <v>1352</v>
      </c>
      <c r="G179" s="5" t="n">
        <v>112</v>
      </c>
      <c r="H179" s="5" t="s">
        <v>1353</v>
      </c>
      <c r="I179" s="4" t="s">
        <v>1634</v>
      </c>
      <c r="J179" s="4" t="s">
        <v>131</v>
      </c>
    </row>
    <row r="180" customFormat="false" ht="15" hidden="false" customHeight="false" outlineLevel="0" collapsed="false">
      <c r="A180" s="5" t="n">
        <v>43284</v>
      </c>
      <c r="B180" s="5" t="s">
        <v>66</v>
      </c>
      <c r="C180" s="5" t="s">
        <v>983</v>
      </c>
      <c r="D180" s="4" t="s">
        <v>28</v>
      </c>
      <c r="E180" s="4" t="s">
        <v>1351</v>
      </c>
      <c r="F180" s="4" t="s">
        <v>1352</v>
      </c>
      <c r="G180" s="5" t="n">
        <v>72</v>
      </c>
      <c r="H180" s="5" t="s">
        <v>1353</v>
      </c>
      <c r="I180" s="4" t="s">
        <v>1635</v>
      </c>
      <c r="J180" s="4" t="s">
        <v>131</v>
      </c>
    </row>
    <row r="181" customFormat="false" ht="15" hidden="false" customHeight="false" outlineLevel="0" collapsed="false">
      <c r="A181" s="5" t="n">
        <v>43285</v>
      </c>
      <c r="B181" s="5" t="s">
        <v>66</v>
      </c>
      <c r="C181" s="5" t="s">
        <v>904</v>
      </c>
      <c r="D181" s="4" t="s">
        <v>28</v>
      </c>
      <c r="E181" s="4" t="s">
        <v>1351</v>
      </c>
      <c r="F181" s="4" t="s">
        <v>1352</v>
      </c>
      <c r="G181" s="5" t="n">
        <v>95</v>
      </c>
      <c r="H181" s="5" t="s">
        <v>1353</v>
      </c>
      <c r="I181" s="4" t="s">
        <v>1635</v>
      </c>
      <c r="J181" s="4" t="s">
        <v>131</v>
      </c>
    </row>
    <row r="182" customFormat="false" ht="15" hidden="false" customHeight="false" outlineLevel="0" collapsed="false">
      <c r="A182" s="5" t="n">
        <v>31847</v>
      </c>
      <c r="B182" s="5" t="s">
        <v>66</v>
      </c>
      <c r="C182" s="5" t="s">
        <v>314</v>
      </c>
      <c r="D182" s="4" t="s">
        <v>34</v>
      </c>
      <c r="E182" s="4" t="s">
        <v>1351</v>
      </c>
      <c r="F182" s="4" t="s">
        <v>1352</v>
      </c>
      <c r="G182" s="5" t="n">
        <v>144</v>
      </c>
      <c r="H182" s="5" t="s">
        <v>1353</v>
      </c>
      <c r="I182" s="4" t="s">
        <v>1636</v>
      </c>
      <c r="J182" s="4" t="s">
        <v>131</v>
      </c>
    </row>
    <row r="183" customFormat="false" ht="15" hidden="false" customHeight="false" outlineLevel="0" collapsed="false">
      <c r="A183" s="5" t="n">
        <v>43286</v>
      </c>
      <c r="B183" s="5" t="s">
        <v>66</v>
      </c>
      <c r="C183" s="5" t="s">
        <v>744</v>
      </c>
      <c r="D183" s="4" t="s">
        <v>28</v>
      </c>
      <c r="E183" s="4" t="s">
        <v>1351</v>
      </c>
      <c r="F183" s="4" t="s">
        <v>1352</v>
      </c>
      <c r="G183" s="5" t="n">
        <v>103</v>
      </c>
      <c r="H183" s="5" t="s">
        <v>1353</v>
      </c>
      <c r="I183" s="4" t="s">
        <v>1637</v>
      </c>
      <c r="J183" s="4" t="s">
        <v>131</v>
      </c>
    </row>
    <row r="184" customFormat="false" ht="15" hidden="false" customHeight="false" outlineLevel="0" collapsed="false">
      <c r="A184" s="5" t="n">
        <v>40530</v>
      </c>
      <c r="B184" s="5" t="s">
        <v>66</v>
      </c>
      <c r="C184" s="5" t="s">
        <v>1615</v>
      </c>
      <c r="D184" s="4" t="s">
        <v>18</v>
      </c>
      <c r="E184" s="4" t="s">
        <v>1351</v>
      </c>
      <c r="F184" s="4" t="s">
        <v>1356</v>
      </c>
      <c r="G184" s="5" t="n">
        <v>128</v>
      </c>
      <c r="H184" s="5" t="s">
        <v>1353</v>
      </c>
      <c r="I184" s="4" t="s">
        <v>1638</v>
      </c>
      <c r="J184" s="4" t="s">
        <v>131</v>
      </c>
    </row>
    <row r="185" customFormat="false" ht="15" hidden="false" customHeight="false" outlineLevel="0" collapsed="false">
      <c r="A185" s="5" t="n">
        <v>43287</v>
      </c>
      <c r="B185" s="5" t="s">
        <v>66</v>
      </c>
      <c r="C185" s="5" t="s">
        <v>799</v>
      </c>
      <c r="D185" s="4" t="s">
        <v>18</v>
      </c>
      <c r="E185" s="4" t="s">
        <v>1351</v>
      </c>
      <c r="F185" s="4" t="s">
        <v>1356</v>
      </c>
      <c r="G185" s="5" t="n">
        <v>88</v>
      </c>
      <c r="H185" s="5" t="s">
        <v>1353</v>
      </c>
      <c r="I185" s="4" t="s">
        <v>1639</v>
      </c>
      <c r="J185" s="4" t="s">
        <v>131</v>
      </c>
    </row>
    <row r="186" customFormat="false" ht="15" hidden="false" customHeight="false" outlineLevel="0" collapsed="false">
      <c r="A186" s="5" t="n">
        <v>43288</v>
      </c>
      <c r="B186" s="5" t="s">
        <v>66</v>
      </c>
      <c r="C186" s="5" t="s">
        <v>1640</v>
      </c>
      <c r="D186" s="4" t="s">
        <v>18</v>
      </c>
      <c r="E186" s="4" t="s">
        <v>1351</v>
      </c>
      <c r="F186" s="4" t="s">
        <v>1356</v>
      </c>
      <c r="G186" s="5" t="n">
        <v>184</v>
      </c>
      <c r="H186" s="5" t="s">
        <v>1353</v>
      </c>
      <c r="I186" s="4" t="s">
        <v>1641</v>
      </c>
      <c r="J186" s="4" t="s">
        <v>131</v>
      </c>
    </row>
    <row r="187" customFormat="false" ht="15" hidden="false" customHeight="false" outlineLevel="0" collapsed="false">
      <c r="A187" s="5" t="n">
        <v>41216</v>
      </c>
      <c r="B187" s="5" t="s">
        <v>66</v>
      </c>
      <c r="C187" s="5" t="s">
        <v>1642</v>
      </c>
      <c r="D187" s="4" t="s">
        <v>18</v>
      </c>
      <c r="E187" s="4" t="s">
        <v>1351</v>
      </c>
      <c r="F187" s="4" t="s">
        <v>1356</v>
      </c>
      <c r="G187" s="5" t="n">
        <v>85</v>
      </c>
      <c r="H187" s="5" t="s">
        <v>1353</v>
      </c>
      <c r="I187" s="4" t="s">
        <v>1643</v>
      </c>
      <c r="J187" s="4" t="s">
        <v>131</v>
      </c>
    </row>
    <row r="188" customFormat="false" ht="15" hidden="false" customHeight="false" outlineLevel="0" collapsed="false">
      <c r="A188" s="5" t="n">
        <v>39986</v>
      </c>
      <c r="B188" s="5" t="s">
        <v>66</v>
      </c>
      <c r="C188" s="5" t="s">
        <v>1644</v>
      </c>
      <c r="D188" s="4" t="s">
        <v>18</v>
      </c>
      <c r="E188" s="4" t="s">
        <v>1351</v>
      </c>
      <c r="F188" s="4" t="s">
        <v>1356</v>
      </c>
      <c r="G188" s="5" t="n">
        <v>105</v>
      </c>
      <c r="H188" s="5" t="s">
        <v>1353</v>
      </c>
      <c r="I188" s="4" t="s">
        <v>1645</v>
      </c>
      <c r="J188" s="4" t="s">
        <v>131</v>
      </c>
    </row>
    <row r="189" customFormat="false" ht="15" hidden="false" customHeight="false" outlineLevel="0" collapsed="false">
      <c r="A189" s="5" t="n">
        <v>36001</v>
      </c>
      <c r="B189" s="5" t="s">
        <v>66</v>
      </c>
      <c r="C189" s="5" t="s">
        <v>1646</v>
      </c>
      <c r="D189" s="4" t="s">
        <v>18</v>
      </c>
      <c r="E189" s="4" t="s">
        <v>1351</v>
      </c>
      <c r="F189" s="4" t="s">
        <v>1368</v>
      </c>
      <c r="G189" s="5" t="n">
        <v>131</v>
      </c>
      <c r="H189" s="5" t="s">
        <v>1353</v>
      </c>
      <c r="I189" s="4" t="s">
        <v>1647</v>
      </c>
      <c r="J189" s="4" t="s">
        <v>131</v>
      </c>
    </row>
    <row r="190" customFormat="false" ht="15" hidden="false" customHeight="false" outlineLevel="0" collapsed="false">
      <c r="A190" s="5" t="n">
        <v>43237</v>
      </c>
      <c r="B190" s="5" t="s">
        <v>66</v>
      </c>
      <c r="C190" s="5" t="s">
        <v>1648</v>
      </c>
      <c r="D190" s="4" t="s">
        <v>24</v>
      </c>
      <c r="E190" s="4" t="s">
        <v>1351</v>
      </c>
      <c r="F190" s="4" t="s">
        <v>1352</v>
      </c>
      <c r="G190" s="5" t="n">
        <v>81</v>
      </c>
      <c r="H190" s="5" t="s">
        <v>1353</v>
      </c>
      <c r="I190" s="4" t="s">
        <v>1649</v>
      </c>
      <c r="J190" s="4" t="s">
        <v>131</v>
      </c>
    </row>
    <row r="191" customFormat="false" ht="15" hidden="false" customHeight="false" outlineLevel="0" collapsed="false">
      <c r="A191" s="5" t="n">
        <v>40688</v>
      </c>
      <c r="B191" s="5" t="s">
        <v>66</v>
      </c>
      <c r="C191" s="5" t="s">
        <v>1650</v>
      </c>
      <c r="D191" s="4" t="s">
        <v>24</v>
      </c>
      <c r="E191" s="4" t="s">
        <v>1351</v>
      </c>
      <c r="F191" s="4" t="s">
        <v>1356</v>
      </c>
      <c r="G191" s="5" t="n">
        <v>136</v>
      </c>
      <c r="H191" s="5" t="s">
        <v>1353</v>
      </c>
      <c r="I191" s="4" t="s">
        <v>1651</v>
      </c>
      <c r="J191" s="4" t="s">
        <v>131</v>
      </c>
    </row>
    <row r="192" customFormat="false" ht="15" hidden="false" customHeight="false" outlineLevel="0" collapsed="false">
      <c r="A192" s="5" t="n">
        <v>39518</v>
      </c>
      <c r="B192" s="5" t="s">
        <v>66</v>
      </c>
      <c r="C192" s="5" t="s">
        <v>1059</v>
      </c>
      <c r="D192" s="4" t="s">
        <v>24</v>
      </c>
      <c r="E192" s="4" t="s">
        <v>1351</v>
      </c>
      <c r="F192" s="4" t="s">
        <v>1356</v>
      </c>
      <c r="G192" s="5" t="n">
        <v>95</v>
      </c>
      <c r="H192" s="5" t="s">
        <v>1353</v>
      </c>
      <c r="I192" s="4" t="s">
        <v>1652</v>
      </c>
      <c r="J192" s="4" t="s">
        <v>131</v>
      </c>
    </row>
    <row r="193" customFormat="false" ht="15" hidden="false" customHeight="false" outlineLevel="0" collapsed="false">
      <c r="A193" s="5" t="n">
        <v>43296</v>
      </c>
      <c r="B193" s="5" t="s">
        <v>66</v>
      </c>
      <c r="C193" s="5" t="s">
        <v>1073</v>
      </c>
      <c r="D193" s="4" t="s">
        <v>32</v>
      </c>
      <c r="E193" s="4" t="s">
        <v>1351</v>
      </c>
      <c r="F193" s="4" t="s">
        <v>1352</v>
      </c>
      <c r="G193" s="5" t="n">
        <v>50</v>
      </c>
      <c r="H193" s="5" t="s">
        <v>1353</v>
      </c>
      <c r="I193" s="4" t="s">
        <v>1653</v>
      </c>
      <c r="J193" s="4" t="s">
        <v>131</v>
      </c>
    </row>
    <row r="194" customFormat="false" ht="15" hidden="false" customHeight="false" outlineLevel="0" collapsed="false">
      <c r="A194" s="5" t="n">
        <v>43195</v>
      </c>
      <c r="B194" s="5" t="s">
        <v>66</v>
      </c>
      <c r="C194" s="5" t="s">
        <v>672</v>
      </c>
      <c r="D194" s="4" t="s">
        <v>32</v>
      </c>
      <c r="E194" s="4" t="s">
        <v>1351</v>
      </c>
      <c r="F194" s="4" t="s">
        <v>1352</v>
      </c>
      <c r="G194" s="5" t="n">
        <v>95</v>
      </c>
      <c r="H194" s="5" t="s">
        <v>1353</v>
      </c>
      <c r="I194" s="4" t="s">
        <v>1654</v>
      </c>
      <c r="J194" s="4" t="s">
        <v>131</v>
      </c>
    </row>
    <row r="195" customFormat="false" ht="15" hidden="false" customHeight="false" outlineLevel="0" collapsed="false">
      <c r="A195" s="5" t="n">
        <v>43297</v>
      </c>
      <c r="B195" s="5" t="s">
        <v>66</v>
      </c>
      <c r="C195" s="5" t="s">
        <v>1655</v>
      </c>
      <c r="D195" s="4" t="s">
        <v>32</v>
      </c>
      <c r="E195" s="4" t="s">
        <v>1351</v>
      </c>
      <c r="F195" s="4" t="s">
        <v>1352</v>
      </c>
      <c r="G195" s="5" t="n">
        <v>52</v>
      </c>
      <c r="H195" s="5" t="s">
        <v>1353</v>
      </c>
      <c r="I195" s="4" t="s">
        <v>1656</v>
      </c>
      <c r="J195" s="4" t="s">
        <v>131</v>
      </c>
    </row>
    <row r="196" customFormat="false" ht="15" hidden="false" customHeight="false" outlineLevel="0" collapsed="false">
      <c r="A196" s="5" t="n">
        <v>43300</v>
      </c>
      <c r="B196" s="5" t="s">
        <v>66</v>
      </c>
      <c r="C196" s="5" t="s">
        <v>455</v>
      </c>
      <c r="D196" s="4" t="s">
        <v>32</v>
      </c>
      <c r="E196" s="4" t="s">
        <v>1351</v>
      </c>
      <c r="F196" s="4" t="s">
        <v>1352</v>
      </c>
      <c r="G196" s="5" t="n">
        <v>72</v>
      </c>
      <c r="H196" s="5" t="s">
        <v>1353</v>
      </c>
      <c r="I196" s="4" t="s">
        <v>1657</v>
      </c>
      <c r="J196" s="4" t="s">
        <v>131</v>
      </c>
    </row>
    <row r="197" customFormat="false" ht="15" hidden="false" customHeight="false" outlineLevel="0" collapsed="false">
      <c r="A197" s="5" t="n">
        <v>43301</v>
      </c>
      <c r="B197" s="5" t="s">
        <v>66</v>
      </c>
      <c r="C197" s="5" t="s">
        <v>461</v>
      </c>
      <c r="D197" s="4" t="s">
        <v>32</v>
      </c>
      <c r="E197" s="4" t="s">
        <v>1351</v>
      </c>
      <c r="F197" s="4" t="s">
        <v>1352</v>
      </c>
      <c r="G197" s="5" t="n">
        <v>123</v>
      </c>
      <c r="H197" s="5" t="s">
        <v>1353</v>
      </c>
      <c r="I197" s="4" t="s">
        <v>1658</v>
      </c>
      <c r="J197" s="4" t="s">
        <v>131</v>
      </c>
    </row>
    <row r="198" customFormat="false" ht="15" hidden="false" customHeight="false" outlineLevel="0" collapsed="false">
      <c r="A198" s="5" t="n">
        <v>43303</v>
      </c>
      <c r="B198" s="5" t="s">
        <v>66</v>
      </c>
      <c r="C198" s="5" t="s">
        <v>1659</v>
      </c>
      <c r="D198" s="4" t="s">
        <v>32</v>
      </c>
      <c r="E198" s="4" t="s">
        <v>1351</v>
      </c>
      <c r="F198" s="4" t="s">
        <v>1368</v>
      </c>
      <c r="G198" s="5" t="n">
        <v>58</v>
      </c>
      <c r="H198" s="5" t="s">
        <v>1353</v>
      </c>
      <c r="I198" s="4" t="s">
        <v>1660</v>
      </c>
      <c r="J198" s="4" t="s">
        <v>131</v>
      </c>
    </row>
    <row r="199" customFormat="false" ht="15" hidden="false" customHeight="false" outlineLevel="0" collapsed="false">
      <c r="A199" s="5" t="n">
        <v>43303</v>
      </c>
      <c r="B199" s="5" t="s">
        <v>66</v>
      </c>
      <c r="C199" s="5" t="s">
        <v>1659</v>
      </c>
      <c r="D199" s="4" t="s">
        <v>32</v>
      </c>
      <c r="E199" s="4" t="s">
        <v>1351</v>
      </c>
      <c r="F199" s="4" t="s">
        <v>1377</v>
      </c>
      <c r="G199" s="5" t="n">
        <v>10</v>
      </c>
      <c r="H199" s="5" t="s">
        <v>1419</v>
      </c>
      <c r="I199" s="4" t="s">
        <v>1427</v>
      </c>
      <c r="J199" s="4" t="s">
        <v>133</v>
      </c>
    </row>
    <row r="200" customFormat="false" ht="15" hidden="false" customHeight="false" outlineLevel="0" collapsed="false">
      <c r="A200" s="5" t="n">
        <v>43302</v>
      </c>
      <c r="B200" s="5" t="s">
        <v>66</v>
      </c>
      <c r="C200" s="5" t="s">
        <v>1659</v>
      </c>
      <c r="D200" s="4" t="s">
        <v>30</v>
      </c>
      <c r="E200" s="4" t="s">
        <v>1351</v>
      </c>
      <c r="F200" s="4" t="s">
        <v>1356</v>
      </c>
      <c r="G200" s="5" t="n">
        <v>83</v>
      </c>
      <c r="H200" s="5" t="s">
        <v>1353</v>
      </c>
      <c r="I200" s="4" t="s">
        <v>1661</v>
      </c>
      <c r="J200" s="4" t="s">
        <v>131</v>
      </c>
    </row>
    <row r="201" customFormat="false" ht="15" hidden="false" customHeight="false" outlineLevel="0" collapsed="false">
      <c r="A201" s="5" t="n">
        <v>43304</v>
      </c>
      <c r="B201" s="5" t="s">
        <v>66</v>
      </c>
      <c r="C201" s="5" t="s">
        <v>467</v>
      </c>
      <c r="D201" s="4" t="s">
        <v>30</v>
      </c>
      <c r="E201" s="4" t="s">
        <v>1351</v>
      </c>
      <c r="F201" s="4" t="s">
        <v>1356</v>
      </c>
      <c r="G201" s="5" t="n">
        <v>76</v>
      </c>
      <c r="H201" s="5" t="s">
        <v>1353</v>
      </c>
      <c r="I201" s="4" t="s">
        <v>1662</v>
      </c>
      <c r="J201" s="4" t="s">
        <v>131</v>
      </c>
    </row>
    <row r="202" customFormat="false" ht="15" hidden="false" customHeight="false" outlineLevel="0" collapsed="false">
      <c r="A202" s="5" t="n">
        <v>43306</v>
      </c>
      <c r="B202" s="5" t="s">
        <v>66</v>
      </c>
      <c r="C202" s="5" t="s">
        <v>473</v>
      </c>
      <c r="D202" s="4" t="s">
        <v>32</v>
      </c>
      <c r="E202" s="4" t="s">
        <v>1351</v>
      </c>
      <c r="F202" s="4" t="s">
        <v>1356</v>
      </c>
      <c r="G202" s="5" t="n">
        <v>89</v>
      </c>
      <c r="H202" s="5" t="s">
        <v>1353</v>
      </c>
      <c r="I202" s="4" t="s">
        <v>1663</v>
      </c>
      <c r="J202" s="4" t="s">
        <v>131</v>
      </c>
    </row>
    <row r="203" customFormat="false" ht="15" hidden="false" customHeight="false" outlineLevel="0" collapsed="false">
      <c r="A203" s="5" t="n">
        <v>43305</v>
      </c>
      <c r="B203" s="5" t="s">
        <v>66</v>
      </c>
      <c r="C203" s="5" t="s">
        <v>473</v>
      </c>
      <c r="D203" s="4" t="s">
        <v>30</v>
      </c>
      <c r="E203" s="4" t="s">
        <v>1351</v>
      </c>
      <c r="F203" s="4" t="s">
        <v>1356</v>
      </c>
      <c r="G203" s="5" t="n">
        <v>56</v>
      </c>
      <c r="H203" s="5" t="s">
        <v>1353</v>
      </c>
      <c r="I203" s="4" t="s">
        <v>1664</v>
      </c>
      <c r="J203" s="4" t="s">
        <v>131</v>
      </c>
    </row>
    <row r="204" customFormat="false" ht="15" hidden="false" customHeight="false" outlineLevel="0" collapsed="false">
      <c r="A204" s="5" t="n">
        <v>43307</v>
      </c>
      <c r="B204" s="5" t="s">
        <v>66</v>
      </c>
      <c r="C204" s="5" t="s">
        <v>1665</v>
      </c>
      <c r="D204" s="4" t="s">
        <v>30</v>
      </c>
      <c r="E204" s="4" t="s">
        <v>1351</v>
      </c>
      <c r="F204" s="4" t="s">
        <v>1356</v>
      </c>
      <c r="G204" s="5" t="n">
        <v>46</v>
      </c>
      <c r="H204" s="5" t="s">
        <v>1353</v>
      </c>
      <c r="I204" s="4" t="s">
        <v>1666</v>
      </c>
      <c r="J204" s="4" t="s">
        <v>131</v>
      </c>
    </row>
    <row r="205" customFormat="false" ht="15" hidden="false" customHeight="false" outlineLevel="0" collapsed="false">
      <c r="A205" s="5" t="n">
        <v>43308</v>
      </c>
      <c r="B205" s="5" t="s">
        <v>66</v>
      </c>
      <c r="C205" s="5" t="s">
        <v>1667</v>
      </c>
      <c r="D205" s="4" t="s">
        <v>30</v>
      </c>
      <c r="E205" s="4" t="s">
        <v>1351</v>
      </c>
      <c r="F205" s="4" t="s">
        <v>1356</v>
      </c>
      <c r="G205" s="5" t="n">
        <v>40</v>
      </c>
      <c r="H205" s="5" t="s">
        <v>1353</v>
      </c>
      <c r="I205" s="4" t="s">
        <v>1668</v>
      </c>
      <c r="J205" s="4" t="s">
        <v>131</v>
      </c>
    </row>
    <row r="206" customFormat="false" ht="15" hidden="false" customHeight="false" outlineLevel="0" collapsed="false">
      <c r="A206" s="5" t="n">
        <v>41401</v>
      </c>
      <c r="B206" s="5" t="s">
        <v>66</v>
      </c>
      <c r="C206" s="5" t="s">
        <v>1571</v>
      </c>
      <c r="D206" s="4" t="s">
        <v>18</v>
      </c>
      <c r="E206" s="4" t="s">
        <v>1351</v>
      </c>
      <c r="F206" s="4" t="s">
        <v>1356</v>
      </c>
      <c r="G206" s="5" t="n">
        <v>98</v>
      </c>
      <c r="H206" s="5" t="s">
        <v>1353</v>
      </c>
      <c r="I206" s="4" t="s">
        <v>1669</v>
      </c>
      <c r="J206" s="4" t="s">
        <v>131</v>
      </c>
    </row>
    <row r="207" customFormat="false" ht="15" hidden="false" customHeight="false" outlineLevel="0" collapsed="false">
      <c r="A207" s="5" t="n">
        <v>41221</v>
      </c>
      <c r="B207" s="5" t="s">
        <v>66</v>
      </c>
      <c r="C207" s="5" t="s">
        <v>1670</v>
      </c>
      <c r="D207" s="4" t="s">
        <v>18</v>
      </c>
      <c r="E207" s="4" t="s">
        <v>1351</v>
      </c>
      <c r="F207" s="4" t="s">
        <v>1671</v>
      </c>
      <c r="G207" s="5" t="n">
        <v>38</v>
      </c>
      <c r="H207" s="5" t="s">
        <v>1397</v>
      </c>
      <c r="I207" s="4" t="s">
        <v>1672</v>
      </c>
      <c r="J207" s="4" t="s">
        <v>132</v>
      </c>
    </row>
    <row r="208" customFormat="false" ht="15" hidden="false" customHeight="false" outlineLevel="0" collapsed="false">
      <c r="A208" s="5" t="n">
        <v>43309</v>
      </c>
      <c r="B208" s="5" t="s">
        <v>67</v>
      </c>
      <c r="C208" s="5" t="s">
        <v>1673</v>
      </c>
      <c r="D208" s="4" t="s">
        <v>22</v>
      </c>
      <c r="E208" s="4" t="s">
        <v>1351</v>
      </c>
      <c r="F208" s="4" t="s">
        <v>1352</v>
      </c>
      <c r="G208" s="5" t="n">
        <v>64</v>
      </c>
      <c r="H208" s="5" t="s">
        <v>1353</v>
      </c>
      <c r="I208" s="4" t="s">
        <v>1674</v>
      </c>
      <c r="J208" s="4" t="s">
        <v>131</v>
      </c>
    </row>
    <row r="209" customFormat="false" ht="15" hidden="false" customHeight="false" outlineLevel="0" collapsed="false">
      <c r="A209" s="5" t="n">
        <v>43310</v>
      </c>
      <c r="B209" s="5" t="s">
        <v>67</v>
      </c>
      <c r="C209" s="5" t="s">
        <v>1675</v>
      </c>
      <c r="D209" s="4" t="s">
        <v>22</v>
      </c>
      <c r="E209" s="4" t="s">
        <v>1351</v>
      </c>
      <c r="F209" s="4" t="s">
        <v>1352</v>
      </c>
      <c r="G209" s="5" t="n">
        <v>63</v>
      </c>
      <c r="H209" s="5" t="s">
        <v>1353</v>
      </c>
      <c r="I209" s="4" t="s">
        <v>1676</v>
      </c>
      <c r="J209" s="4" t="s">
        <v>131</v>
      </c>
    </row>
    <row r="210" customFormat="false" ht="15" hidden="false" customHeight="false" outlineLevel="0" collapsed="false">
      <c r="A210" s="5" t="n">
        <v>43311</v>
      </c>
      <c r="B210" s="5" t="s">
        <v>67</v>
      </c>
      <c r="C210" s="5" t="s">
        <v>1677</v>
      </c>
      <c r="D210" s="4" t="s">
        <v>22</v>
      </c>
      <c r="E210" s="4" t="s">
        <v>1351</v>
      </c>
      <c r="F210" s="4" t="s">
        <v>1352</v>
      </c>
      <c r="G210" s="5" t="n">
        <v>49</v>
      </c>
      <c r="H210" s="5" t="s">
        <v>1353</v>
      </c>
      <c r="I210" s="4" t="s">
        <v>1678</v>
      </c>
      <c r="J210" s="4" t="s">
        <v>131</v>
      </c>
    </row>
    <row r="211" customFormat="false" ht="15" hidden="false" customHeight="false" outlineLevel="0" collapsed="false">
      <c r="A211" s="5" t="n">
        <v>42945</v>
      </c>
      <c r="B211" s="5" t="s">
        <v>67</v>
      </c>
      <c r="C211" s="5" t="s">
        <v>1679</v>
      </c>
      <c r="D211" s="4" t="s">
        <v>22</v>
      </c>
      <c r="E211" s="4" t="s">
        <v>1351</v>
      </c>
      <c r="F211" s="4" t="s">
        <v>1356</v>
      </c>
      <c r="G211" s="5" t="n">
        <v>37</v>
      </c>
      <c r="H211" s="5" t="s">
        <v>1397</v>
      </c>
      <c r="I211" s="4" t="s">
        <v>1680</v>
      </c>
      <c r="J211" s="4" t="s">
        <v>132</v>
      </c>
    </row>
    <row r="212" customFormat="false" ht="15" hidden="false" customHeight="false" outlineLevel="0" collapsed="false">
      <c r="A212" s="5" t="n">
        <v>43312</v>
      </c>
      <c r="B212" s="5" t="s">
        <v>67</v>
      </c>
      <c r="C212" s="5" t="s">
        <v>1681</v>
      </c>
      <c r="D212" s="4" t="s">
        <v>22</v>
      </c>
      <c r="E212" s="4" t="s">
        <v>1351</v>
      </c>
      <c r="F212" s="4" t="s">
        <v>1671</v>
      </c>
      <c r="G212" s="5" t="n">
        <v>31</v>
      </c>
      <c r="H212" s="5" t="s">
        <v>1397</v>
      </c>
      <c r="I212" s="4" t="s">
        <v>1682</v>
      </c>
      <c r="J212" s="4" t="s">
        <v>132</v>
      </c>
    </row>
    <row r="213" customFormat="false" ht="15" hidden="false" customHeight="false" outlineLevel="0" collapsed="false">
      <c r="A213" s="5" t="n">
        <v>41113</v>
      </c>
      <c r="B213" s="5" t="s">
        <v>67</v>
      </c>
      <c r="C213" s="5" t="s">
        <v>1683</v>
      </c>
      <c r="D213" s="4" t="s">
        <v>22</v>
      </c>
      <c r="E213" s="4" t="s">
        <v>1351</v>
      </c>
      <c r="F213" s="4" t="s">
        <v>1352</v>
      </c>
      <c r="G213" s="5" t="n">
        <v>40</v>
      </c>
      <c r="H213" s="5" t="s">
        <v>1353</v>
      </c>
      <c r="I213" s="4" t="s">
        <v>1684</v>
      </c>
      <c r="J213" s="4" t="s">
        <v>131</v>
      </c>
    </row>
    <row r="214" customFormat="false" ht="15" hidden="false" customHeight="false" outlineLevel="0" collapsed="false">
      <c r="A214" s="5" t="n">
        <v>43313</v>
      </c>
      <c r="B214" s="5" t="s">
        <v>67</v>
      </c>
      <c r="C214" s="5" t="s">
        <v>1685</v>
      </c>
      <c r="D214" s="4" t="s">
        <v>22</v>
      </c>
      <c r="E214" s="4" t="s">
        <v>1351</v>
      </c>
      <c r="F214" s="4" t="s">
        <v>1356</v>
      </c>
      <c r="G214" s="5" t="n">
        <v>43</v>
      </c>
      <c r="H214" s="5" t="s">
        <v>1353</v>
      </c>
      <c r="I214" s="4" t="s">
        <v>1686</v>
      </c>
      <c r="J214" s="4" t="s">
        <v>131</v>
      </c>
    </row>
    <row r="215" customFormat="false" ht="15" hidden="false" customHeight="false" outlineLevel="0" collapsed="false">
      <c r="A215" s="5" t="n">
        <v>43314</v>
      </c>
      <c r="B215" s="5" t="s">
        <v>67</v>
      </c>
      <c r="C215" s="5" t="s">
        <v>1687</v>
      </c>
      <c r="D215" s="4" t="s">
        <v>34</v>
      </c>
      <c r="E215" s="4" t="s">
        <v>1351</v>
      </c>
      <c r="F215" s="4" t="s">
        <v>1352</v>
      </c>
      <c r="G215" s="5" t="n">
        <v>86</v>
      </c>
      <c r="H215" s="5" t="s">
        <v>1353</v>
      </c>
      <c r="I215" s="4" t="s">
        <v>1501</v>
      </c>
      <c r="J215" s="4" t="s">
        <v>131</v>
      </c>
    </row>
    <row r="216" customFormat="false" ht="15" hidden="false" customHeight="false" outlineLevel="0" collapsed="false">
      <c r="A216" s="5" t="n">
        <v>43315</v>
      </c>
      <c r="B216" s="5" t="s">
        <v>67</v>
      </c>
      <c r="C216" s="5" t="s">
        <v>1688</v>
      </c>
      <c r="D216" s="4" t="s">
        <v>34</v>
      </c>
      <c r="E216" s="4" t="s">
        <v>1351</v>
      </c>
      <c r="F216" s="4" t="s">
        <v>1352</v>
      </c>
      <c r="G216" s="5" t="n">
        <v>117</v>
      </c>
      <c r="H216" s="5" t="s">
        <v>1353</v>
      </c>
      <c r="I216" s="4" t="s">
        <v>1689</v>
      </c>
      <c r="J216" s="4" t="s">
        <v>131</v>
      </c>
    </row>
    <row r="217" customFormat="false" ht="15" hidden="false" customHeight="false" outlineLevel="0" collapsed="false">
      <c r="A217" s="5" t="n">
        <v>43316</v>
      </c>
      <c r="B217" s="5" t="s">
        <v>67</v>
      </c>
      <c r="C217" s="5" t="s">
        <v>1690</v>
      </c>
      <c r="D217" s="4" t="s">
        <v>34</v>
      </c>
      <c r="E217" s="4" t="s">
        <v>1351</v>
      </c>
      <c r="F217" s="4" t="s">
        <v>1352</v>
      </c>
      <c r="G217" s="5" t="n">
        <v>99</v>
      </c>
      <c r="H217" s="5" t="s">
        <v>1353</v>
      </c>
      <c r="I217" s="4" t="s">
        <v>1691</v>
      </c>
      <c r="J217" s="4" t="s">
        <v>131</v>
      </c>
    </row>
    <row r="218" customFormat="false" ht="15" hidden="false" customHeight="false" outlineLevel="0" collapsed="false">
      <c r="A218" s="5" t="n">
        <v>31643</v>
      </c>
      <c r="B218" s="5" t="s">
        <v>67</v>
      </c>
      <c r="C218" s="5" t="s">
        <v>1692</v>
      </c>
      <c r="D218" s="4" t="s">
        <v>34</v>
      </c>
      <c r="E218" s="4" t="s">
        <v>1351</v>
      </c>
      <c r="F218" s="4" t="s">
        <v>1352</v>
      </c>
      <c r="G218" s="5" t="n">
        <v>109</v>
      </c>
      <c r="H218" s="5" t="s">
        <v>1353</v>
      </c>
      <c r="I218" s="4" t="s">
        <v>1693</v>
      </c>
      <c r="J218" s="4" t="s">
        <v>131</v>
      </c>
    </row>
    <row r="219" customFormat="false" ht="15" hidden="false" customHeight="false" outlineLevel="0" collapsed="false">
      <c r="A219" s="5" t="n">
        <v>43317</v>
      </c>
      <c r="B219" s="5" t="s">
        <v>67</v>
      </c>
      <c r="C219" s="5" t="s">
        <v>1694</v>
      </c>
      <c r="D219" s="4" t="s">
        <v>22</v>
      </c>
      <c r="E219" s="4" t="s">
        <v>1351</v>
      </c>
      <c r="F219" s="4" t="s">
        <v>1356</v>
      </c>
      <c r="G219" s="5" t="n">
        <v>40</v>
      </c>
      <c r="H219" s="5" t="s">
        <v>1353</v>
      </c>
      <c r="I219" s="4" t="s">
        <v>1695</v>
      </c>
      <c r="J219" s="4" t="s">
        <v>131</v>
      </c>
    </row>
    <row r="220" customFormat="false" ht="15" hidden="false" customHeight="false" outlineLevel="0" collapsed="false">
      <c r="A220" s="5" t="n">
        <v>43285</v>
      </c>
      <c r="B220" s="5" t="s">
        <v>67</v>
      </c>
      <c r="C220" s="5" t="s">
        <v>1466</v>
      </c>
      <c r="D220" s="4" t="s">
        <v>28</v>
      </c>
      <c r="E220" s="4" t="s">
        <v>1351</v>
      </c>
      <c r="F220" s="4" t="s">
        <v>1352</v>
      </c>
      <c r="G220" s="5" t="n">
        <v>105</v>
      </c>
      <c r="H220" s="5" t="s">
        <v>1353</v>
      </c>
      <c r="I220" s="4" t="s">
        <v>1696</v>
      </c>
      <c r="J220" s="4" t="s">
        <v>131</v>
      </c>
    </row>
    <row r="221" customFormat="false" ht="15" hidden="false" customHeight="false" outlineLevel="0" collapsed="false">
      <c r="A221" s="5" t="n">
        <v>43286</v>
      </c>
      <c r="B221" s="5" t="s">
        <v>67</v>
      </c>
      <c r="C221" s="5" t="s">
        <v>1697</v>
      </c>
      <c r="D221" s="4" t="s">
        <v>28</v>
      </c>
      <c r="E221" s="4" t="s">
        <v>1351</v>
      </c>
      <c r="F221" s="4" t="s">
        <v>1352</v>
      </c>
      <c r="G221" s="5" t="n">
        <v>64</v>
      </c>
      <c r="H221" s="5" t="s">
        <v>1353</v>
      </c>
      <c r="I221" s="4" t="s">
        <v>1698</v>
      </c>
      <c r="J221" s="4" t="s">
        <v>131</v>
      </c>
    </row>
    <row r="222" customFormat="false" ht="15" hidden="false" customHeight="false" outlineLevel="0" collapsed="false">
      <c r="A222" s="5" t="n">
        <v>35283</v>
      </c>
      <c r="B222" s="5" t="s">
        <v>67</v>
      </c>
      <c r="C222" s="5" t="s">
        <v>1699</v>
      </c>
      <c r="D222" s="4" t="s">
        <v>28</v>
      </c>
      <c r="E222" s="4" t="s">
        <v>1351</v>
      </c>
      <c r="F222" s="4" t="s">
        <v>1352</v>
      </c>
      <c r="G222" s="5" t="n">
        <v>71</v>
      </c>
      <c r="H222" s="5" t="s">
        <v>1353</v>
      </c>
      <c r="I222" s="4" t="s">
        <v>1700</v>
      </c>
      <c r="J222" s="4" t="s">
        <v>131</v>
      </c>
    </row>
    <row r="223" customFormat="false" ht="15" hidden="false" customHeight="false" outlineLevel="0" collapsed="false">
      <c r="A223" s="5" t="n">
        <v>40446</v>
      </c>
      <c r="B223" s="5" t="s">
        <v>67</v>
      </c>
      <c r="C223" s="5" t="s">
        <v>1701</v>
      </c>
      <c r="D223" s="4" t="s">
        <v>34</v>
      </c>
      <c r="E223" s="4" t="s">
        <v>1351</v>
      </c>
      <c r="F223" s="4" t="s">
        <v>1370</v>
      </c>
      <c r="G223" s="5" t="n">
        <v>75</v>
      </c>
      <c r="H223" s="5" t="s">
        <v>1353</v>
      </c>
      <c r="I223" s="4" t="s">
        <v>1702</v>
      </c>
      <c r="J223" s="4" t="s">
        <v>131</v>
      </c>
    </row>
    <row r="224" customFormat="false" ht="15" hidden="false" customHeight="false" outlineLevel="0" collapsed="false">
      <c r="A224" s="5" t="n">
        <v>40446</v>
      </c>
      <c r="B224" s="5" t="s">
        <v>67</v>
      </c>
      <c r="C224" s="5" t="s">
        <v>1701</v>
      </c>
      <c r="D224" s="4" t="s">
        <v>34</v>
      </c>
      <c r="E224" s="4" t="s">
        <v>1351</v>
      </c>
      <c r="F224" s="4" t="s">
        <v>1377</v>
      </c>
      <c r="G224" s="5" t="n">
        <v>10</v>
      </c>
      <c r="H224" s="5" t="s">
        <v>1419</v>
      </c>
      <c r="I224" s="4" t="s">
        <v>1427</v>
      </c>
      <c r="J224" s="4" t="s">
        <v>133</v>
      </c>
    </row>
    <row r="225" customFormat="false" ht="15" hidden="false" customHeight="false" outlineLevel="0" collapsed="false">
      <c r="A225" s="5" t="n">
        <v>32548</v>
      </c>
      <c r="B225" s="5" t="s">
        <v>67</v>
      </c>
      <c r="C225" s="5" t="s">
        <v>1703</v>
      </c>
      <c r="D225" s="4" t="s">
        <v>34</v>
      </c>
      <c r="E225" s="4" t="s">
        <v>1351</v>
      </c>
      <c r="F225" s="4" t="s">
        <v>1368</v>
      </c>
      <c r="G225" s="5" t="n">
        <v>108</v>
      </c>
      <c r="H225" s="5" t="s">
        <v>1353</v>
      </c>
      <c r="I225" s="4" t="s">
        <v>1704</v>
      </c>
      <c r="J225" s="4" t="s">
        <v>131</v>
      </c>
    </row>
    <row r="226" customFormat="false" ht="15" hidden="false" customHeight="false" outlineLevel="0" collapsed="false">
      <c r="A226" s="5" t="n">
        <v>43353</v>
      </c>
      <c r="B226" s="5" t="s">
        <v>67</v>
      </c>
      <c r="C226" s="5" t="s">
        <v>1705</v>
      </c>
      <c r="D226" s="4" t="s">
        <v>28</v>
      </c>
      <c r="E226" s="4" t="s">
        <v>1351</v>
      </c>
      <c r="F226" s="4" t="s">
        <v>1352</v>
      </c>
      <c r="G226" s="5" t="n">
        <v>65</v>
      </c>
      <c r="H226" s="5" t="s">
        <v>1353</v>
      </c>
      <c r="I226" s="4" t="s">
        <v>1706</v>
      </c>
      <c r="J226" s="4" t="s">
        <v>131</v>
      </c>
    </row>
    <row r="227" customFormat="false" ht="15" hidden="false" customHeight="false" outlineLevel="0" collapsed="false">
      <c r="A227" s="5" t="n">
        <v>18207</v>
      </c>
      <c r="B227" s="5" t="s">
        <v>67</v>
      </c>
      <c r="C227" s="5" t="s">
        <v>306</v>
      </c>
      <c r="D227" s="4" t="s">
        <v>28</v>
      </c>
      <c r="E227" s="4" t="s">
        <v>1351</v>
      </c>
      <c r="F227" s="4" t="s">
        <v>1352</v>
      </c>
      <c r="G227" s="5" t="n">
        <v>81</v>
      </c>
      <c r="H227" s="5" t="s">
        <v>1353</v>
      </c>
      <c r="I227" s="4" t="s">
        <v>1706</v>
      </c>
      <c r="J227" s="4" t="s">
        <v>131</v>
      </c>
    </row>
    <row r="228" customFormat="false" ht="15" hidden="false" customHeight="false" outlineLevel="0" collapsed="false">
      <c r="A228" s="5" t="n">
        <v>43237</v>
      </c>
      <c r="B228" s="5" t="s">
        <v>67</v>
      </c>
      <c r="C228" s="5" t="s">
        <v>317</v>
      </c>
      <c r="D228" s="4" t="s">
        <v>24</v>
      </c>
      <c r="E228" s="4" t="s">
        <v>1351</v>
      </c>
      <c r="F228" s="4" t="s">
        <v>1368</v>
      </c>
      <c r="G228" s="5" t="n">
        <v>57</v>
      </c>
      <c r="H228" s="5" t="s">
        <v>1353</v>
      </c>
      <c r="I228" s="4" t="s">
        <v>1707</v>
      </c>
      <c r="J228" s="4" t="s">
        <v>131</v>
      </c>
    </row>
    <row r="229" customFormat="false" ht="15" hidden="false" customHeight="false" outlineLevel="0" collapsed="false">
      <c r="A229" s="5" t="n">
        <v>43356</v>
      </c>
      <c r="B229" s="5" t="s">
        <v>67</v>
      </c>
      <c r="C229" s="5" t="s">
        <v>1708</v>
      </c>
      <c r="D229" s="4" t="s">
        <v>24</v>
      </c>
      <c r="E229" s="4" t="s">
        <v>1351</v>
      </c>
      <c r="F229" s="4" t="s">
        <v>1352</v>
      </c>
      <c r="G229" s="5" t="n">
        <v>113</v>
      </c>
      <c r="H229" s="5" t="s">
        <v>1353</v>
      </c>
      <c r="I229" s="4" t="s">
        <v>1709</v>
      </c>
      <c r="J229" s="4" t="s">
        <v>131</v>
      </c>
    </row>
    <row r="230" customFormat="false" ht="15" hidden="false" customHeight="false" outlineLevel="0" collapsed="false">
      <c r="A230" s="5" t="n">
        <v>43357</v>
      </c>
      <c r="B230" s="5" t="s">
        <v>67</v>
      </c>
      <c r="C230" s="5" t="s">
        <v>744</v>
      </c>
      <c r="D230" s="4" t="s">
        <v>24</v>
      </c>
      <c r="E230" s="4" t="s">
        <v>1351</v>
      </c>
      <c r="F230" s="4" t="s">
        <v>1352</v>
      </c>
      <c r="G230" s="5" t="n">
        <v>75</v>
      </c>
      <c r="H230" s="5" t="s">
        <v>1353</v>
      </c>
      <c r="I230" s="4" t="s">
        <v>1710</v>
      </c>
      <c r="J230" s="4" t="s">
        <v>131</v>
      </c>
    </row>
    <row r="231" customFormat="false" ht="15" hidden="false" customHeight="false" outlineLevel="0" collapsed="false">
      <c r="A231" s="5" t="n">
        <v>43358</v>
      </c>
      <c r="B231" s="5" t="s">
        <v>67</v>
      </c>
      <c r="C231" s="5" t="s">
        <v>937</v>
      </c>
      <c r="D231" s="4" t="s">
        <v>30</v>
      </c>
      <c r="E231" s="4" t="s">
        <v>1351</v>
      </c>
      <c r="F231" s="4" t="s">
        <v>1352</v>
      </c>
      <c r="G231" s="5" t="n">
        <v>123</v>
      </c>
      <c r="H231" s="5" t="s">
        <v>1353</v>
      </c>
      <c r="I231" s="4" t="s">
        <v>1711</v>
      </c>
      <c r="J231" s="4" t="s">
        <v>131</v>
      </c>
    </row>
    <row r="232" customFormat="false" ht="15" hidden="false" customHeight="false" outlineLevel="0" collapsed="false">
      <c r="A232" s="5" t="n">
        <v>43359</v>
      </c>
      <c r="B232" s="5" t="s">
        <v>67</v>
      </c>
      <c r="C232" s="5" t="s">
        <v>521</v>
      </c>
      <c r="D232" s="4" t="s">
        <v>30</v>
      </c>
      <c r="E232" s="4" t="s">
        <v>1351</v>
      </c>
      <c r="F232" s="4" t="s">
        <v>1352</v>
      </c>
      <c r="G232" s="5" t="n">
        <v>73</v>
      </c>
      <c r="H232" s="5" t="s">
        <v>1353</v>
      </c>
      <c r="I232" s="4" t="s">
        <v>1712</v>
      </c>
      <c r="J232" s="4" t="s">
        <v>131</v>
      </c>
    </row>
    <row r="233" customFormat="false" ht="15" hidden="false" customHeight="false" outlineLevel="0" collapsed="false">
      <c r="A233" s="5" t="n">
        <v>43360</v>
      </c>
      <c r="B233" s="5" t="s">
        <v>67</v>
      </c>
      <c r="C233" s="5" t="s">
        <v>672</v>
      </c>
      <c r="D233" s="4" t="s">
        <v>30</v>
      </c>
      <c r="E233" s="4" t="s">
        <v>1351</v>
      </c>
      <c r="F233" s="4" t="s">
        <v>1352</v>
      </c>
      <c r="G233" s="5" t="n">
        <v>59</v>
      </c>
      <c r="H233" s="5" t="s">
        <v>1353</v>
      </c>
      <c r="I233" s="4" t="s">
        <v>1713</v>
      </c>
      <c r="J233" s="4" t="s">
        <v>131</v>
      </c>
    </row>
    <row r="234" customFormat="false" ht="15" hidden="false" customHeight="false" outlineLevel="0" collapsed="false">
      <c r="A234" s="5" t="n">
        <v>43361</v>
      </c>
      <c r="B234" s="5" t="s">
        <v>67</v>
      </c>
      <c r="C234" s="5" t="s">
        <v>1655</v>
      </c>
      <c r="D234" s="4" t="s">
        <v>30</v>
      </c>
      <c r="E234" s="4" t="s">
        <v>1351</v>
      </c>
      <c r="F234" s="4" t="s">
        <v>1352</v>
      </c>
      <c r="G234" s="5" t="n">
        <v>57</v>
      </c>
      <c r="H234" s="5" t="s">
        <v>1353</v>
      </c>
      <c r="I234" s="4" t="s">
        <v>1714</v>
      </c>
      <c r="J234" s="4" t="s">
        <v>131</v>
      </c>
    </row>
    <row r="235" customFormat="false" ht="15" hidden="false" customHeight="false" outlineLevel="0" collapsed="false">
      <c r="A235" s="5" t="n">
        <v>35335</v>
      </c>
      <c r="B235" s="5" t="s">
        <v>67</v>
      </c>
      <c r="C235" s="5" t="s">
        <v>1715</v>
      </c>
      <c r="D235" s="4" t="s">
        <v>34</v>
      </c>
      <c r="E235" s="4" t="s">
        <v>1351</v>
      </c>
      <c r="F235" s="4" t="s">
        <v>1352</v>
      </c>
      <c r="G235" s="5" t="n">
        <v>146</v>
      </c>
      <c r="H235" s="5" t="s">
        <v>1353</v>
      </c>
      <c r="I235" s="4" t="s">
        <v>1716</v>
      </c>
      <c r="J235" s="4" t="s">
        <v>131</v>
      </c>
    </row>
    <row r="236" customFormat="false" ht="15" hidden="false" customHeight="false" outlineLevel="0" collapsed="false">
      <c r="A236" s="5" t="n">
        <v>41952</v>
      </c>
      <c r="B236" s="5" t="s">
        <v>67</v>
      </c>
      <c r="C236" s="5" t="s">
        <v>1717</v>
      </c>
      <c r="D236" s="4" t="s">
        <v>32</v>
      </c>
      <c r="E236" s="4" t="s">
        <v>1351</v>
      </c>
      <c r="F236" s="4" t="s">
        <v>1352</v>
      </c>
      <c r="G236" s="5" t="n">
        <v>76</v>
      </c>
      <c r="H236" s="5" t="s">
        <v>1353</v>
      </c>
      <c r="I236" s="4" t="s">
        <v>1718</v>
      </c>
      <c r="J236" s="4" t="s">
        <v>131</v>
      </c>
    </row>
    <row r="237" customFormat="false" ht="15" hidden="false" customHeight="false" outlineLevel="0" collapsed="false">
      <c r="A237" s="5" t="n">
        <v>15264</v>
      </c>
      <c r="B237" s="5" t="s">
        <v>67</v>
      </c>
      <c r="C237" s="5" t="s">
        <v>527</v>
      </c>
      <c r="D237" s="4" t="s">
        <v>32</v>
      </c>
      <c r="E237" s="4" t="s">
        <v>1351</v>
      </c>
      <c r="F237" s="4" t="s">
        <v>1352</v>
      </c>
      <c r="G237" s="5" t="n">
        <v>78</v>
      </c>
      <c r="H237" s="5" t="s">
        <v>1353</v>
      </c>
      <c r="I237" s="4" t="s">
        <v>1719</v>
      </c>
      <c r="J237" s="4" t="s">
        <v>131</v>
      </c>
    </row>
    <row r="238" customFormat="false" ht="15" hidden="false" customHeight="false" outlineLevel="0" collapsed="false">
      <c r="A238" s="5" t="n">
        <v>43362</v>
      </c>
      <c r="B238" s="5" t="s">
        <v>67</v>
      </c>
      <c r="C238" s="5" t="s">
        <v>1720</v>
      </c>
      <c r="D238" s="4" t="s">
        <v>32</v>
      </c>
      <c r="E238" s="4" t="s">
        <v>1351</v>
      </c>
      <c r="F238" s="4" t="s">
        <v>1352</v>
      </c>
      <c r="G238" s="5" t="n">
        <v>87</v>
      </c>
      <c r="H238" s="5" t="s">
        <v>1353</v>
      </c>
      <c r="I238" s="4" t="s">
        <v>1721</v>
      </c>
      <c r="J238" s="4" t="s">
        <v>131</v>
      </c>
    </row>
    <row r="239" customFormat="false" ht="15" hidden="false" customHeight="false" outlineLevel="0" collapsed="false">
      <c r="A239" s="5" t="n">
        <v>43229</v>
      </c>
      <c r="B239" s="5" t="s">
        <v>67</v>
      </c>
      <c r="C239" s="5" t="s">
        <v>1722</v>
      </c>
      <c r="D239" s="4" t="s">
        <v>24</v>
      </c>
      <c r="E239" s="4" t="s">
        <v>1351</v>
      </c>
      <c r="F239" s="4" t="s">
        <v>1356</v>
      </c>
      <c r="G239" s="5" t="n">
        <v>46</v>
      </c>
      <c r="H239" s="5" t="s">
        <v>1353</v>
      </c>
      <c r="I239" s="4" t="s">
        <v>1723</v>
      </c>
      <c r="J239" s="4" t="s">
        <v>131</v>
      </c>
    </row>
    <row r="240" customFormat="false" ht="15" hidden="false" customHeight="false" outlineLevel="0" collapsed="false">
      <c r="A240" s="5" t="n">
        <v>41700</v>
      </c>
      <c r="B240" s="5" t="s">
        <v>67</v>
      </c>
      <c r="C240" s="5" t="s">
        <v>1724</v>
      </c>
      <c r="D240" s="4" t="s">
        <v>24</v>
      </c>
      <c r="E240" s="4" t="s">
        <v>1351</v>
      </c>
      <c r="F240" s="4" t="s">
        <v>1377</v>
      </c>
      <c r="G240" s="5" t="n">
        <v>81</v>
      </c>
      <c r="H240" s="5" t="s">
        <v>1353</v>
      </c>
      <c r="I240" s="4" t="s">
        <v>1725</v>
      </c>
      <c r="J240" s="4" t="s">
        <v>131</v>
      </c>
    </row>
    <row r="241" customFormat="false" ht="15" hidden="false" customHeight="false" outlineLevel="0" collapsed="false">
      <c r="A241" s="5" t="n">
        <v>35173</v>
      </c>
      <c r="B241" s="5" t="s">
        <v>67</v>
      </c>
      <c r="C241" s="5" t="s">
        <v>1726</v>
      </c>
      <c r="D241" s="4" t="s">
        <v>32</v>
      </c>
      <c r="E241" s="4" t="s">
        <v>1351</v>
      </c>
      <c r="F241" s="4" t="s">
        <v>1356</v>
      </c>
      <c r="G241" s="5" t="n">
        <v>14</v>
      </c>
      <c r="H241" s="5" t="s">
        <v>1419</v>
      </c>
      <c r="I241" s="4" t="s">
        <v>1727</v>
      </c>
      <c r="J241" s="4" t="s">
        <v>133</v>
      </c>
    </row>
    <row r="242" customFormat="false" ht="15" hidden="false" customHeight="false" outlineLevel="0" collapsed="false">
      <c r="A242" s="5" t="n">
        <v>42796</v>
      </c>
      <c r="B242" s="5" t="s">
        <v>68</v>
      </c>
      <c r="C242" s="5" t="s">
        <v>1728</v>
      </c>
      <c r="D242" s="4" t="s">
        <v>18</v>
      </c>
      <c r="E242" s="4" t="s">
        <v>1351</v>
      </c>
      <c r="F242" s="4" t="s">
        <v>1356</v>
      </c>
      <c r="G242" s="5" t="n">
        <v>97</v>
      </c>
      <c r="H242" s="5" t="s">
        <v>1353</v>
      </c>
      <c r="I242" s="4" t="s">
        <v>1729</v>
      </c>
      <c r="J242" s="4" t="s">
        <v>131</v>
      </c>
    </row>
    <row r="243" customFormat="false" ht="15" hidden="false" customHeight="false" outlineLevel="0" collapsed="false">
      <c r="A243" s="5" t="n">
        <v>38865</v>
      </c>
      <c r="B243" s="5" t="s">
        <v>68</v>
      </c>
      <c r="C243" s="5" t="s">
        <v>1730</v>
      </c>
      <c r="D243" s="4" t="s">
        <v>18</v>
      </c>
      <c r="E243" s="4" t="s">
        <v>1351</v>
      </c>
      <c r="F243" s="4" t="s">
        <v>1368</v>
      </c>
      <c r="G243" s="5" t="n">
        <v>107</v>
      </c>
      <c r="H243" s="5" t="s">
        <v>1353</v>
      </c>
      <c r="I243" s="4" t="s">
        <v>1731</v>
      </c>
      <c r="J243" s="4" t="s">
        <v>131</v>
      </c>
    </row>
    <row r="244" customFormat="false" ht="15" hidden="false" customHeight="false" outlineLevel="0" collapsed="false">
      <c r="A244" s="5" t="n">
        <v>40671</v>
      </c>
      <c r="B244" s="5" t="s">
        <v>69</v>
      </c>
      <c r="C244" s="5" t="s">
        <v>1732</v>
      </c>
      <c r="D244" s="4" t="s">
        <v>18</v>
      </c>
      <c r="E244" s="4" t="s">
        <v>1351</v>
      </c>
      <c r="F244" s="4" t="s">
        <v>1356</v>
      </c>
      <c r="G244" s="5" t="n">
        <v>96</v>
      </c>
      <c r="H244" s="5" t="s">
        <v>1353</v>
      </c>
      <c r="I244" s="4" t="s">
        <v>1733</v>
      </c>
      <c r="J244" s="4" t="s">
        <v>131</v>
      </c>
    </row>
    <row r="245" customFormat="false" ht="15" hidden="false" customHeight="false" outlineLevel="0" collapsed="false">
      <c r="A245" s="5" t="n">
        <v>41359</v>
      </c>
      <c r="B245" s="5" t="s">
        <v>69</v>
      </c>
      <c r="C245" s="5" t="s">
        <v>1734</v>
      </c>
      <c r="D245" s="4" t="s">
        <v>18</v>
      </c>
      <c r="E245" s="4" t="s">
        <v>1351</v>
      </c>
      <c r="F245" s="4" t="s">
        <v>1356</v>
      </c>
      <c r="G245" s="5" t="n">
        <v>127</v>
      </c>
      <c r="H245" s="5" t="s">
        <v>1353</v>
      </c>
      <c r="I245" s="4" t="s">
        <v>1735</v>
      </c>
      <c r="J245" s="4" t="s">
        <v>131</v>
      </c>
    </row>
    <row r="246" customFormat="false" ht="15" hidden="false" customHeight="false" outlineLevel="0" collapsed="false">
      <c r="A246" s="5" t="n">
        <v>40151</v>
      </c>
      <c r="B246" s="5" t="s">
        <v>69</v>
      </c>
      <c r="C246" s="5" t="s">
        <v>1736</v>
      </c>
      <c r="D246" s="4" t="s">
        <v>18</v>
      </c>
      <c r="E246" s="4" t="s">
        <v>1351</v>
      </c>
      <c r="F246" s="4" t="s">
        <v>1356</v>
      </c>
      <c r="G246" s="5" t="n">
        <v>99</v>
      </c>
      <c r="H246" s="5" t="s">
        <v>1353</v>
      </c>
      <c r="I246" s="4" t="s">
        <v>1737</v>
      </c>
      <c r="J246" s="4" t="s">
        <v>131</v>
      </c>
    </row>
    <row r="247" customFormat="false" ht="15" hidden="false" customHeight="false" outlineLevel="0" collapsed="false">
      <c r="A247" s="5" t="n">
        <v>43104</v>
      </c>
      <c r="B247" s="5" t="s">
        <v>69</v>
      </c>
      <c r="C247" s="5" t="s">
        <v>1738</v>
      </c>
      <c r="D247" s="4" t="s">
        <v>18</v>
      </c>
      <c r="E247" s="4" t="s">
        <v>1351</v>
      </c>
      <c r="F247" s="4" t="s">
        <v>1356</v>
      </c>
      <c r="G247" s="5" t="n">
        <v>59</v>
      </c>
      <c r="H247" s="5" t="s">
        <v>1353</v>
      </c>
      <c r="I247" s="4" t="s">
        <v>1739</v>
      </c>
      <c r="J247" s="4" t="s">
        <v>131</v>
      </c>
    </row>
    <row r="248" customFormat="false" ht="15" hidden="false" customHeight="false" outlineLevel="0" collapsed="false">
      <c r="A248" s="5" t="n">
        <v>41221</v>
      </c>
      <c r="B248" s="5" t="s">
        <v>69</v>
      </c>
      <c r="C248" s="5" t="s">
        <v>829</v>
      </c>
      <c r="D248" s="4" t="s">
        <v>18</v>
      </c>
      <c r="E248" s="4" t="s">
        <v>1351</v>
      </c>
      <c r="F248" s="4" t="s">
        <v>1356</v>
      </c>
      <c r="G248" s="5" t="n">
        <v>42</v>
      </c>
      <c r="H248" s="5" t="s">
        <v>1353</v>
      </c>
      <c r="I248" s="4" t="s">
        <v>1740</v>
      </c>
      <c r="J248" s="4" t="s">
        <v>131</v>
      </c>
    </row>
    <row r="249" customFormat="false" ht="15" hidden="false" customHeight="false" outlineLevel="0" collapsed="false">
      <c r="A249" s="5" t="n">
        <v>43363</v>
      </c>
      <c r="B249" s="5" t="s">
        <v>69</v>
      </c>
      <c r="C249" s="5" t="s">
        <v>1741</v>
      </c>
      <c r="D249" s="4" t="s">
        <v>34</v>
      </c>
      <c r="E249" s="4" t="s">
        <v>1351</v>
      </c>
      <c r="F249" s="4" t="s">
        <v>1352</v>
      </c>
      <c r="G249" s="5" t="n">
        <v>193</v>
      </c>
      <c r="H249" s="5" t="s">
        <v>1353</v>
      </c>
      <c r="I249" s="4" t="s">
        <v>1742</v>
      </c>
      <c r="J249" s="4" t="s">
        <v>131</v>
      </c>
    </row>
    <row r="250" customFormat="false" ht="15" hidden="false" customHeight="false" outlineLevel="0" collapsed="false">
      <c r="A250" s="5" t="n">
        <v>40224</v>
      </c>
      <c r="B250" s="5" t="s">
        <v>69</v>
      </c>
      <c r="C250" s="5" t="s">
        <v>1743</v>
      </c>
      <c r="D250" s="4" t="s">
        <v>34</v>
      </c>
      <c r="E250" s="4" t="s">
        <v>1351</v>
      </c>
      <c r="F250" s="4" t="s">
        <v>1352</v>
      </c>
      <c r="G250" s="5" t="n">
        <v>168</v>
      </c>
      <c r="H250" s="5" t="s">
        <v>1353</v>
      </c>
      <c r="I250" s="4" t="s">
        <v>1744</v>
      </c>
      <c r="J250" s="4" t="s">
        <v>131</v>
      </c>
    </row>
    <row r="251" customFormat="false" ht="15" hidden="false" customHeight="false" outlineLevel="0" collapsed="false">
      <c r="A251" s="5" t="n">
        <v>40224</v>
      </c>
      <c r="B251" s="5" t="s">
        <v>69</v>
      </c>
      <c r="C251" s="5" t="s">
        <v>1743</v>
      </c>
      <c r="D251" s="4" t="s">
        <v>34</v>
      </c>
      <c r="E251" s="4" t="s">
        <v>1418</v>
      </c>
      <c r="F251" s="4"/>
      <c r="G251" s="5" t="n">
        <v>0</v>
      </c>
      <c r="H251" s="5" t="s">
        <v>1419</v>
      </c>
      <c r="I251" s="4"/>
      <c r="J251" s="4" t="s">
        <v>134</v>
      </c>
    </row>
    <row r="252" customFormat="false" ht="15" hidden="false" customHeight="false" outlineLevel="0" collapsed="false">
      <c r="A252" s="5" t="n">
        <v>40776</v>
      </c>
      <c r="B252" s="5" t="s">
        <v>69</v>
      </c>
      <c r="C252" s="5" t="s">
        <v>1460</v>
      </c>
      <c r="D252" s="4" t="s">
        <v>20</v>
      </c>
      <c r="E252" s="4" t="s">
        <v>1351</v>
      </c>
      <c r="F252" s="4" t="s">
        <v>1377</v>
      </c>
      <c r="G252" s="5" t="n">
        <v>42</v>
      </c>
      <c r="H252" s="5" t="s">
        <v>1353</v>
      </c>
      <c r="I252" s="4" t="s">
        <v>1745</v>
      </c>
      <c r="J252" s="4" t="s">
        <v>131</v>
      </c>
    </row>
    <row r="253" customFormat="false" ht="15" hidden="false" customHeight="false" outlineLevel="0" collapsed="false">
      <c r="A253" s="5" t="n">
        <v>43365</v>
      </c>
      <c r="B253" s="5" t="s">
        <v>69</v>
      </c>
      <c r="C253" s="5" t="s">
        <v>1746</v>
      </c>
      <c r="D253" s="4" t="s">
        <v>28</v>
      </c>
      <c r="E253" s="4" t="s">
        <v>1351</v>
      </c>
      <c r="F253" s="4" t="s">
        <v>1377</v>
      </c>
      <c r="G253" s="5" t="n">
        <v>24</v>
      </c>
      <c r="H253" s="5" t="s">
        <v>1397</v>
      </c>
      <c r="I253" s="4" t="s">
        <v>1747</v>
      </c>
      <c r="J253" s="4" t="s">
        <v>132</v>
      </c>
    </row>
    <row r="254" customFormat="false" ht="15" hidden="false" customHeight="false" outlineLevel="0" collapsed="false">
      <c r="A254" s="5" t="n">
        <v>43366</v>
      </c>
      <c r="B254" s="5" t="s">
        <v>69</v>
      </c>
      <c r="C254" s="5" t="s">
        <v>1746</v>
      </c>
      <c r="D254" s="4" t="s">
        <v>20</v>
      </c>
      <c r="E254" s="4" t="s">
        <v>1351</v>
      </c>
      <c r="F254" s="4" t="s">
        <v>1368</v>
      </c>
      <c r="G254" s="5" t="n">
        <v>65</v>
      </c>
      <c r="H254" s="5" t="s">
        <v>1353</v>
      </c>
      <c r="I254" s="4" t="s">
        <v>1748</v>
      </c>
      <c r="J254" s="4" t="s">
        <v>131</v>
      </c>
    </row>
    <row r="255" customFormat="false" ht="15" hidden="false" customHeight="false" outlineLevel="0" collapsed="false">
      <c r="A255" s="5" t="n">
        <v>43365</v>
      </c>
      <c r="B255" s="5" t="s">
        <v>69</v>
      </c>
      <c r="C255" s="5" t="s">
        <v>1746</v>
      </c>
      <c r="D255" s="4" t="s">
        <v>28</v>
      </c>
      <c r="E255" s="4" t="s">
        <v>1351</v>
      </c>
      <c r="F255" s="4" t="s">
        <v>1352</v>
      </c>
      <c r="G255" s="5" t="n">
        <v>61</v>
      </c>
      <c r="H255" s="5" t="s">
        <v>1353</v>
      </c>
      <c r="I255" s="4" t="s">
        <v>1749</v>
      </c>
      <c r="J255" s="4" t="s">
        <v>131</v>
      </c>
    </row>
    <row r="256" customFormat="false" ht="15" hidden="false" customHeight="false" outlineLevel="0" collapsed="false">
      <c r="A256" s="5" t="n">
        <v>43367</v>
      </c>
      <c r="B256" s="5" t="s">
        <v>69</v>
      </c>
      <c r="C256" s="5" t="s">
        <v>1750</v>
      </c>
      <c r="D256" s="4" t="s">
        <v>34</v>
      </c>
      <c r="E256" s="4" t="s">
        <v>1351</v>
      </c>
      <c r="F256" s="4" t="s">
        <v>1352</v>
      </c>
      <c r="G256" s="5" t="n">
        <v>173</v>
      </c>
      <c r="H256" s="5" t="s">
        <v>1353</v>
      </c>
      <c r="I256" s="4" t="s">
        <v>1751</v>
      </c>
      <c r="J256" s="4" t="s">
        <v>131</v>
      </c>
    </row>
    <row r="257" customFormat="false" ht="15" hidden="false" customHeight="false" outlineLevel="0" collapsed="false">
      <c r="A257" s="5" t="n">
        <v>41382</v>
      </c>
      <c r="B257" s="5" t="s">
        <v>69</v>
      </c>
      <c r="C257" s="5" t="s">
        <v>273</v>
      </c>
      <c r="D257" s="4" t="s">
        <v>20</v>
      </c>
      <c r="E257" s="4" t="s">
        <v>1351</v>
      </c>
      <c r="F257" s="4" t="s">
        <v>1368</v>
      </c>
      <c r="G257" s="5" t="n">
        <v>49</v>
      </c>
      <c r="H257" s="5" t="s">
        <v>1353</v>
      </c>
      <c r="I257" s="4" t="s">
        <v>1752</v>
      </c>
      <c r="J257" s="4" t="s">
        <v>131</v>
      </c>
    </row>
    <row r="258" customFormat="false" ht="15" hidden="false" customHeight="false" outlineLevel="0" collapsed="false">
      <c r="A258" s="5" t="n">
        <v>41382</v>
      </c>
      <c r="B258" s="5" t="s">
        <v>69</v>
      </c>
      <c r="C258" s="5" t="s">
        <v>273</v>
      </c>
      <c r="D258" s="4" t="s">
        <v>20</v>
      </c>
      <c r="E258" s="4" t="s">
        <v>1418</v>
      </c>
      <c r="F258" s="4"/>
      <c r="G258" s="5" t="n">
        <v>0</v>
      </c>
      <c r="H258" s="5" t="s">
        <v>1419</v>
      </c>
      <c r="I258" s="4"/>
      <c r="J258" s="4" t="s">
        <v>134</v>
      </c>
    </row>
    <row r="259" customFormat="false" ht="15" hidden="false" customHeight="false" outlineLevel="0" collapsed="false">
      <c r="A259" s="5" t="n">
        <v>43368</v>
      </c>
      <c r="B259" s="5" t="s">
        <v>69</v>
      </c>
      <c r="C259" s="5" t="s">
        <v>1753</v>
      </c>
      <c r="D259" s="4" t="s">
        <v>20</v>
      </c>
      <c r="E259" s="4" t="s">
        <v>1351</v>
      </c>
      <c r="F259" s="4" t="s">
        <v>1368</v>
      </c>
      <c r="G259" s="5" t="n">
        <v>59</v>
      </c>
      <c r="H259" s="5" t="s">
        <v>1353</v>
      </c>
      <c r="I259" s="4" t="s">
        <v>1754</v>
      </c>
      <c r="J259" s="4" t="s">
        <v>131</v>
      </c>
    </row>
    <row r="260" customFormat="false" ht="15" hidden="false" customHeight="false" outlineLevel="0" collapsed="false">
      <c r="A260" s="5" t="n">
        <v>43368</v>
      </c>
      <c r="B260" s="5" t="s">
        <v>69</v>
      </c>
      <c r="C260" s="5" t="s">
        <v>1753</v>
      </c>
      <c r="D260" s="4" t="s">
        <v>20</v>
      </c>
      <c r="E260" s="4" t="s">
        <v>1418</v>
      </c>
      <c r="F260" s="4"/>
      <c r="G260" s="5" t="n">
        <v>0</v>
      </c>
      <c r="H260" s="5" t="s">
        <v>1419</v>
      </c>
      <c r="I260" s="4"/>
      <c r="J260" s="4" t="s">
        <v>134</v>
      </c>
    </row>
    <row r="261" customFormat="false" ht="15" hidden="false" customHeight="false" outlineLevel="0" collapsed="false">
      <c r="A261" s="5" t="n">
        <v>43371</v>
      </c>
      <c r="B261" s="5" t="s">
        <v>69</v>
      </c>
      <c r="C261" s="5" t="s">
        <v>1755</v>
      </c>
      <c r="D261" s="4" t="s">
        <v>20</v>
      </c>
      <c r="E261" s="4" t="s">
        <v>1418</v>
      </c>
      <c r="F261" s="4"/>
      <c r="G261" s="5" t="n">
        <v>0</v>
      </c>
      <c r="H261" s="5" t="s">
        <v>1419</v>
      </c>
      <c r="I261" s="4"/>
      <c r="J261" s="4" t="s">
        <v>134</v>
      </c>
    </row>
    <row r="262" customFormat="false" ht="15" hidden="false" customHeight="false" outlineLevel="0" collapsed="false">
      <c r="A262" s="5" t="n">
        <v>43371</v>
      </c>
      <c r="B262" s="5" t="s">
        <v>69</v>
      </c>
      <c r="C262" s="5" t="s">
        <v>1756</v>
      </c>
      <c r="D262" s="4" t="s">
        <v>20</v>
      </c>
      <c r="E262" s="4" t="s">
        <v>1351</v>
      </c>
      <c r="F262" s="4" t="s">
        <v>1368</v>
      </c>
      <c r="G262" s="5" t="n">
        <v>51</v>
      </c>
      <c r="H262" s="5" t="s">
        <v>1353</v>
      </c>
      <c r="I262" s="4" t="s">
        <v>1757</v>
      </c>
      <c r="J262" s="4" t="s">
        <v>131</v>
      </c>
    </row>
    <row r="263" customFormat="false" ht="15" hidden="false" customHeight="false" outlineLevel="0" collapsed="false">
      <c r="A263" s="5" t="n">
        <v>39518</v>
      </c>
      <c r="B263" s="5" t="s">
        <v>69</v>
      </c>
      <c r="C263" s="5" t="s">
        <v>1758</v>
      </c>
      <c r="D263" s="4" t="s">
        <v>24</v>
      </c>
      <c r="E263" s="4" t="s">
        <v>1351</v>
      </c>
      <c r="F263" s="4" t="s">
        <v>1356</v>
      </c>
      <c r="G263" s="5" t="n">
        <v>70</v>
      </c>
      <c r="H263" s="5" t="s">
        <v>1353</v>
      </c>
      <c r="I263" s="4" t="s">
        <v>1759</v>
      </c>
      <c r="J263" s="4" t="s">
        <v>131</v>
      </c>
    </row>
    <row r="264" customFormat="false" ht="15" hidden="false" customHeight="false" outlineLevel="0" collapsed="false">
      <c r="A264" s="5" t="n">
        <v>40379</v>
      </c>
      <c r="B264" s="5" t="s">
        <v>69</v>
      </c>
      <c r="C264" s="5" t="s">
        <v>1200</v>
      </c>
      <c r="D264" s="4" t="s">
        <v>24</v>
      </c>
      <c r="E264" s="4" t="s">
        <v>1351</v>
      </c>
      <c r="F264" s="4" t="s">
        <v>1368</v>
      </c>
      <c r="G264" s="5" t="n">
        <v>46</v>
      </c>
      <c r="H264" s="5" t="s">
        <v>1353</v>
      </c>
      <c r="I264" s="4" t="s">
        <v>1760</v>
      </c>
      <c r="J264" s="4" t="s">
        <v>131</v>
      </c>
    </row>
    <row r="265" customFormat="false" ht="15" hidden="false" customHeight="false" outlineLevel="0" collapsed="false">
      <c r="A265" s="5" t="n">
        <v>43363</v>
      </c>
      <c r="B265" s="5" t="s">
        <v>69</v>
      </c>
      <c r="C265" s="5" t="s">
        <v>1200</v>
      </c>
      <c r="D265" s="4" t="s">
        <v>34</v>
      </c>
      <c r="E265" s="4" t="s">
        <v>1351</v>
      </c>
      <c r="F265" s="4" t="s">
        <v>1352</v>
      </c>
      <c r="G265" s="5" t="n">
        <v>224</v>
      </c>
      <c r="H265" s="5" t="s">
        <v>1353</v>
      </c>
      <c r="I265" s="4" t="s">
        <v>1761</v>
      </c>
      <c r="J265" s="4" t="s">
        <v>131</v>
      </c>
    </row>
    <row r="266" customFormat="false" ht="15" hidden="false" customHeight="false" outlineLevel="0" collapsed="false">
      <c r="A266" s="5" t="n">
        <v>35765</v>
      </c>
      <c r="B266" s="5" t="s">
        <v>69</v>
      </c>
      <c r="C266" s="5" t="s">
        <v>1762</v>
      </c>
      <c r="D266" s="4" t="s">
        <v>34</v>
      </c>
      <c r="E266" s="4" t="s">
        <v>1351</v>
      </c>
      <c r="F266" s="4" t="s">
        <v>1352</v>
      </c>
      <c r="G266" s="5" t="n">
        <v>103</v>
      </c>
      <c r="H266" s="5" t="s">
        <v>1353</v>
      </c>
      <c r="I266" s="4" t="s">
        <v>1763</v>
      </c>
      <c r="J266" s="4" t="s">
        <v>131</v>
      </c>
    </row>
    <row r="267" customFormat="false" ht="15" hidden="false" customHeight="false" outlineLevel="0" collapsed="false">
      <c r="A267" s="5" t="n">
        <v>73</v>
      </c>
      <c r="B267" s="5" t="s">
        <v>69</v>
      </c>
      <c r="C267" s="5" t="s">
        <v>1764</v>
      </c>
      <c r="D267" s="4" t="s">
        <v>24</v>
      </c>
      <c r="E267" s="4" t="s">
        <v>1351</v>
      </c>
      <c r="F267" s="4" t="s">
        <v>1368</v>
      </c>
      <c r="G267" s="5" t="n">
        <v>60</v>
      </c>
      <c r="H267" s="5" t="s">
        <v>1353</v>
      </c>
      <c r="I267" s="4" t="s">
        <v>1765</v>
      </c>
      <c r="J267" s="4" t="s">
        <v>131</v>
      </c>
    </row>
    <row r="268" customFormat="false" ht="15" hidden="false" customHeight="false" outlineLevel="0" collapsed="false">
      <c r="A268" s="5" t="n">
        <v>12328</v>
      </c>
      <c r="B268" s="5" t="s">
        <v>69</v>
      </c>
      <c r="C268" s="5" t="s">
        <v>858</v>
      </c>
      <c r="D268" s="4" t="s">
        <v>24</v>
      </c>
      <c r="E268" s="4" t="s">
        <v>1418</v>
      </c>
      <c r="F268" s="4"/>
      <c r="G268" s="5" t="n">
        <v>21</v>
      </c>
      <c r="H268" s="5" t="s">
        <v>1397</v>
      </c>
      <c r="I268" s="4" t="s">
        <v>1766</v>
      </c>
      <c r="J268" s="4" t="s">
        <v>132</v>
      </c>
    </row>
    <row r="269" customFormat="false" ht="15" hidden="false" customHeight="false" outlineLevel="0" collapsed="false">
      <c r="A269" s="5" t="n">
        <v>41196</v>
      </c>
      <c r="B269" s="5" t="s">
        <v>69</v>
      </c>
      <c r="C269" s="5" t="s">
        <v>290</v>
      </c>
      <c r="D269" s="4" t="s">
        <v>22</v>
      </c>
      <c r="E269" s="4" t="s">
        <v>1351</v>
      </c>
      <c r="F269" s="4" t="s">
        <v>1368</v>
      </c>
      <c r="G269" s="5" t="n">
        <v>50</v>
      </c>
      <c r="H269" s="5" t="s">
        <v>1353</v>
      </c>
      <c r="I269" s="4" t="s">
        <v>1767</v>
      </c>
      <c r="J269" s="4" t="s">
        <v>131</v>
      </c>
    </row>
    <row r="270" customFormat="false" ht="15" hidden="false" customHeight="false" outlineLevel="0" collapsed="false">
      <c r="A270" s="5" t="n">
        <v>41355</v>
      </c>
      <c r="B270" s="5" t="s">
        <v>69</v>
      </c>
      <c r="C270" s="5" t="s">
        <v>294</v>
      </c>
      <c r="D270" s="4" t="s">
        <v>22</v>
      </c>
      <c r="E270" s="4" t="s">
        <v>1351</v>
      </c>
      <c r="F270" s="4" t="s">
        <v>1370</v>
      </c>
      <c r="G270" s="5" t="n">
        <v>35</v>
      </c>
      <c r="H270" s="5" t="s">
        <v>1397</v>
      </c>
      <c r="I270" s="4" t="s">
        <v>1768</v>
      </c>
      <c r="J270" s="4" t="s">
        <v>132</v>
      </c>
    </row>
    <row r="271" customFormat="false" ht="15" hidden="false" customHeight="false" outlineLevel="0" collapsed="false">
      <c r="A271" s="5" t="n">
        <v>42624</v>
      </c>
      <c r="B271" s="5" t="s">
        <v>69</v>
      </c>
      <c r="C271" s="5" t="s">
        <v>294</v>
      </c>
      <c r="D271" s="4" t="s">
        <v>22</v>
      </c>
      <c r="E271" s="4" t="s">
        <v>1351</v>
      </c>
      <c r="F271" s="4" t="s">
        <v>1368</v>
      </c>
      <c r="G271" s="5" t="n">
        <v>64</v>
      </c>
      <c r="H271" s="5" t="s">
        <v>1353</v>
      </c>
      <c r="I271" s="4" t="s">
        <v>1769</v>
      </c>
      <c r="J271" s="4" t="s">
        <v>131</v>
      </c>
    </row>
    <row r="272" customFormat="false" ht="15" hidden="false" customHeight="false" outlineLevel="0" collapsed="false">
      <c r="A272" s="5" t="n">
        <v>41571</v>
      </c>
      <c r="B272" s="5" t="s">
        <v>69</v>
      </c>
      <c r="C272" s="5" t="s">
        <v>1509</v>
      </c>
      <c r="D272" s="4" t="s">
        <v>22</v>
      </c>
      <c r="E272" s="4" t="s">
        <v>1351</v>
      </c>
      <c r="F272" s="4" t="s">
        <v>1370</v>
      </c>
      <c r="G272" s="5" t="n">
        <v>41</v>
      </c>
      <c r="H272" s="5" t="s">
        <v>1353</v>
      </c>
      <c r="I272" s="4" t="s">
        <v>1770</v>
      </c>
      <c r="J272" s="4" t="s">
        <v>131</v>
      </c>
    </row>
    <row r="273" customFormat="false" ht="15" hidden="false" customHeight="false" outlineLevel="0" collapsed="false">
      <c r="A273" s="5" t="n">
        <v>43406</v>
      </c>
      <c r="B273" s="5" t="s">
        <v>69</v>
      </c>
      <c r="C273" s="5" t="s">
        <v>425</v>
      </c>
      <c r="D273" s="4" t="s">
        <v>30</v>
      </c>
      <c r="E273" s="4" t="s">
        <v>1351</v>
      </c>
      <c r="F273" s="4" t="s">
        <v>1352</v>
      </c>
      <c r="G273" s="5" t="n">
        <v>53</v>
      </c>
      <c r="H273" s="5" t="s">
        <v>1353</v>
      </c>
      <c r="I273" s="4" t="s">
        <v>1771</v>
      </c>
      <c r="J273" s="4" t="s">
        <v>131</v>
      </c>
    </row>
    <row r="274" customFormat="false" ht="15" hidden="false" customHeight="false" outlineLevel="0" collapsed="false">
      <c r="A274" s="5" t="n">
        <v>43407</v>
      </c>
      <c r="B274" s="5" t="s">
        <v>69</v>
      </c>
      <c r="C274" s="5" t="s">
        <v>1648</v>
      </c>
      <c r="D274" s="4" t="s">
        <v>30</v>
      </c>
      <c r="E274" s="4" t="s">
        <v>1351</v>
      </c>
      <c r="F274" s="4" t="s">
        <v>1352</v>
      </c>
      <c r="G274" s="5" t="n">
        <v>85</v>
      </c>
      <c r="H274" s="5" t="s">
        <v>1353</v>
      </c>
      <c r="I274" s="4" t="s">
        <v>1772</v>
      </c>
      <c r="J274" s="4" t="s">
        <v>131</v>
      </c>
    </row>
    <row r="275" customFormat="false" ht="15" hidden="false" customHeight="false" outlineLevel="0" collapsed="false">
      <c r="A275" s="5" t="n">
        <v>43408</v>
      </c>
      <c r="B275" s="5" t="s">
        <v>69</v>
      </c>
      <c r="C275" s="5" t="s">
        <v>1059</v>
      </c>
      <c r="D275" s="4" t="s">
        <v>30</v>
      </c>
      <c r="E275" s="4" t="s">
        <v>1351</v>
      </c>
      <c r="F275" s="4" t="s">
        <v>1352</v>
      </c>
      <c r="G275" s="5" t="n">
        <v>114</v>
      </c>
      <c r="H275" s="5" t="s">
        <v>1353</v>
      </c>
      <c r="I275" s="4" t="s">
        <v>1773</v>
      </c>
      <c r="J275" s="4" t="s">
        <v>131</v>
      </c>
    </row>
    <row r="276" customFormat="false" ht="15" hidden="false" customHeight="false" outlineLevel="0" collapsed="false">
      <c r="A276" s="5" t="n">
        <v>43409</v>
      </c>
      <c r="B276" s="5" t="s">
        <v>69</v>
      </c>
      <c r="C276" s="5" t="s">
        <v>1774</v>
      </c>
      <c r="D276" s="4" t="s">
        <v>30</v>
      </c>
      <c r="E276" s="4" t="s">
        <v>1351</v>
      </c>
      <c r="F276" s="4" t="s">
        <v>1352</v>
      </c>
      <c r="G276" s="5" t="n">
        <v>41</v>
      </c>
      <c r="H276" s="5" t="s">
        <v>1353</v>
      </c>
      <c r="I276" s="4" t="s">
        <v>1775</v>
      </c>
      <c r="J276" s="4" t="s">
        <v>131</v>
      </c>
    </row>
    <row r="277" customFormat="false" ht="15" hidden="false" customHeight="false" outlineLevel="0" collapsed="false">
      <c r="A277" s="5" t="n">
        <v>41382</v>
      </c>
      <c r="B277" s="5" t="s">
        <v>69</v>
      </c>
      <c r="C277" s="5" t="s">
        <v>476</v>
      </c>
      <c r="D277" s="4" t="s">
        <v>20</v>
      </c>
      <c r="E277" s="4" t="s">
        <v>1351</v>
      </c>
      <c r="F277" s="4" t="s">
        <v>1352</v>
      </c>
      <c r="G277" s="5" t="n">
        <v>44</v>
      </c>
      <c r="H277" s="5" t="s">
        <v>1353</v>
      </c>
      <c r="I277" s="4" t="s">
        <v>1776</v>
      </c>
      <c r="J277" s="4" t="s">
        <v>131</v>
      </c>
    </row>
    <row r="278" customFormat="false" ht="15" hidden="false" customHeight="false" outlineLevel="0" collapsed="false">
      <c r="A278" s="5" t="n">
        <v>40726</v>
      </c>
      <c r="B278" s="5" t="s">
        <v>69</v>
      </c>
      <c r="C278" s="5" t="s">
        <v>1667</v>
      </c>
      <c r="D278" s="4" t="s">
        <v>20</v>
      </c>
      <c r="E278" s="4" t="s">
        <v>1351</v>
      </c>
      <c r="F278" s="4" t="s">
        <v>1352</v>
      </c>
      <c r="G278" s="5" t="n">
        <v>110</v>
      </c>
      <c r="H278" s="5" t="s">
        <v>1353</v>
      </c>
      <c r="I278" s="4" t="s">
        <v>1777</v>
      </c>
      <c r="J278" s="4" t="s">
        <v>131</v>
      </c>
    </row>
    <row r="279" customFormat="false" ht="15" hidden="false" customHeight="false" outlineLevel="0" collapsed="false">
      <c r="A279" s="5" t="n">
        <v>36559</v>
      </c>
      <c r="B279" s="5" t="s">
        <v>69</v>
      </c>
      <c r="C279" s="5" t="s">
        <v>1667</v>
      </c>
      <c r="D279" s="4" t="s">
        <v>20</v>
      </c>
      <c r="E279" s="4" t="s">
        <v>1351</v>
      </c>
      <c r="F279" s="4" t="s">
        <v>1352</v>
      </c>
      <c r="G279" s="5" t="n">
        <v>66</v>
      </c>
      <c r="H279" s="5" t="s">
        <v>1353</v>
      </c>
      <c r="I279" s="4" t="s">
        <v>1778</v>
      </c>
      <c r="J279" s="4" t="s">
        <v>131</v>
      </c>
    </row>
    <row r="280" customFormat="false" ht="15" hidden="false" customHeight="false" outlineLevel="0" collapsed="false">
      <c r="A280" s="5" t="n">
        <v>38927</v>
      </c>
      <c r="B280" s="5" t="s">
        <v>69</v>
      </c>
      <c r="C280" s="5" t="s">
        <v>568</v>
      </c>
      <c r="D280" s="4" t="s">
        <v>20</v>
      </c>
      <c r="E280" s="4" t="s">
        <v>1351</v>
      </c>
      <c r="F280" s="4" t="s">
        <v>1352</v>
      </c>
      <c r="G280" s="5" t="n">
        <v>49</v>
      </c>
      <c r="H280" s="5" t="s">
        <v>1353</v>
      </c>
      <c r="I280" s="4" t="s">
        <v>1779</v>
      </c>
      <c r="J280" s="4" t="s">
        <v>131</v>
      </c>
    </row>
    <row r="281" customFormat="false" ht="15" hidden="false" customHeight="false" outlineLevel="0" collapsed="false">
      <c r="A281" s="5" t="n">
        <v>43410</v>
      </c>
      <c r="B281" s="5" t="s">
        <v>69</v>
      </c>
      <c r="C281" s="5" t="s">
        <v>765</v>
      </c>
      <c r="D281" s="4" t="s">
        <v>20</v>
      </c>
      <c r="E281" s="4" t="s">
        <v>1418</v>
      </c>
      <c r="F281" s="4"/>
      <c r="G281" s="5" t="n">
        <v>0</v>
      </c>
      <c r="H281" s="5" t="s">
        <v>1419</v>
      </c>
      <c r="I281" s="4"/>
      <c r="J281" s="4" t="s">
        <v>134</v>
      </c>
    </row>
    <row r="282" customFormat="false" ht="15" hidden="false" customHeight="false" outlineLevel="0" collapsed="false">
      <c r="A282" s="5" t="n">
        <v>43410</v>
      </c>
      <c r="B282" s="5" t="s">
        <v>69</v>
      </c>
      <c r="C282" s="5" t="s">
        <v>1780</v>
      </c>
      <c r="D282" s="4" t="s">
        <v>20</v>
      </c>
      <c r="E282" s="4" t="s">
        <v>1351</v>
      </c>
      <c r="F282" s="4" t="s">
        <v>1352</v>
      </c>
      <c r="G282" s="5" t="n">
        <v>48</v>
      </c>
      <c r="H282" s="5" t="s">
        <v>1353</v>
      </c>
      <c r="I282" s="4" t="s">
        <v>1781</v>
      </c>
      <c r="J282" s="4" t="s">
        <v>131</v>
      </c>
    </row>
    <row r="283" customFormat="false" ht="15" hidden="false" customHeight="false" outlineLevel="0" collapsed="false">
      <c r="A283" s="5" t="n">
        <v>36328</v>
      </c>
      <c r="B283" s="5" t="s">
        <v>69</v>
      </c>
      <c r="C283" s="5" t="s">
        <v>1780</v>
      </c>
      <c r="D283" s="4" t="s">
        <v>20</v>
      </c>
      <c r="E283" s="4" t="s">
        <v>1351</v>
      </c>
      <c r="F283" s="4" t="s">
        <v>1352</v>
      </c>
      <c r="G283" s="5" t="n">
        <v>63</v>
      </c>
      <c r="H283" s="5" t="s">
        <v>1353</v>
      </c>
      <c r="I283" s="4" t="s">
        <v>1782</v>
      </c>
      <c r="J283" s="4" t="s">
        <v>131</v>
      </c>
    </row>
    <row r="284" customFormat="false" ht="15" hidden="false" customHeight="false" outlineLevel="0" collapsed="false">
      <c r="A284" s="5" t="n">
        <v>40681</v>
      </c>
      <c r="B284" s="5" t="s">
        <v>69</v>
      </c>
      <c r="C284" s="5" t="s">
        <v>881</v>
      </c>
      <c r="D284" s="4" t="s">
        <v>32</v>
      </c>
      <c r="E284" s="4" t="s">
        <v>1351</v>
      </c>
      <c r="F284" s="4" t="s">
        <v>1352</v>
      </c>
      <c r="G284" s="5" t="n">
        <v>26</v>
      </c>
      <c r="H284" s="5" t="s">
        <v>1397</v>
      </c>
      <c r="I284" s="4" t="s">
        <v>1783</v>
      </c>
      <c r="J284" s="4" t="s">
        <v>132</v>
      </c>
    </row>
    <row r="285" customFormat="false" ht="15" hidden="false" customHeight="false" outlineLevel="0" collapsed="false">
      <c r="A285" s="5" t="n">
        <v>40681</v>
      </c>
      <c r="B285" s="5" t="s">
        <v>69</v>
      </c>
      <c r="C285" s="5" t="s">
        <v>175</v>
      </c>
      <c r="D285" s="4" t="s">
        <v>32</v>
      </c>
      <c r="E285" s="4" t="s">
        <v>1351</v>
      </c>
      <c r="F285" s="4" t="s">
        <v>1356</v>
      </c>
      <c r="G285" s="5" t="n">
        <v>54</v>
      </c>
      <c r="H285" s="5" t="s">
        <v>1353</v>
      </c>
      <c r="I285" s="4" t="s">
        <v>1784</v>
      </c>
      <c r="J285" s="4" t="s">
        <v>131</v>
      </c>
    </row>
    <row r="286" customFormat="false" ht="15" hidden="false" customHeight="false" outlineLevel="0" collapsed="false">
      <c r="A286" s="5" t="n">
        <v>42773</v>
      </c>
      <c r="B286" s="5" t="s">
        <v>69</v>
      </c>
      <c r="C286" s="5" t="s">
        <v>1785</v>
      </c>
      <c r="D286" s="4" t="s">
        <v>32</v>
      </c>
      <c r="E286" s="4" t="s">
        <v>1351</v>
      </c>
      <c r="F286" s="4" t="s">
        <v>1352</v>
      </c>
      <c r="G286" s="5" t="n">
        <v>54</v>
      </c>
      <c r="H286" s="5" t="s">
        <v>1353</v>
      </c>
      <c r="I286" s="4" t="s">
        <v>1786</v>
      </c>
      <c r="J286" s="4" t="s">
        <v>131</v>
      </c>
    </row>
    <row r="287" customFormat="false" ht="15" hidden="false" customHeight="false" outlineLevel="0" collapsed="false">
      <c r="A287" s="5" t="n">
        <v>43195</v>
      </c>
      <c r="B287" s="5" t="s">
        <v>69</v>
      </c>
      <c r="C287" s="5" t="s">
        <v>1787</v>
      </c>
      <c r="D287" s="4" t="s">
        <v>32</v>
      </c>
      <c r="E287" s="4" t="s">
        <v>1351</v>
      </c>
      <c r="F287" s="4" t="s">
        <v>1356</v>
      </c>
      <c r="G287" s="5" t="n">
        <v>28</v>
      </c>
      <c r="H287" s="5" t="s">
        <v>1397</v>
      </c>
      <c r="I287" s="4" t="s">
        <v>1788</v>
      </c>
      <c r="J287" s="4" t="s">
        <v>132</v>
      </c>
    </row>
    <row r="288" customFormat="false" ht="15" hidden="false" customHeight="false" outlineLevel="0" collapsed="false">
      <c r="A288" s="5" t="n">
        <v>43411</v>
      </c>
      <c r="B288" s="5" t="s">
        <v>69</v>
      </c>
      <c r="C288" s="5" t="s">
        <v>1789</v>
      </c>
      <c r="D288" s="4" t="s">
        <v>32</v>
      </c>
      <c r="E288" s="4" t="s">
        <v>1351</v>
      </c>
      <c r="F288" s="4" t="s">
        <v>1352</v>
      </c>
      <c r="G288" s="5" t="n">
        <v>82</v>
      </c>
      <c r="H288" s="5" t="s">
        <v>1353</v>
      </c>
      <c r="I288" s="4" t="s">
        <v>1790</v>
      </c>
      <c r="J288" s="4" t="s">
        <v>131</v>
      </c>
    </row>
    <row r="289" customFormat="false" ht="15" hidden="false" customHeight="false" outlineLevel="0" collapsed="false">
      <c r="A289" s="5" t="n">
        <v>43193</v>
      </c>
      <c r="B289" s="5" t="s">
        <v>69</v>
      </c>
      <c r="C289" s="5" t="s">
        <v>1791</v>
      </c>
      <c r="D289" s="4" t="s">
        <v>32</v>
      </c>
      <c r="E289" s="4" t="s">
        <v>1351</v>
      </c>
      <c r="F289" s="4" t="s">
        <v>1356</v>
      </c>
      <c r="G289" s="5" t="n">
        <v>110</v>
      </c>
      <c r="H289" s="5" t="s">
        <v>1353</v>
      </c>
      <c r="I289" s="4" t="s">
        <v>1792</v>
      </c>
      <c r="J289" s="4" t="s">
        <v>131</v>
      </c>
    </row>
    <row r="290" customFormat="false" ht="15" hidden="false" customHeight="false" outlineLevel="0" collapsed="false">
      <c r="A290" s="5" t="n">
        <v>43412</v>
      </c>
      <c r="B290" s="5" t="s">
        <v>69</v>
      </c>
      <c r="C290" s="5" t="s">
        <v>1793</v>
      </c>
      <c r="D290" s="4" t="s">
        <v>20</v>
      </c>
      <c r="E290" s="4" t="s">
        <v>1351</v>
      </c>
      <c r="F290" s="4" t="s">
        <v>1352</v>
      </c>
      <c r="G290" s="5" t="n">
        <v>95</v>
      </c>
      <c r="H290" s="5" t="s">
        <v>1353</v>
      </c>
      <c r="I290" s="4" t="s">
        <v>1794</v>
      </c>
      <c r="J290" s="4" t="s">
        <v>131</v>
      </c>
    </row>
    <row r="291" customFormat="false" ht="15" hidden="false" customHeight="false" outlineLevel="0" collapsed="false">
      <c r="A291" s="5" t="n">
        <v>43413</v>
      </c>
      <c r="B291" s="5" t="s">
        <v>69</v>
      </c>
      <c r="C291" s="5" t="s">
        <v>801</v>
      </c>
      <c r="D291" s="4" t="s">
        <v>20</v>
      </c>
      <c r="E291" s="4" t="s">
        <v>1351</v>
      </c>
      <c r="F291" s="4" t="s">
        <v>1356</v>
      </c>
      <c r="G291" s="5" t="n">
        <v>52</v>
      </c>
      <c r="H291" s="5" t="s">
        <v>1353</v>
      </c>
      <c r="I291" s="4" t="s">
        <v>1795</v>
      </c>
      <c r="J291" s="4" t="s">
        <v>131</v>
      </c>
    </row>
    <row r="292" customFormat="false" ht="15" hidden="false" customHeight="false" outlineLevel="0" collapsed="false">
      <c r="A292" s="5" t="n">
        <v>43414</v>
      </c>
      <c r="B292" s="5" t="s">
        <v>69</v>
      </c>
      <c r="C292" s="5" t="s">
        <v>1796</v>
      </c>
      <c r="D292" s="4" t="s">
        <v>22</v>
      </c>
      <c r="E292" s="4" t="s">
        <v>1351</v>
      </c>
      <c r="F292" s="4" t="s">
        <v>1370</v>
      </c>
      <c r="G292" s="5" t="n">
        <v>39</v>
      </c>
      <c r="H292" s="5" t="s">
        <v>1397</v>
      </c>
      <c r="I292" s="4" t="s">
        <v>1797</v>
      </c>
      <c r="J292" s="4" t="s">
        <v>132</v>
      </c>
    </row>
    <row r="293" customFormat="false" ht="15" hidden="false" customHeight="false" outlineLevel="0" collapsed="false">
      <c r="A293" s="5" t="n">
        <v>43415</v>
      </c>
      <c r="B293" s="5" t="s">
        <v>69</v>
      </c>
      <c r="C293" s="5" t="s">
        <v>1798</v>
      </c>
      <c r="D293" s="4" t="s">
        <v>18</v>
      </c>
      <c r="E293" s="4" t="s">
        <v>1351</v>
      </c>
      <c r="F293" s="4" t="s">
        <v>1356</v>
      </c>
      <c r="G293" s="5" t="n">
        <v>89</v>
      </c>
      <c r="H293" s="5" t="s">
        <v>1353</v>
      </c>
      <c r="I293" s="4" t="s">
        <v>1799</v>
      </c>
      <c r="J293" s="4" t="s">
        <v>131</v>
      </c>
    </row>
    <row r="294" customFormat="false" ht="15" hidden="false" customHeight="false" outlineLevel="0" collapsed="false">
      <c r="A294" s="5" t="n">
        <v>43416</v>
      </c>
      <c r="B294" s="5" t="s">
        <v>69</v>
      </c>
      <c r="C294" s="5" t="s">
        <v>1800</v>
      </c>
      <c r="D294" s="4" t="s">
        <v>18</v>
      </c>
      <c r="E294" s="4" t="s">
        <v>1351</v>
      </c>
      <c r="F294" s="4" t="s">
        <v>1356</v>
      </c>
      <c r="G294" s="5" t="n">
        <v>73</v>
      </c>
      <c r="H294" s="5" t="s">
        <v>1353</v>
      </c>
      <c r="I294" s="4" t="s">
        <v>1801</v>
      </c>
      <c r="J294" s="4" t="s">
        <v>131</v>
      </c>
    </row>
    <row r="295" customFormat="false" ht="15" hidden="false" customHeight="false" outlineLevel="0" collapsed="false">
      <c r="A295" s="5" t="n">
        <v>43417</v>
      </c>
      <c r="B295" s="5" t="s">
        <v>69</v>
      </c>
      <c r="C295" s="5" t="s">
        <v>1802</v>
      </c>
      <c r="D295" s="4" t="s">
        <v>18</v>
      </c>
      <c r="E295" s="4" t="s">
        <v>1351</v>
      </c>
      <c r="F295" s="4" t="s">
        <v>1356</v>
      </c>
      <c r="G295" s="5" t="n">
        <v>140</v>
      </c>
      <c r="H295" s="5" t="s">
        <v>1353</v>
      </c>
      <c r="I295" s="4" t="s">
        <v>1803</v>
      </c>
      <c r="J295" s="4" t="s">
        <v>131</v>
      </c>
    </row>
    <row r="296" customFormat="false" ht="15" hidden="false" customHeight="false" outlineLevel="0" collapsed="false">
      <c r="A296" s="5" t="n">
        <v>41221</v>
      </c>
      <c r="B296" s="5" t="s">
        <v>69</v>
      </c>
      <c r="C296" s="5" t="s">
        <v>1804</v>
      </c>
      <c r="D296" s="4" t="s">
        <v>18</v>
      </c>
      <c r="E296" s="4" t="s">
        <v>1351</v>
      </c>
      <c r="F296" s="4" t="s">
        <v>1356</v>
      </c>
      <c r="G296" s="5" t="n">
        <v>37</v>
      </c>
      <c r="H296" s="5" t="s">
        <v>1397</v>
      </c>
      <c r="I296" s="4" t="s">
        <v>1805</v>
      </c>
      <c r="J296" s="4" t="s">
        <v>132</v>
      </c>
    </row>
    <row r="297" customFormat="false" ht="15" hidden="false" customHeight="false" outlineLevel="0" collapsed="false">
      <c r="A297" s="5" t="n">
        <v>43423</v>
      </c>
      <c r="B297" s="5" t="s">
        <v>70</v>
      </c>
      <c r="C297" s="5" t="s">
        <v>153</v>
      </c>
      <c r="D297" s="4" t="s">
        <v>34</v>
      </c>
      <c r="E297" s="4" t="s">
        <v>1351</v>
      </c>
      <c r="F297" s="4" t="s">
        <v>1352</v>
      </c>
      <c r="G297" s="5" t="n">
        <v>159</v>
      </c>
      <c r="H297" s="5" t="s">
        <v>1353</v>
      </c>
      <c r="I297" s="4" t="s">
        <v>1689</v>
      </c>
      <c r="J297" s="4" t="s">
        <v>131</v>
      </c>
    </row>
    <row r="298" customFormat="false" ht="15" hidden="false" customHeight="false" outlineLevel="0" collapsed="false">
      <c r="A298" s="5" t="n">
        <v>43428</v>
      </c>
      <c r="B298" s="5" t="s">
        <v>70</v>
      </c>
      <c r="C298" s="5" t="s">
        <v>268</v>
      </c>
      <c r="D298" s="4" t="s">
        <v>34</v>
      </c>
      <c r="E298" s="4" t="s">
        <v>1351</v>
      </c>
      <c r="F298" s="4" t="s">
        <v>1352</v>
      </c>
      <c r="G298" s="5" t="n">
        <v>82</v>
      </c>
      <c r="H298" s="5" t="s">
        <v>1353</v>
      </c>
      <c r="I298" s="4" t="s">
        <v>1806</v>
      </c>
      <c r="J298" s="4" t="s">
        <v>131</v>
      </c>
    </row>
    <row r="299" customFormat="false" ht="15" hidden="false" customHeight="false" outlineLevel="0" collapsed="false">
      <c r="A299" s="5" t="n">
        <v>73</v>
      </c>
      <c r="B299" s="5" t="s">
        <v>70</v>
      </c>
      <c r="C299" s="5" t="s">
        <v>1807</v>
      </c>
      <c r="D299" s="4" t="s">
        <v>24</v>
      </c>
      <c r="E299" s="4" t="s">
        <v>1351</v>
      </c>
      <c r="F299" s="4" t="s">
        <v>1356</v>
      </c>
      <c r="G299" s="5" t="n">
        <v>104</v>
      </c>
      <c r="H299" s="5" t="s">
        <v>1353</v>
      </c>
      <c r="I299" s="4" t="s">
        <v>1808</v>
      </c>
      <c r="J299" s="4" t="s">
        <v>131</v>
      </c>
    </row>
    <row r="300" customFormat="false" ht="15" hidden="false" customHeight="false" outlineLevel="0" collapsed="false">
      <c r="A300" s="5" t="n">
        <v>42475</v>
      </c>
      <c r="B300" s="5" t="s">
        <v>70</v>
      </c>
      <c r="C300" s="5" t="s">
        <v>1809</v>
      </c>
      <c r="D300" s="4" t="s">
        <v>24</v>
      </c>
      <c r="E300" s="4" t="s">
        <v>1351</v>
      </c>
      <c r="F300" s="4" t="s">
        <v>1352</v>
      </c>
      <c r="G300" s="5" t="n">
        <v>117</v>
      </c>
      <c r="H300" s="5" t="s">
        <v>1353</v>
      </c>
      <c r="I300" s="4" t="s">
        <v>1810</v>
      </c>
      <c r="J300" s="4" t="s">
        <v>131</v>
      </c>
    </row>
    <row r="301" customFormat="false" ht="15" hidden="false" customHeight="false" outlineLevel="0" collapsed="false">
      <c r="A301" s="5" t="n">
        <v>43436</v>
      </c>
      <c r="B301" s="5" t="s">
        <v>70</v>
      </c>
      <c r="C301" s="5" t="s">
        <v>1372</v>
      </c>
      <c r="D301" s="4" t="s">
        <v>34</v>
      </c>
      <c r="E301" s="4" t="s">
        <v>1351</v>
      </c>
      <c r="F301" s="4" t="s">
        <v>1352</v>
      </c>
      <c r="G301" s="5" t="n">
        <v>138</v>
      </c>
      <c r="H301" s="5" t="s">
        <v>1353</v>
      </c>
      <c r="I301" s="4" t="s">
        <v>1811</v>
      </c>
      <c r="J301" s="4" t="s">
        <v>131</v>
      </c>
    </row>
    <row r="302" customFormat="false" ht="15" hidden="false" customHeight="false" outlineLevel="0" collapsed="false">
      <c r="A302" s="5" t="n">
        <v>43437</v>
      </c>
      <c r="B302" s="5" t="s">
        <v>70</v>
      </c>
      <c r="C302" s="5" t="s">
        <v>1374</v>
      </c>
      <c r="D302" s="4" t="s">
        <v>34</v>
      </c>
      <c r="E302" s="4" t="s">
        <v>1351</v>
      </c>
      <c r="F302" s="4" t="s">
        <v>1352</v>
      </c>
      <c r="G302" s="5" t="n">
        <v>87</v>
      </c>
      <c r="H302" s="5" t="s">
        <v>1353</v>
      </c>
      <c r="I302" s="4" t="s">
        <v>1812</v>
      </c>
      <c r="J302" s="4" t="s">
        <v>131</v>
      </c>
    </row>
    <row r="303" customFormat="false" ht="15" hidden="false" customHeight="false" outlineLevel="0" collapsed="false">
      <c r="A303" s="5" t="n">
        <v>17121</v>
      </c>
      <c r="B303" s="5" t="s">
        <v>70</v>
      </c>
      <c r="C303" s="5" t="s">
        <v>1813</v>
      </c>
      <c r="D303" s="4" t="s">
        <v>24</v>
      </c>
      <c r="E303" s="4" t="s">
        <v>1351</v>
      </c>
      <c r="F303" s="4" t="s">
        <v>1368</v>
      </c>
      <c r="G303" s="5" t="n">
        <v>95</v>
      </c>
      <c r="H303" s="5" t="s">
        <v>1353</v>
      </c>
      <c r="I303" s="4" t="s">
        <v>1814</v>
      </c>
      <c r="J303" s="4" t="s">
        <v>131</v>
      </c>
    </row>
    <row r="304" customFormat="false" ht="15" hidden="false" customHeight="false" outlineLevel="0" collapsed="false">
      <c r="A304" s="5" t="n">
        <v>43445</v>
      </c>
      <c r="B304" s="5" t="s">
        <v>70</v>
      </c>
      <c r="C304" s="5" t="s">
        <v>404</v>
      </c>
      <c r="D304" s="4" t="s">
        <v>34</v>
      </c>
      <c r="E304" s="4" t="s">
        <v>1351</v>
      </c>
      <c r="F304" s="4" t="s">
        <v>1352</v>
      </c>
      <c r="G304" s="5" t="n">
        <v>83</v>
      </c>
      <c r="H304" s="5" t="s">
        <v>1353</v>
      </c>
      <c r="I304" s="4" t="s">
        <v>1815</v>
      </c>
      <c r="J304" s="4" t="s">
        <v>131</v>
      </c>
    </row>
    <row r="305" customFormat="false" ht="15" hidden="false" customHeight="false" outlineLevel="0" collapsed="false">
      <c r="A305" s="5" t="n">
        <v>41306</v>
      </c>
      <c r="B305" s="5" t="s">
        <v>70</v>
      </c>
      <c r="C305" s="5" t="s">
        <v>1816</v>
      </c>
      <c r="D305" s="4" t="s">
        <v>34</v>
      </c>
      <c r="E305" s="4" t="s">
        <v>1351</v>
      </c>
      <c r="F305" s="4" t="s">
        <v>1352</v>
      </c>
      <c r="G305" s="5" t="n">
        <v>84</v>
      </c>
      <c r="H305" s="5" t="s">
        <v>1353</v>
      </c>
      <c r="I305" s="4" t="s">
        <v>1817</v>
      </c>
      <c r="J305" s="4" t="s">
        <v>131</v>
      </c>
    </row>
    <row r="306" customFormat="false" ht="15" hidden="false" customHeight="false" outlineLevel="0" collapsed="false">
      <c r="A306" s="5" t="n">
        <v>43447</v>
      </c>
      <c r="B306" s="5" t="s">
        <v>70</v>
      </c>
      <c r="C306" s="5" t="s">
        <v>1818</v>
      </c>
      <c r="D306" s="4" t="s">
        <v>34</v>
      </c>
      <c r="E306" s="4" t="s">
        <v>1351</v>
      </c>
      <c r="F306" s="4" t="s">
        <v>1352</v>
      </c>
      <c r="G306" s="5" t="n">
        <v>89</v>
      </c>
      <c r="H306" s="5" t="s">
        <v>1353</v>
      </c>
      <c r="I306" s="4" t="s">
        <v>1819</v>
      </c>
      <c r="J306" s="4" t="s">
        <v>131</v>
      </c>
    </row>
    <row r="307" customFormat="false" ht="15" hidden="false" customHeight="false" outlineLevel="0" collapsed="false">
      <c r="A307" s="5" t="n">
        <v>40472</v>
      </c>
      <c r="B307" s="5" t="s">
        <v>70</v>
      </c>
      <c r="C307" s="5" t="s">
        <v>1054</v>
      </c>
      <c r="D307" s="4" t="s">
        <v>20</v>
      </c>
      <c r="E307" s="4" t="s">
        <v>1351</v>
      </c>
      <c r="F307" s="4" t="s">
        <v>1356</v>
      </c>
      <c r="G307" s="5" t="n">
        <v>78</v>
      </c>
      <c r="H307" s="5" t="s">
        <v>1353</v>
      </c>
      <c r="I307" s="4" t="s">
        <v>1820</v>
      </c>
      <c r="J307" s="4" t="s">
        <v>131</v>
      </c>
    </row>
    <row r="308" customFormat="false" ht="15" hidden="false" customHeight="false" outlineLevel="0" collapsed="false">
      <c r="A308" s="5" t="n">
        <v>38151</v>
      </c>
      <c r="B308" s="5" t="s">
        <v>70</v>
      </c>
      <c r="C308" s="5" t="s">
        <v>1821</v>
      </c>
      <c r="D308" s="4" t="s">
        <v>20</v>
      </c>
      <c r="E308" s="4" t="s">
        <v>1351</v>
      </c>
      <c r="F308" s="4" t="s">
        <v>1356</v>
      </c>
      <c r="G308" s="5" t="n">
        <v>47</v>
      </c>
      <c r="H308" s="5" t="s">
        <v>1353</v>
      </c>
      <c r="I308" s="4" t="s">
        <v>1822</v>
      </c>
      <c r="J308" s="4" t="s">
        <v>131</v>
      </c>
    </row>
    <row r="309" customFormat="false" ht="15" hidden="false" customHeight="false" outlineLevel="0" collapsed="false">
      <c r="A309" s="5" t="n">
        <v>40514</v>
      </c>
      <c r="B309" s="5" t="s">
        <v>70</v>
      </c>
      <c r="C309" s="5" t="s">
        <v>1057</v>
      </c>
      <c r="D309" s="4" t="s">
        <v>20</v>
      </c>
      <c r="E309" s="4" t="s">
        <v>1351</v>
      </c>
      <c r="F309" s="4" t="s">
        <v>1356</v>
      </c>
      <c r="G309" s="5" t="n">
        <v>51</v>
      </c>
      <c r="H309" s="5" t="s">
        <v>1353</v>
      </c>
      <c r="I309" s="4" t="s">
        <v>1823</v>
      </c>
      <c r="J309" s="4" t="s">
        <v>131</v>
      </c>
    </row>
    <row r="310" customFormat="false" ht="15" hidden="false" customHeight="false" outlineLevel="0" collapsed="false">
      <c r="A310" s="5" t="n">
        <v>43449</v>
      </c>
      <c r="B310" s="5" t="s">
        <v>70</v>
      </c>
      <c r="C310" s="5" t="s">
        <v>1824</v>
      </c>
      <c r="D310" s="4" t="s">
        <v>20</v>
      </c>
      <c r="E310" s="4" t="s">
        <v>1351</v>
      </c>
      <c r="F310" s="4" t="s">
        <v>1368</v>
      </c>
      <c r="G310" s="5" t="n">
        <v>121</v>
      </c>
      <c r="H310" s="5" t="s">
        <v>1353</v>
      </c>
      <c r="I310" s="4" t="s">
        <v>1825</v>
      </c>
      <c r="J310" s="4" t="s">
        <v>131</v>
      </c>
    </row>
    <row r="311" customFormat="false" ht="15" hidden="false" customHeight="false" outlineLevel="0" collapsed="false">
      <c r="A311" s="5" t="n">
        <v>43449</v>
      </c>
      <c r="B311" s="5" t="s">
        <v>70</v>
      </c>
      <c r="C311" s="5" t="s">
        <v>1824</v>
      </c>
      <c r="D311" s="4" t="s">
        <v>20</v>
      </c>
      <c r="E311" s="4" t="s">
        <v>1418</v>
      </c>
      <c r="F311" s="4"/>
      <c r="G311" s="5" t="n">
        <v>0</v>
      </c>
      <c r="H311" s="5" t="s">
        <v>1419</v>
      </c>
      <c r="I311" s="4"/>
      <c r="J311" s="4" t="s">
        <v>134</v>
      </c>
    </row>
    <row r="312" customFormat="false" ht="15" hidden="false" customHeight="false" outlineLevel="0" collapsed="false">
      <c r="A312" s="5" t="n">
        <v>43353</v>
      </c>
      <c r="B312" s="5" t="s">
        <v>70</v>
      </c>
      <c r="C312" s="5" t="s">
        <v>667</v>
      </c>
      <c r="D312" s="4" t="s">
        <v>28</v>
      </c>
      <c r="E312" s="4" t="s">
        <v>1351</v>
      </c>
      <c r="F312" s="4" t="s">
        <v>1356</v>
      </c>
      <c r="G312" s="5" t="n">
        <v>72</v>
      </c>
      <c r="H312" s="5" t="s">
        <v>1353</v>
      </c>
      <c r="I312" s="4" t="s">
        <v>1826</v>
      </c>
      <c r="J312" s="4" t="s">
        <v>131</v>
      </c>
    </row>
    <row r="313" customFormat="false" ht="15" hidden="false" customHeight="false" outlineLevel="0" collapsed="false">
      <c r="A313" s="5" t="n">
        <v>41551</v>
      </c>
      <c r="B313" s="5" t="s">
        <v>70</v>
      </c>
      <c r="C313" s="5" t="s">
        <v>1407</v>
      </c>
      <c r="D313" s="4" t="s">
        <v>28</v>
      </c>
      <c r="E313" s="4" t="s">
        <v>1351</v>
      </c>
      <c r="F313" s="4" t="s">
        <v>1356</v>
      </c>
      <c r="G313" s="5" t="n">
        <v>80</v>
      </c>
      <c r="H313" s="5" t="s">
        <v>1353</v>
      </c>
      <c r="I313" s="4" t="s">
        <v>1827</v>
      </c>
      <c r="J313" s="4" t="s">
        <v>131</v>
      </c>
    </row>
    <row r="314" customFormat="false" ht="15" hidden="false" customHeight="false" outlineLevel="0" collapsed="false">
      <c r="A314" s="5" t="n">
        <v>43450</v>
      </c>
      <c r="B314" s="5" t="s">
        <v>70</v>
      </c>
      <c r="C314" s="5" t="s">
        <v>629</v>
      </c>
      <c r="D314" s="4" t="s">
        <v>28</v>
      </c>
      <c r="E314" s="4" t="s">
        <v>1351</v>
      </c>
      <c r="F314" s="4" t="s">
        <v>1356</v>
      </c>
      <c r="G314" s="5" t="n">
        <v>57</v>
      </c>
      <c r="H314" s="5" t="s">
        <v>1353</v>
      </c>
      <c r="I314" s="4" t="s">
        <v>1828</v>
      </c>
      <c r="J314" s="4" t="s">
        <v>131</v>
      </c>
    </row>
    <row r="315" customFormat="false" ht="15" hidden="false" customHeight="false" outlineLevel="0" collapsed="false">
      <c r="A315" s="5" t="n">
        <v>39274</v>
      </c>
      <c r="B315" s="5" t="s">
        <v>70</v>
      </c>
      <c r="C315" s="5" t="s">
        <v>452</v>
      </c>
      <c r="D315" s="4" t="s">
        <v>32</v>
      </c>
      <c r="E315" s="4" t="s">
        <v>1351</v>
      </c>
      <c r="F315" s="4" t="s">
        <v>1352</v>
      </c>
      <c r="G315" s="5" t="n">
        <v>47</v>
      </c>
      <c r="H315" s="5" t="s">
        <v>1353</v>
      </c>
      <c r="I315" s="4" t="s">
        <v>1829</v>
      </c>
      <c r="J315" s="4" t="s">
        <v>131</v>
      </c>
    </row>
    <row r="316" customFormat="false" ht="15" hidden="false" customHeight="false" outlineLevel="0" collapsed="false">
      <c r="A316" s="5" t="n">
        <v>43451</v>
      </c>
      <c r="B316" s="5" t="s">
        <v>70</v>
      </c>
      <c r="C316" s="5" t="s">
        <v>452</v>
      </c>
      <c r="D316" s="4" t="s">
        <v>22</v>
      </c>
      <c r="E316" s="4" t="s">
        <v>1351</v>
      </c>
      <c r="F316" s="4" t="s">
        <v>1356</v>
      </c>
      <c r="G316" s="5" t="n">
        <v>64</v>
      </c>
      <c r="H316" s="5" t="s">
        <v>1353</v>
      </c>
      <c r="I316" s="4" t="s">
        <v>1830</v>
      </c>
      <c r="J316" s="4" t="s">
        <v>131</v>
      </c>
    </row>
    <row r="317" customFormat="false" ht="15" hidden="false" customHeight="false" outlineLevel="0" collapsed="false">
      <c r="A317" s="5" t="n">
        <v>42726</v>
      </c>
      <c r="B317" s="5" t="s">
        <v>70</v>
      </c>
      <c r="C317" s="5" t="s">
        <v>1655</v>
      </c>
      <c r="D317" s="4" t="s">
        <v>32</v>
      </c>
      <c r="E317" s="4" t="s">
        <v>1351</v>
      </c>
      <c r="F317" s="4" t="s">
        <v>1356</v>
      </c>
      <c r="G317" s="5" t="n">
        <v>53</v>
      </c>
      <c r="H317" s="5" t="s">
        <v>1353</v>
      </c>
      <c r="I317" s="4" t="s">
        <v>1831</v>
      </c>
      <c r="J317" s="4" t="s">
        <v>131</v>
      </c>
    </row>
    <row r="318" customFormat="false" ht="15" hidden="false" customHeight="false" outlineLevel="0" collapsed="false">
      <c r="A318" s="5" t="n">
        <v>41399</v>
      </c>
      <c r="B318" s="5" t="s">
        <v>70</v>
      </c>
      <c r="C318" s="5" t="s">
        <v>458</v>
      </c>
      <c r="D318" s="4" t="s">
        <v>22</v>
      </c>
      <c r="E318" s="4" t="s">
        <v>1351</v>
      </c>
      <c r="F318" s="4" t="s">
        <v>1352</v>
      </c>
      <c r="G318" s="5" t="n">
        <v>21</v>
      </c>
      <c r="H318" s="5" t="s">
        <v>1397</v>
      </c>
      <c r="I318" s="4" t="s">
        <v>1832</v>
      </c>
      <c r="J318" s="4" t="s">
        <v>132</v>
      </c>
    </row>
    <row r="319" customFormat="false" ht="15" hidden="false" customHeight="false" outlineLevel="0" collapsed="false">
      <c r="A319" s="5" t="n">
        <v>41148</v>
      </c>
      <c r="B319" s="5" t="s">
        <v>70</v>
      </c>
      <c r="C319" s="5" t="s">
        <v>712</v>
      </c>
      <c r="D319" s="4" t="s">
        <v>22</v>
      </c>
      <c r="E319" s="4" t="s">
        <v>1351</v>
      </c>
      <c r="F319" s="4" t="s">
        <v>1352</v>
      </c>
      <c r="G319" s="5" t="n">
        <v>21</v>
      </c>
      <c r="H319" s="5" t="s">
        <v>1397</v>
      </c>
      <c r="I319" s="4" t="s">
        <v>1832</v>
      </c>
      <c r="J319" s="4" t="s">
        <v>132</v>
      </c>
    </row>
    <row r="320" customFormat="false" ht="15" hidden="false" customHeight="false" outlineLevel="0" collapsed="false">
      <c r="A320" s="5" t="n">
        <v>40766</v>
      </c>
      <c r="B320" s="5" t="s">
        <v>70</v>
      </c>
      <c r="C320" s="5" t="s">
        <v>1659</v>
      </c>
      <c r="D320" s="4" t="s">
        <v>22</v>
      </c>
      <c r="E320" s="4" t="s">
        <v>1351</v>
      </c>
      <c r="F320" s="4" t="s">
        <v>1352</v>
      </c>
      <c r="G320" s="5" t="n">
        <v>15</v>
      </c>
      <c r="H320" s="5" t="s">
        <v>1419</v>
      </c>
      <c r="I320" s="4" t="s">
        <v>1833</v>
      </c>
      <c r="J320" s="4" t="s">
        <v>133</v>
      </c>
    </row>
    <row r="321" customFormat="false" ht="15" hidden="false" customHeight="false" outlineLevel="0" collapsed="false">
      <c r="A321" s="5" t="n">
        <v>40510</v>
      </c>
      <c r="B321" s="5" t="s">
        <v>70</v>
      </c>
      <c r="C321" s="5" t="s">
        <v>1834</v>
      </c>
      <c r="D321" s="4" t="s">
        <v>22</v>
      </c>
      <c r="E321" s="4" t="s">
        <v>1351</v>
      </c>
      <c r="F321" s="4" t="s">
        <v>1352</v>
      </c>
      <c r="G321" s="5" t="n">
        <v>21</v>
      </c>
      <c r="H321" s="5" t="s">
        <v>1397</v>
      </c>
      <c r="I321" s="4" t="s">
        <v>1832</v>
      </c>
      <c r="J321" s="4" t="s">
        <v>132</v>
      </c>
    </row>
    <row r="322" customFormat="false" ht="15" hidden="false" customHeight="false" outlineLevel="0" collapsed="false">
      <c r="A322" s="5" t="n">
        <v>43452</v>
      </c>
      <c r="B322" s="5" t="s">
        <v>70</v>
      </c>
      <c r="C322" s="5" t="s">
        <v>811</v>
      </c>
      <c r="D322" s="4" t="s">
        <v>30</v>
      </c>
      <c r="E322" s="4" t="s">
        <v>1351</v>
      </c>
      <c r="F322" s="4" t="s">
        <v>1352</v>
      </c>
      <c r="G322" s="5" t="n">
        <v>54</v>
      </c>
      <c r="H322" s="5" t="s">
        <v>1353</v>
      </c>
      <c r="I322" s="4" t="s">
        <v>1835</v>
      </c>
      <c r="J322" s="4" t="s">
        <v>131</v>
      </c>
    </row>
    <row r="323" customFormat="false" ht="15" hidden="false" customHeight="false" outlineLevel="0" collapsed="false">
      <c r="A323" s="5" t="n">
        <v>43453</v>
      </c>
      <c r="B323" s="5" t="s">
        <v>70</v>
      </c>
      <c r="C323" s="5" t="s">
        <v>812</v>
      </c>
      <c r="D323" s="4" t="s">
        <v>30</v>
      </c>
      <c r="E323" s="4" t="s">
        <v>1351</v>
      </c>
      <c r="F323" s="4" t="s">
        <v>1352</v>
      </c>
      <c r="G323" s="5" t="n">
        <v>57</v>
      </c>
      <c r="H323" s="5" t="s">
        <v>1353</v>
      </c>
      <c r="I323" s="4" t="s">
        <v>1836</v>
      </c>
      <c r="J323" s="4" t="s">
        <v>131</v>
      </c>
    </row>
    <row r="324" customFormat="false" ht="15" hidden="false" customHeight="false" outlineLevel="0" collapsed="false">
      <c r="A324" s="5" t="n">
        <v>43454</v>
      </c>
      <c r="B324" s="5" t="s">
        <v>70</v>
      </c>
      <c r="C324" s="5" t="s">
        <v>1717</v>
      </c>
      <c r="D324" s="4" t="s">
        <v>30</v>
      </c>
      <c r="E324" s="4" t="s">
        <v>1351</v>
      </c>
      <c r="F324" s="4" t="s">
        <v>1352</v>
      </c>
      <c r="G324" s="5" t="n">
        <v>82</v>
      </c>
      <c r="H324" s="5" t="s">
        <v>1353</v>
      </c>
      <c r="I324" s="4" t="s">
        <v>1837</v>
      </c>
      <c r="J324" s="4" t="s">
        <v>131</v>
      </c>
    </row>
    <row r="325" customFormat="false" ht="15" hidden="false" customHeight="false" outlineLevel="0" collapsed="false">
      <c r="A325" s="5" t="n">
        <v>43455</v>
      </c>
      <c r="B325" s="5" t="s">
        <v>70</v>
      </c>
      <c r="C325" s="5" t="s">
        <v>1720</v>
      </c>
      <c r="D325" s="4" t="s">
        <v>30</v>
      </c>
      <c r="E325" s="4" t="s">
        <v>1351</v>
      </c>
      <c r="F325" s="4" t="s">
        <v>1352</v>
      </c>
      <c r="G325" s="5" t="n">
        <v>59</v>
      </c>
      <c r="H325" s="5" t="s">
        <v>1353</v>
      </c>
      <c r="I325" s="4" t="s">
        <v>1838</v>
      </c>
      <c r="J325" s="4" t="s">
        <v>131</v>
      </c>
    </row>
    <row r="326" customFormat="false" ht="15" hidden="false" customHeight="false" outlineLevel="0" collapsed="false">
      <c r="A326" s="5" t="n">
        <v>43456</v>
      </c>
      <c r="B326" s="5" t="s">
        <v>70</v>
      </c>
      <c r="C326" s="5" t="s">
        <v>1839</v>
      </c>
      <c r="D326" s="4" t="s">
        <v>30</v>
      </c>
      <c r="E326" s="4" t="s">
        <v>1351</v>
      </c>
      <c r="F326" s="4" t="s">
        <v>1356</v>
      </c>
      <c r="G326" s="5" t="n">
        <v>93</v>
      </c>
      <c r="H326" s="5" t="s">
        <v>1353</v>
      </c>
      <c r="I326" s="4" t="s">
        <v>1840</v>
      </c>
      <c r="J326" s="4" t="s">
        <v>131</v>
      </c>
    </row>
    <row r="327" customFormat="false" ht="15" hidden="false" customHeight="false" outlineLevel="0" collapsed="false">
      <c r="A327" s="5" t="n">
        <v>43417</v>
      </c>
      <c r="B327" s="5" t="s">
        <v>70</v>
      </c>
      <c r="C327" s="5" t="s">
        <v>690</v>
      </c>
      <c r="D327" s="4" t="s">
        <v>18</v>
      </c>
      <c r="E327" s="4" t="s">
        <v>1351</v>
      </c>
      <c r="F327" s="4" t="s">
        <v>1356</v>
      </c>
      <c r="G327" s="5" t="n">
        <v>71</v>
      </c>
      <c r="H327" s="5" t="s">
        <v>1353</v>
      </c>
      <c r="I327" s="4" t="s">
        <v>1841</v>
      </c>
      <c r="J327" s="4" t="s">
        <v>131</v>
      </c>
    </row>
    <row r="328" customFormat="false" ht="15" hidden="false" customHeight="false" outlineLevel="0" collapsed="false">
      <c r="A328" s="5" t="n">
        <v>39322</v>
      </c>
      <c r="B328" s="5" t="s">
        <v>70</v>
      </c>
      <c r="C328" s="5" t="s">
        <v>1488</v>
      </c>
      <c r="D328" s="4" t="s">
        <v>18</v>
      </c>
      <c r="E328" s="4" t="s">
        <v>1351</v>
      </c>
      <c r="F328" s="4" t="s">
        <v>1352</v>
      </c>
      <c r="G328" s="5" t="n">
        <v>88</v>
      </c>
      <c r="H328" s="5" t="s">
        <v>1353</v>
      </c>
      <c r="I328" s="4" t="s">
        <v>1842</v>
      </c>
      <c r="J328" s="4" t="s">
        <v>131</v>
      </c>
    </row>
    <row r="329" customFormat="false" ht="15" hidden="false" customHeight="false" outlineLevel="0" collapsed="false">
      <c r="A329" s="5" t="n">
        <v>43457</v>
      </c>
      <c r="B329" s="5" t="s">
        <v>71</v>
      </c>
      <c r="C329" s="5" t="s">
        <v>1843</v>
      </c>
      <c r="D329" s="4" t="s">
        <v>34</v>
      </c>
      <c r="E329" s="4" t="s">
        <v>1351</v>
      </c>
      <c r="F329" s="4" t="s">
        <v>1352</v>
      </c>
      <c r="G329" s="5" t="n">
        <v>95</v>
      </c>
      <c r="H329" s="5" t="s">
        <v>1353</v>
      </c>
      <c r="I329" s="4" t="s">
        <v>1689</v>
      </c>
      <c r="J329" s="4" t="s">
        <v>131</v>
      </c>
    </row>
    <row r="330" customFormat="false" ht="15" hidden="false" customHeight="false" outlineLevel="0" collapsed="false">
      <c r="A330" s="5" t="n">
        <v>43060</v>
      </c>
      <c r="B330" s="5" t="s">
        <v>71</v>
      </c>
      <c r="C330" s="5" t="s">
        <v>1844</v>
      </c>
      <c r="D330" s="4" t="s">
        <v>34</v>
      </c>
      <c r="E330" s="4" t="s">
        <v>1351</v>
      </c>
      <c r="F330" s="4" t="s">
        <v>1352</v>
      </c>
      <c r="G330" s="5" t="n">
        <v>83</v>
      </c>
      <c r="H330" s="5" t="s">
        <v>1353</v>
      </c>
      <c r="I330" s="4" t="s">
        <v>1845</v>
      </c>
      <c r="J330" s="4" t="s">
        <v>131</v>
      </c>
    </row>
    <row r="331" customFormat="false" ht="15" hidden="false" customHeight="false" outlineLevel="0" collapsed="false">
      <c r="A331" s="5" t="n">
        <v>43116</v>
      </c>
      <c r="B331" s="5" t="s">
        <v>71</v>
      </c>
      <c r="C331" s="5" t="s">
        <v>1846</v>
      </c>
      <c r="D331" s="4" t="s">
        <v>24</v>
      </c>
      <c r="E331" s="4" t="s">
        <v>1351</v>
      </c>
      <c r="F331" s="4" t="s">
        <v>1368</v>
      </c>
      <c r="G331" s="5" t="n">
        <v>80</v>
      </c>
      <c r="H331" s="5" t="s">
        <v>1353</v>
      </c>
      <c r="I331" s="4" t="s">
        <v>1847</v>
      </c>
      <c r="J331" s="4" t="s">
        <v>131</v>
      </c>
    </row>
    <row r="332" customFormat="false" ht="15" hidden="false" customHeight="false" outlineLevel="0" collapsed="false">
      <c r="A332" s="5" t="n">
        <v>40688</v>
      </c>
      <c r="B332" s="5" t="s">
        <v>71</v>
      </c>
      <c r="C332" s="5" t="s">
        <v>1848</v>
      </c>
      <c r="D332" s="4" t="s">
        <v>24</v>
      </c>
      <c r="E332" s="4" t="s">
        <v>1351</v>
      </c>
      <c r="F332" s="4" t="s">
        <v>1356</v>
      </c>
      <c r="G332" s="5" t="n">
        <v>272</v>
      </c>
      <c r="H332" s="5" t="s">
        <v>1353</v>
      </c>
      <c r="I332" s="4" t="s">
        <v>1849</v>
      </c>
      <c r="J332" s="4" t="s">
        <v>131</v>
      </c>
    </row>
    <row r="333" customFormat="false" ht="15" hidden="false" customHeight="false" outlineLevel="0" collapsed="false">
      <c r="A333" s="5" t="n">
        <v>41048</v>
      </c>
      <c r="B333" s="5" t="s">
        <v>71</v>
      </c>
      <c r="C333" s="5" t="s">
        <v>1850</v>
      </c>
      <c r="D333" s="4" t="s">
        <v>34</v>
      </c>
      <c r="E333" s="4" t="s">
        <v>1351</v>
      </c>
      <c r="F333" s="4" t="s">
        <v>1370</v>
      </c>
      <c r="G333" s="5" t="n">
        <v>125</v>
      </c>
      <c r="H333" s="5" t="s">
        <v>1353</v>
      </c>
      <c r="I333" s="4" t="s">
        <v>1851</v>
      </c>
      <c r="J333" s="4" t="s">
        <v>131</v>
      </c>
    </row>
    <row r="334" customFormat="false" ht="15" hidden="false" customHeight="false" outlineLevel="0" collapsed="false">
      <c r="A334" s="5" t="n">
        <v>41048</v>
      </c>
      <c r="B334" s="5" t="s">
        <v>71</v>
      </c>
      <c r="C334" s="5" t="s">
        <v>1850</v>
      </c>
      <c r="D334" s="4" t="s">
        <v>34</v>
      </c>
      <c r="E334" s="4" t="s">
        <v>1351</v>
      </c>
      <c r="F334" s="4" t="s">
        <v>1377</v>
      </c>
      <c r="G334" s="5" t="n">
        <v>10</v>
      </c>
      <c r="H334" s="5" t="s">
        <v>1419</v>
      </c>
      <c r="I334" s="4" t="s">
        <v>1427</v>
      </c>
      <c r="J334" s="4" t="s">
        <v>133</v>
      </c>
    </row>
    <row r="335" customFormat="false" ht="15" hidden="false" customHeight="false" outlineLevel="0" collapsed="false">
      <c r="A335" s="5" t="n">
        <v>41583</v>
      </c>
      <c r="B335" s="5" t="s">
        <v>71</v>
      </c>
      <c r="C335" s="5" t="s">
        <v>1593</v>
      </c>
      <c r="D335" s="4" t="s">
        <v>24</v>
      </c>
      <c r="E335" s="4" t="s">
        <v>1351</v>
      </c>
      <c r="F335" s="4" t="s">
        <v>1356</v>
      </c>
      <c r="G335" s="5" t="n">
        <v>80</v>
      </c>
      <c r="H335" s="5" t="s">
        <v>1353</v>
      </c>
      <c r="I335" s="4" t="s">
        <v>1852</v>
      </c>
      <c r="J335" s="4" t="s">
        <v>131</v>
      </c>
    </row>
    <row r="336" customFormat="false" ht="15" hidden="false" customHeight="false" outlineLevel="0" collapsed="false">
      <c r="A336" s="5" t="n">
        <v>43459</v>
      </c>
      <c r="B336" s="5" t="s">
        <v>71</v>
      </c>
      <c r="C336" s="5" t="s">
        <v>1853</v>
      </c>
      <c r="D336" s="4" t="s">
        <v>18</v>
      </c>
      <c r="E336" s="4" t="s">
        <v>1351</v>
      </c>
      <c r="F336" s="4" t="s">
        <v>1671</v>
      </c>
      <c r="G336" s="5" t="n">
        <v>91</v>
      </c>
      <c r="H336" s="5" t="s">
        <v>1353</v>
      </c>
      <c r="I336" s="4" t="s">
        <v>1854</v>
      </c>
      <c r="J336" s="4" t="s">
        <v>131</v>
      </c>
    </row>
    <row r="337" customFormat="false" ht="15" hidden="false" customHeight="false" outlineLevel="0" collapsed="false">
      <c r="A337" s="5" t="n">
        <v>43460</v>
      </c>
      <c r="B337" s="5" t="s">
        <v>71</v>
      </c>
      <c r="C337" s="5" t="s">
        <v>1855</v>
      </c>
      <c r="D337" s="4" t="s">
        <v>18</v>
      </c>
      <c r="E337" s="4" t="s">
        <v>1351</v>
      </c>
      <c r="F337" s="4" t="s">
        <v>1368</v>
      </c>
      <c r="G337" s="5" t="n">
        <v>79</v>
      </c>
      <c r="H337" s="5" t="s">
        <v>1353</v>
      </c>
      <c r="I337" s="4" t="s">
        <v>1856</v>
      </c>
      <c r="J337" s="4" t="s">
        <v>131</v>
      </c>
    </row>
    <row r="338" customFormat="false" ht="15" hidden="false" customHeight="false" outlineLevel="0" collapsed="false">
      <c r="A338" s="5" t="n">
        <v>43461</v>
      </c>
      <c r="B338" s="5" t="s">
        <v>71</v>
      </c>
      <c r="C338" s="5" t="s">
        <v>979</v>
      </c>
      <c r="D338" s="4" t="s">
        <v>34</v>
      </c>
      <c r="E338" s="4" t="s">
        <v>1351</v>
      </c>
      <c r="F338" s="4" t="s">
        <v>1356</v>
      </c>
      <c r="G338" s="5" t="n">
        <v>131</v>
      </c>
      <c r="H338" s="5" t="s">
        <v>1353</v>
      </c>
      <c r="I338" s="4" t="s">
        <v>1857</v>
      </c>
      <c r="J338" s="4" t="s">
        <v>131</v>
      </c>
    </row>
    <row r="339" customFormat="false" ht="15" hidden="false" customHeight="false" outlineLevel="0" collapsed="false">
      <c r="A339" s="5" t="n">
        <v>38393</v>
      </c>
      <c r="B339" s="5" t="s">
        <v>71</v>
      </c>
      <c r="C339" s="5" t="s">
        <v>983</v>
      </c>
      <c r="D339" s="4" t="s">
        <v>34</v>
      </c>
      <c r="E339" s="4" t="s">
        <v>1351</v>
      </c>
      <c r="F339" s="4" t="s">
        <v>1356</v>
      </c>
      <c r="G339" s="5" t="n">
        <v>121</v>
      </c>
      <c r="H339" s="5" t="s">
        <v>1353</v>
      </c>
      <c r="I339" s="4" t="s">
        <v>1858</v>
      </c>
      <c r="J339" s="4" t="s">
        <v>131</v>
      </c>
    </row>
    <row r="340" customFormat="false" ht="15" hidden="false" customHeight="false" outlineLevel="0" collapsed="false">
      <c r="A340" s="5" t="n">
        <v>43462</v>
      </c>
      <c r="B340" s="5" t="s">
        <v>71</v>
      </c>
      <c r="C340" s="5" t="s">
        <v>660</v>
      </c>
      <c r="D340" s="4" t="s">
        <v>18</v>
      </c>
      <c r="E340" s="4" t="s">
        <v>1351</v>
      </c>
      <c r="F340" s="4" t="s">
        <v>1368</v>
      </c>
      <c r="G340" s="5" t="n">
        <v>56</v>
      </c>
      <c r="H340" s="5" t="s">
        <v>1353</v>
      </c>
      <c r="I340" s="4" t="s">
        <v>1859</v>
      </c>
      <c r="J340" s="4" t="s">
        <v>131</v>
      </c>
    </row>
    <row r="341" customFormat="false" ht="15" hidden="false" customHeight="false" outlineLevel="0" collapsed="false">
      <c r="A341" s="5" t="n">
        <v>34951</v>
      </c>
      <c r="B341" s="5" t="s">
        <v>71</v>
      </c>
      <c r="C341" s="5" t="s">
        <v>301</v>
      </c>
      <c r="D341" s="4" t="s">
        <v>34</v>
      </c>
      <c r="E341" s="4" t="s">
        <v>1351</v>
      </c>
      <c r="F341" s="4" t="s">
        <v>1671</v>
      </c>
      <c r="G341" s="5" t="n">
        <v>54</v>
      </c>
      <c r="H341" s="5" t="s">
        <v>1353</v>
      </c>
      <c r="I341" s="4" t="s">
        <v>1860</v>
      </c>
      <c r="J341" s="4" t="s">
        <v>131</v>
      </c>
    </row>
    <row r="342" customFormat="false" ht="15" hidden="false" customHeight="false" outlineLevel="0" collapsed="false">
      <c r="A342" s="5" t="n">
        <v>34951</v>
      </c>
      <c r="B342" s="5" t="s">
        <v>71</v>
      </c>
      <c r="C342" s="5" t="s">
        <v>301</v>
      </c>
      <c r="D342" s="4" t="s">
        <v>34</v>
      </c>
      <c r="E342" s="4" t="s">
        <v>1351</v>
      </c>
      <c r="F342" s="4" t="s">
        <v>1377</v>
      </c>
      <c r="G342" s="5" t="n">
        <v>10</v>
      </c>
      <c r="H342" s="5" t="s">
        <v>1419</v>
      </c>
      <c r="I342" s="4" t="s">
        <v>1427</v>
      </c>
      <c r="J342" s="4" t="s">
        <v>133</v>
      </c>
    </row>
    <row r="343" customFormat="false" ht="15" hidden="false" customHeight="false" outlineLevel="0" collapsed="false">
      <c r="A343" s="5" t="n">
        <v>34951</v>
      </c>
      <c r="B343" s="5" t="s">
        <v>71</v>
      </c>
      <c r="C343" s="5" t="s">
        <v>301</v>
      </c>
      <c r="D343" s="4" t="s">
        <v>34</v>
      </c>
      <c r="E343" s="4" t="s">
        <v>1418</v>
      </c>
      <c r="F343" s="4"/>
      <c r="G343" s="5" t="n">
        <v>0</v>
      </c>
      <c r="H343" s="5" t="s">
        <v>1419</v>
      </c>
      <c r="I343" s="4"/>
      <c r="J343" s="4" t="s">
        <v>134</v>
      </c>
    </row>
    <row r="344" customFormat="false" ht="15" hidden="false" customHeight="false" outlineLevel="0" collapsed="false">
      <c r="A344" s="5" t="n">
        <v>34950</v>
      </c>
      <c r="B344" s="5" t="s">
        <v>71</v>
      </c>
      <c r="C344" s="5" t="s">
        <v>1705</v>
      </c>
      <c r="D344" s="4" t="s">
        <v>34</v>
      </c>
      <c r="E344" s="4" t="s">
        <v>1351</v>
      </c>
      <c r="F344" s="4" t="s">
        <v>1356</v>
      </c>
      <c r="G344" s="5" t="n">
        <v>81</v>
      </c>
      <c r="H344" s="5" t="s">
        <v>1353</v>
      </c>
      <c r="I344" s="4" t="s">
        <v>1861</v>
      </c>
      <c r="J344" s="4" t="s">
        <v>131</v>
      </c>
    </row>
    <row r="345" customFormat="false" ht="15" hidden="false" customHeight="false" outlineLevel="0" collapsed="false">
      <c r="A345" s="5" t="n">
        <v>34950</v>
      </c>
      <c r="B345" s="5" t="s">
        <v>71</v>
      </c>
      <c r="C345" s="5" t="s">
        <v>1705</v>
      </c>
      <c r="D345" s="4" t="s">
        <v>34</v>
      </c>
      <c r="E345" s="4" t="s">
        <v>1418</v>
      </c>
      <c r="F345" s="4"/>
      <c r="G345" s="5" t="n">
        <v>0</v>
      </c>
      <c r="H345" s="5" t="s">
        <v>1419</v>
      </c>
      <c r="I345" s="4"/>
      <c r="J345" s="4" t="s">
        <v>134</v>
      </c>
    </row>
    <row r="346" customFormat="false" ht="15" hidden="false" customHeight="false" outlineLevel="0" collapsed="false">
      <c r="A346" s="5" t="n">
        <v>27674</v>
      </c>
      <c r="B346" s="5" t="s">
        <v>71</v>
      </c>
      <c r="C346" s="5" t="s">
        <v>1521</v>
      </c>
      <c r="D346" s="4" t="s">
        <v>34</v>
      </c>
      <c r="E346" s="4" t="s">
        <v>1351</v>
      </c>
      <c r="F346" s="4" t="s">
        <v>1356</v>
      </c>
      <c r="G346" s="5" t="n">
        <v>138</v>
      </c>
      <c r="H346" s="5" t="s">
        <v>1353</v>
      </c>
      <c r="I346" s="4" t="s">
        <v>1862</v>
      </c>
      <c r="J346" s="4" t="s">
        <v>131</v>
      </c>
    </row>
    <row r="347" customFormat="false" ht="15" hidden="false" customHeight="false" outlineLevel="0" collapsed="false">
      <c r="A347" s="5" t="n">
        <v>41343</v>
      </c>
      <c r="B347" s="5" t="s">
        <v>71</v>
      </c>
      <c r="C347" s="5" t="s">
        <v>1209</v>
      </c>
      <c r="D347" s="4" t="s">
        <v>34</v>
      </c>
      <c r="E347" s="4" t="s">
        <v>1351</v>
      </c>
      <c r="F347" s="4" t="s">
        <v>1356</v>
      </c>
      <c r="G347" s="5" t="n">
        <v>184</v>
      </c>
      <c r="H347" s="5" t="s">
        <v>1353</v>
      </c>
      <c r="I347" s="4" t="s">
        <v>1863</v>
      </c>
      <c r="J347" s="4" t="s">
        <v>131</v>
      </c>
    </row>
    <row r="348" customFormat="false" ht="15" hidden="false" customHeight="false" outlineLevel="0" collapsed="false">
      <c r="A348" s="5" t="n">
        <v>37876</v>
      </c>
      <c r="B348" s="5" t="s">
        <v>71</v>
      </c>
      <c r="C348" s="5" t="s">
        <v>1864</v>
      </c>
      <c r="D348" s="4" t="s">
        <v>34</v>
      </c>
      <c r="E348" s="4" t="s">
        <v>1351</v>
      </c>
      <c r="F348" s="4" t="s">
        <v>1671</v>
      </c>
      <c r="G348" s="5" t="n">
        <v>76</v>
      </c>
      <c r="H348" s="5" t="s">
        <v>1353</v>
      </c>
      <c r="I348" s="4" t="s">
        <v>1865</v>
      </c>
      <c r="J348" s="4" t="s">
        <v>131</v>
      </c>
    </row>
    <row r="349" customFormat="false" ht="15" hidden="false" customHeight="false" outlineLevel="0" collapsed="false">
      <c r="A349" s="5" t="n">
        <v>37876</v>
      </c>
      <c r="B349" s="5" t="s">
        <v>71</v>
      </c>
      <c r="C349" s="5" t="s">
        <v>1866</v>
      </c>
      <c r="D349" s="4" t="s">
        <v>34</v>
      </c>
      <c r="E349" s="4" t="s">
        <v>1351</v>
      </c>
      <c r="F349" s="4" t="s">
        <v>1377</v>
      </c>
      <c r="G349" s="5" t="n">
        <v>10</v>
      </c>
      <c r="H349" s="5" t="s">
        <v>1419</v>
      </c>
      <c r="I349" s="4" t="s">
        <v>1427</v>
      </c>
      <c r="J349" s="4" t="s">
        <v>133</v>
      </c>
    </row>
    <row r="350" customFormat="false" ht="15" hidden="false" customHeight="false" outlineLevel="0" collapsed="false">
      <c r="A350" s="5" t="n">
        <v>25743</v>
      </c>
      <c r="B350" s="5" t="s">
        <v>71</v>
      </c>
      <c r="C350" s="5" t="s">
        <v>1867</v>
      </c>
      <c r="D350" s="4" t="s">
        <v>34</v>
      </c>
      <c r="E350" s="4" t="s">
        <v>1351</v>
      </c>
      <c r="F350" s="4" t="s">
        <v>1356</v>
      </c>
      <c r="G350" s="5" t="n">
        <v>113</v>
      </c>
      <c r="H350" s="5" t="s">
        <v>1353</v>
      </c>
      <c r="I350" s="4" t="s">
        <v>1868</v>
      </c>
      <c r="J350" s="4" t="s">
        <v>131</v>
      </c>
    </row>
    <row r="351" customFormat="false" ht="15" hidden="false" customHeight="false" outlineLevel="0" collapsed="false">
      <c r="A351" s="5" t="n">
        <v>31374</v>
      </c>
      <c r="B351" s="5" t="s">
        <v>71</v>
      </c>
      <c r="C351" s="5" t="s">
        <v>513</v>
      </c>
      <c r="D351" s="4" t="s">
        <v>34</v>
      </c>
      <c r="E351" s="4" t="s">
        <v>1351</v>
      </c>
      <c r="F351" s="4" t="s">
        <v>1671</v>
      </c>
      <c r="G351" s="5" t="n">
        <v>101</v>
      </c>
      <c r="H351" s="5" t="s">
        <v>1353</v>
      </c>
      <c r="I351" s="4" t="s">
        <v>1869</v>
      </c>
      <c r="J351" s="4" t="s">
        <v>131</v>
      </c>
    </row>
    <row r="352" customFormat="false" ht="15" hidden="false" customHeight="false" outlineLevel="0" collapsed="false">
      <c r="A352" s="5" t="n">
        <v>31374</v>
      </c>
      <c r="B352" s="5" t="s">
        <v>71</v>
      </c>
      <c r="C352" s="5" t="s">
        <v>744</v>
      </c>
      <c r="D352" s="4" t="s">
        <v>34</v>
      </c>
      <c r="E352" s="4" t="s">
        <v>1351</v>
      </c>
      <c r="F352" s="4" t="s">
        <v>1377</v>
      </c>
      <c r="G352" s="5" t="n">
        <v>10</v>
      </c>
      <c r="H352" s="5" t="s">
        <v>1419</v>
      </c>
      <c r="I352" s="4" t="s">
        <v>1427</v>
      </c>
      <c r="J352" s="4" t="s">
        <v>133</v>
      </c>
    </row>
    <row r="353" customFormat="false" ht="15" hidden="false" customHeight="false" outlineLevel="0" collapsed="false">
      <c r="A353" s="5" t="n">
        <v>40690</v>
      </c>
      <c r="B353" s="5" t="s">
        <v>71</v>
      </c>
      <c r="C353" s="5" t="s">
        <v>1608</v>
      </c>
      <c r="D353" s="4" t="s">
        <v>20</v>
      </c>
      <c r="E353" s="4" t="s">
        <v>1418</v>
      </c>
      <c r="F353" s="4"/>
      <c r="G353" s="5" t="n">
        <v>0</v>
      </c>
      <c r="H353" s="5" t="s">
        <v>1419</v>
      </c>
      <c r="I353" s="4"/>
      <c r="J353" s="4" t="s">
        <v>134</v>
      </c>
    </row>
    <row r="354" customFormat="false" ht="15" hidden="false" customHeight="false" outlineLevel="0" collapsed="false">
      <c r="A354" s="5" t="n">
        <v>40690</v>
      </c>
      <c r="B354" s="5" t="s">
        <v>71</v>
      </c>
      <c r="C354" s="5" t="s">
        <v>1608</v>
      </c>
      <c r="D354" s="4" t="s">
        <v>20</v>
      </c>
      <c r="E354" s="4" t="s">
        <v>1351</v>
      </c>
      <c r="F354" s="4" t="s">
        <v>1352</v>
      </c>
      <c r="G354" s="5" t="n">
        <v>89</v>
      </c>
      <c r="H354" s="5" t="s">
        <v>1353</v>
      </c>
      <c r="I354" s="4" t="s">
        <v>1870</v>
      </c>
      <c r="J354" s="4" t="s">
        <v>131</v>
      </c>
    </row>
    <row r="355" customFormat="false" ht="15" hidden="false" customHeight="false" outlineLevel="0" collapsed="false">
      <c r="A355" s="5" t="n">
        <v>43464</v>
      </c>
      <c r="B355" s="5" t="s">
        <v>71</v>
      </c>
      <c r="C355" s="5" t="s">
        <v>663</v>
      </c>
      <c r="D355" s="4" t="s">
        <v>20</v>
      </c>
      <c r="E355" s="4" t="s">
        <v>1351</v>
      </c>
      <c r="F355" s="4" t="s">
        <v>1352</v>
      </c>
      <c r="G355" s="5" t="n">
        <v>83</v>
      </c>
      <c r="H355" s="5" t="s">
        <v>1353</v>
      </c>
      <c r="I355" s="4" t="s">
        <v>1871</v>
      </c>
      <c r="J355" s="4" t="s">
        <v>131</v>
      </c>
    </row>
    <row r="356" customFormat="false" ht="15" hidden="false" customHeight="false" outlineLevel="0" collapsed="false">
      <c r="A356" s="5" t="n">
        <v>43465</v>
      </c>
      <c r="B356" s="5" t="s">
        <v>71</v>
      </c>
      <c r="C356" s="5" t="s">
        <v>665</v>
      </c>
      <c r="D356" s="4" t="s">
        <v>20</v>
      </c>
      <c r="E356" s="4" t="s">
        <v>1351</v>
      </c>
      <c r="F356" s="4" t="s">
        <v>1356</v>
      </c>
      <c r="G356" s="5" t="n">
        <v>67</v>
      </c>
      <c r="H356" s="5" t="s">
        <v>1353</v>
      </c>
      <c r="I356" s="4" t="s">
        <v>1872</v>
      </c>
      <c r="J356" s="4" t="s">
        <v>131</v>
      </c>
    </row>
    <row r="357" customFormat="false" ht="15" hidden="false" customHeight="false" outlineLevel="0" collapsed="false">
      <c r="A357" s="5" t="n">
        <v>40725</v>
      </c>
      <c r="B357" s="5" t="s">
        <v>71</v>
      </c>
      <c r="C357" s="5" t="s">
        <v>1048</v>
      </c>
      <c r="D357" s="4" t="s">
        <v>20</v>
      </c>
      <c r="E357" s="4" t="s">
        <v>1351</v>
      </c>
      <c r="F357" s="4" t="s">
        <v>1352</v>
      </c>
      <c r="G357" s="5" t="n">
        <v>75</v>
      </c>
      <c r="H357" s="5" t="s">
        <v>1353</v>
      </c>
      <c r="I357" s="4" t="s">
        <v>1873</v>
      </c>
      <c r="J357" s="4" t="s">
        <v>131</v>
      </c>
    </row>
    <row r="358" customFormat="false" ht="15" hidden="false" customHeight="false" outlineLevel="0" collapsed="false">
      <c r="A358" s="5" t="n">
        <v>41512</v>
      </c>
      <c r="B358" s="5" t="s">
        <v>71</v>
      </c>
      <c r="C358" s="5" t="s">
        <v>1545</v>
      </c>
      <c r="D358" s="4" t="s">
        <v>20</v>
      </c>
      <c r="E358" s="4" t="s">
        <v>1351</v>
      </c>
      <c r="F358" s="4" t="s">
        <v>1352</v>
      </c>
      <c r="G358" s="5" t="n">
        <v>110</v>
      </c>
      <c r="H358" s="5" t="s">
        <v>1353</v>
      </c>
      <c r="I358" s="4" t="s">
        <v>1874</v>
      </c>
      <c r="J358" s="4" t="s">
        <v>131</v>
      </c>
    </row>
    <row r="359" customFormat="false" ht="15" hidden="false" customHeight="false" outlineLevel="0" collapsed="false">
      <c r="A359" s="5" t="n">
        <v>25992</v>
      </c>
      <c r="B359" s="5" t="s">
        <v>71</v>
      </c>
      <c r="C359" s="5" t="s">
        <v>1545</v>
      </c>
      <c r="D359" s="4" t="s">
        <v>34</v>
      </c>
      <c r="E359" s="4" t="s">
        <v>1351</v>
      </c>
      <c r="F359" s="4" t="s">
        <v>1356</v>
      </c>
      <c r="G359" s="5" t="n">
        <v>144</v>
      </c>
      <c r="H359" s="5" t="s">
        <v>1353</v>
      </c>
      <c r="I359" s="4" t="s">
        <v>1875</v>
      </c>
      <c r="J359" s="4" t="s">
        <v>131</v>
      </c>
    </row>
    <row r="360" customFormat="false" ht="15" hidden="false" customHeight="false" outlineLevel="0" collapsed="false">
      <c r="A360" s="5" t="n">
        <v>34178</v>
      </c>
      <c r="B360" s="5" t="s">
        <v>71</v>
      </c>
      <c r="C360" s="5" t="s">
        <v>409</v>
      </c>
      <c r="D360" s="4" t="s">
        <v>34</v>
      </c>
      <c r="E360" s="4" t="s">
        <v>1351</v>
      </c>
      <c r="F360" s="4" t="s">
        <v>1356</v>
      </c>
      <c r="G360" s="5" t="n">
        <v>194</v>
      </c>
      <c r="H360" s="5" t="s">
        <v>1353</v>
      </c>
      <c r="I360" s="4" t="s">
        <v>1876</v>
      </c>
      <c r="J360" s="4" t="s">
        <v>131</v>
      </c>
    </row>
    <row r="361" customFormat="false" ht="15" hidden="false" customHeight="false" outlineLevel="0" collapsed="false">
      <c r="A361" s="5" t="n">
        <v>34175</v>
      </c>
      <c r="B361" s="5" t="s">
        <v>71</v>
      </c>
      <c r="C361" s="5" t="s">
        <v>1613</v>
      </c>
      <c r="D361" s="4" t="s">
        <v>34</v>
      </c>
      <c r="E361" s="4" t="s">
        <v>1351</v>
      </c>
      <c r="F361" s="4" t="s">
        <v>1356</v>
      </c>
      <c r="G361" s="5" t="n">
        <v>121</v>
      </c>
      <c r="H361" s="5" t="s">
        <v>1353</v>
      </c>
      <c r="I361" s="4" t="s">
        <v>1877</v>
      </c>
      <c r="J361" s="4" t="s">
        <v>131</v>
      </c>
    </row>
    <row r="362" customFormat="false" ht="15" hidden="false" customHeight="false" outlineLevel="0" collapsed="false">
      <c r="A362" s="5" t="n">
        <v>41280</v>
      </c>
      <c r="B362" s="5" t="s">
        <v>71</v>
      </c>
      <c r="C362" s="5" t="s">
        <v>1878</v>
      </c>
      <c r="D362" s="4" t="s">
        <v>34</v>
      </c>
      <c r="E362" s="4" t="s">
        <v>1351</v>
      </c>
      <c r="F362" s="4" t="s">
        <v>1671</v>
      </c>
      <c r="G362" s="5" t="n">
        <v>88</v>
      </c>
      <c r="H362" s="5" t="s">
        <v>1353</v>
      </c>
      <c r="I362" s="4" t="s">
        <v>1879</v>
      </c>
      <c r="J362" s="4" t="s">
        <v>131</v>
      </c>
    </row>
    <row r="363" customFormat="false" ht="15" hidden="false" customHeight="false" outlineLevel="0" collapsed="false">
      <c r="A363" s="5" t="n">
        <v>41280</v>
      </c>
      <c r="B363" s="5" t="s">
        <v>71</v>
      </c>
      <c r="C363" s="5" t="s">
        <v>1878</v>
      </c>
      <c r="D363" s="4" t="s">
        <v>34</v>
      </c>
      <c r="E363" s="4" t="s">
        <v>1351</v>
      </c>
      <c r="F363" s="4" t="s">
        <v>1356</v>
      </c>
      <c r="G363" s="5" t="n">
        <v>12</v>
      </c>
      <c r="H363" s="5" t="s">
        <v>1419</v>
      </c>
      <c r="I363" s="4" t="s">
        <v>1484</v>
      </c>
      <c r="J363" s="4" t="s">
        <v>133</v>
      </c>
    </row>
    <row r="364" customFormat="false" ht="15" hidden="false" customHeight="false" outlineLevel="0" collapsed="false">
      <c r="A364" s="5" t="n">
        <v>41281</v>
      </c>
      <c r="B364" s="5" t="s">
        <v>71</v>
      </c>
      <c r="C364" s="5" t="s">
        <v>1880</v>
      </c>
      <c r="D364" s="4" t="s">
        <v>34</v>
      </c>
      <c r="E364" s="4" t="s">
        <v>1351</v>
      </c>
      <c r="F364" s="4" t="s">
        <v>1356</v>
      </c>
      <c r="G364" s="5" t="n">
        <v>90</v>
      </c>
      <c r="H364" s="5" t="s">
        <v>1353</v>
      </c>
      <c r="I364" s="4" t="s">
        <v>1881</v>
      </c>
      <c r="J364" s="4" t="s">
        <v>131</v>
      </c>
    </row>
    <row r="365" customFormat="false" ht="15" hidden="false" customHeight="false" outlineLevel="0" collapsed="false">
      <c r="A365" s="5" t="n">
        <v>40872</v>
      </c>
      <c r="B365" s="5" t="s">
        <v>71</v>
      </c>
      <c r="C365" s="5" t="s">
        <v>1882</v>
      </c>
      <c r="D365" s="4" t="s">
        <v>22</v>
      </c>
      <c r="E365" s="4" t="s">
        <v>1351</v>
      </c>
      <c r="F365" s="4" t="s">
        <v>1356</v>
      </c>
      <c r="G365" s="5" t="n">
        <v>50</v>
      </c>
      <c r="H365" s="5" t="s">
        <v>1353</v>
      </c>
      <c r="I365" s="4" t="s">
        <v>1883</v>
      </c>
      <c r="J365" s="4" t="s">
        <v>131</v>
      </c>
    </row>
    <row r="366" customFormat="false" ht="15" hidden="false" customHeight="false" outlineLevel="0" collapsed="false">
      <c r="A366" s="5" t="n">
        <v>40782</v>
      </c>
      <c r="B366" s="5" t="s">
        <v>71</v>
      </c>
      <c r="C366" s="5" t="s">
        <v>1884</v>
      </c>
      <c r="D366" s="4" t="s">
        <v>22</v>
      </c>
      <c r="E366" s="4" t="s">
        <v>1351</v>
      </c>
      <c r="F366" s="4" t="s">
        <v>1356</v>
      </c>
      <c r="G366" s="5" t="n">
        <v>51</v>
      </c>
      <c r="H366" s="5" t="s">
        <v>1353</v>
      </c>
      <c r="I366" s="4" t="s">
        <v>1885</v>
      </c>
      <c r="J366" s="4" t="s">
        <v>131</v>
      </c>
    </row>
    <row r="367" customFormat="false" ht="15" hidden="false" customHeight="false" outlineLevel="0" collapsed="false">
      <c r="A367" s="5" t="n">
        <v>41443</v>
      </c>
      <c r="B367" s="5" t="s">
        <v>71</v>
      </c>
      <c r="C367" s="5" t="s">
        <v>1886</v>
      </c>
      <c r="D367" s="4" t="s">
        <v>22</v>
      </c>
      <c r="E367" s="4" t="s">
        <v>1351</v>
      </c>
      <c r="F367" s="4" t="s">
        <v>1356</v>
      </c>
      <c r="G367" s="5" t="n">
        <v>56</v>
      </c>
      <c r="H367" s="5" t="s">
        <v>1353</v>
      </c>
      <c r="I367" s="4" t="s">
        <v>1887</v>
      </c>
      <c r="J367" s="4" t="s">
        <v>131</v>
      </c>
    </row>
    <row r="368" customFormat="false" ht="15" hidden="false" customHeight="false" outlineLevel="0" collapsed="false">
      <c r="A368" s="5" t="n">
        <v>32916</v>
      </c>
      <c r="B368" s="5" t="s">
        <v>71</v>
      </c>
      <c r="C368" s="5" t="s">
        <v>1101</v>
      </c>
      <c r="D368" s="4" t="s">
        <v>28</v>
      </c>
      <c r="E368" s="4" t="s">
        <v>1351</v>
      </c>
      <c r="F368" s="4" t="s">
        <v>1671</v>
      </c>
      <c r="G368" s="5" t="n">
        <v>69</v>
      </c>
      <c r="H368" s="5" t="s">
        <v>1353</v>
      </c>
      <c r="I368" s="4" t="s">
        <v>1888</v>
      </c>
      <c r="J368" s="4" t="s">
        <v>131</v>
      </c>
    </row>
    <row r="369" customFormat="false" ht="15" hidden="false" customHeight="false" outlineLevel="0" collapsed="false">
      <c r="A369" s="5" t="n">
        <v>9025</v>
      </c>
      <c r="B369" s="5" t="s">
        <v>71</v>
      </c>
      <c r="C369" s="5" t="s">
        <v>565</v>
      </c>
      <c r="D369" s="4" t="s">
        <v>32</v>
      </c>
      <c r="E369" s="4" t="s">
        <v>1351</v>
      </c>
      <c r="F369" s="4" t="s">
        <v>1356</v>
      </c>
      <c r="G369" s="5" t="n">
        <v>52</v>
      </c>
      <c r="H369" s="5" t="s">
        <v>1353</v>
      </c>
      <c r="I369" s="4" t="s">
        <v>1889</v>
      </c>
      <c r="J369" s="4" t="s">
        <v>131</v>
      </c>
    </row>
    <row r="370" customFormat="false" ht="15" hidden="false" customHeight="false" outlineLevel="0" collapsed="false">
      <c r="A370" s="5" t="n">
        <v>40845</v>
      </c>
      <c r="B370" s="5" t="s">
        <v>71</v>
      </c>
      <c r="C370" s="5" t="s">
        <v>1890</v>
      </c>
      <c r="D370" s="4" t="s">
        <v>32</v>
      </c>
      <c r="E370" s="4" t="s">
        <v>1351</v>
      </c>
      <c r="F370" s="4" t="s">
        <v>1356</v>
      </c>
      <c r="G370" s="5" t="n">
        <v>67</v>
      </c>
      <c r="H370" s="5" t="s">
        <v>1353</v>
      </c>
      <c r="I370" s="4" t="s">
        <v>1891</v>
      </c>
      <c r="J370" s="4" t="s">
        <v>131</v>
      </c>
    </row>
    <row r="371" customFormat="false" ht="15" hidden="false" customHeight="false" outlineLevel="0" collapsed="false">
      <c r="A371" s="5" t="n">
        <v>43466</v>
      </c>
      <c r="B371" s="5" t="s">
        <v>71</v>
      </c>
      <c r="C371" s="5" t="s">
        <v>1407</v>
      </c>
      <c r="D371" s="4" t="s">
        <v>32</v>
      </c>
      <c r="E371" s="4" t="s">
        <v>1351</v>
      </c>
      <c r="F371" s="4" t="s">
        <v>1356</v>
      </c>
      <c r="G371" s="5" t="n">
        <v>58</v>
      </c>
      <c r="H371" s="5" t="s">
        <v>1353</v>
      </c>
      <c r="I371" s="4" t="s">
        <v>1892</v>
      </c>
      <c r="J371" s="4" t="s">
        <v>131</v>
      </c>
    </row>
    <row r="372" customFormat="false" ht="15" hidden="false" customHeight="false" outlineLevel="0" collapsed="false">
      <c r="A372" s="5" t="n">
        <v>32001</v>
      </c>
      <c r="B372" s="5" t="s">
        <v>71</v>
      </c>
      <c r="C372" s="5" t="s">
        <v>1893</v>
      </c>
      <c r="D372" s="4" t="s">
        <v>32</v>
      </c>
      <c r="E372" s="4" t="s">
        <v>1351</v>
      </c>
      <c r="F372" s="4" t="s">
        <v>1356</v>
      </c>
      <c r="G372" s="5" t="n">
        <v>55</v>
      </c>
      <c r="H372" s="5" t="s">
        <v>1353</v>
      </c>
      <c r="I372" s="4" t="s">
        <v>1894</v>
      </c>
      <c r="J372" s="4" t="s">
        <v>131</v>
      </c>
    </row>
    <row r="373" customFormat="false" ht="15" hidden="false" customHeight="false" outlineLevel="0" collapsed="false">
      <c r="A373" s="5" t="n">
        <v>41466</v>
      </c>
      <c r="B373" s="5" t="s">
        <v>71</v>
      </c>
      <c r="C373" s="5" t="s">
        <v>1895</v>
      </c>
      <c r="D373" s="4" t="s">
        <v>32</v>
      </c>
      <c r="E373" s="4" t="s">
        <v>1351</v>
      </c>
      <c r="F373" s="4" t="s">
        <v>1356</v>
      </c>
      <c r="G373" s="5" t="n">
        <v>74</v>
      </c>
      <c r="H373" s="5" t="s">
        <v>1353</v>
      </c>
      <c r="I373" s="4" t="s">
        <v>1896</v>
      </c>
      <c r="J373" s="4" t="s">
        <v>131</v>
      </c>
    </row>
    <row r="374" customFormat="false" ht="15" hidden="false" customHeight="false" outlineLevel="0" collapsed="false">
      <c r="A374" s="5" t="n">
        <v>43467</v>
      </c>
      <c r="B374" s="5" t="s">
        <v>71</v>
      </c>
      <c r="C374" s="5" t="s">
        <v>672</v>
      </c>
      <c r="D374" s="4" t="s">
        <v>32</v>
      </c>
      <c r="E374" s="4" t="s">
        <v>1351</v>
      </c>
      <c r="F374" s="4" t="s">
        <v>1352</v>
      </c>
      <c r="G374" s="5" t="n">
        <v>84</v>
      </c>
      <c r="H374" s="5" t="s">
        <v>1353</v>
      </c>
      <c r="I374" s="4" t="s">
        <v>1897</v>
      </c>
      <c r="J374" s="4" t="s">
        <v>131</v>
      </c>
    </row>
    <row r="375" customFormat="false" ht="15" hidden="false" customHeight="false" outlineLevel="0" collapsed="false">
      <c r="A375" s="5" t="n">
        <v>43468</v>
      </c>
      <c r="B375" s="5" t="s">
        <v>71</v>
      </c>
      <c r="C375" s="5" t="s">
        <v>452</v>
      </c>
      <c r="D375" s="4" t="s">
        <v>32</v>
      </c>
      <c r="E375" s="4" t="s">
        <v>1351</v>
      </c>
      <c r="F375" s="4" t="s">
        <v>1352</v>
      </c>
      <c r="G375" s="5" t="n">
        <v>87</v>
      </c>
      <c r="H375" s="5" t="s">
        <v>1353</v>
      </c>
      <c r="I375" s="4" t="s">
        <v>1898</v>
      </c>
      <c r="J375" s="4" t="s">
        <v>131</v>
      </c>
    </row>
    <row r="376" customFormat="false" ht="15" hidden="false" customHeight="false" outlineLevel="0" collapsed="false">
      <c r="A376" s="5" t="n">
        <v>30297</v>
      </c>
      <c r="B376" s="5" t="s">
        <v>71</v>
      </c>
      <c r="C376" s="5" t="s">
        <v>940</v>
      </c>
      <c r="D376" s="4" t="s">
        <v>32</v>
      </c>
      <c r="E376" s="4" t="s">
        <v>1351</v>
      </c>
      <c r="F376" s="4" t="s">
        <v>1352</v>
      </c>
      <c r="G376" s="5" t="n">
        <v>104</v>
      </c>
      <c r="H376" s="5" t="s">
        <v>1353</v>
      </c>
      <c r="I376" s="4" t="s">
        <v>1899</v>
      </c>
      <c r="J376" s="4" t="s">
        <v>131</v>
      </c>
    </row>
    <row r="377" customFormat="false" ht="15" hidden="false" customHeight="false" outlineLevel="0" collapsed="false">
      <c r="A377" s="5" t="n">
        <v>37738</v>
      </c>
      <c r="B377" s="5" t="s">
        <v>71</v>
      </c>
      <c r="C377" s="5" t="s">
        <v>1900</v>
      </c>
      <c r="D377" s="4" t="s">
        <v>32</v>
      </c>
      <c r="E377" s="4" t="s">
        <v>1351</v>
      </c>
      <c r="F377" s="4" t="s">
        <v>1352</v>
      </c>
      <c r="G377" s="5" t="n">
        <v>66</v>
      </c>
      <c r="H377" s="5" t="s">
        <v>1353</v>
      </c>
      <c r="I377" s="4" t="s">
        <v>1901</v>
      </c>
      <c r="J377" s="4" t="s">
        <v>131</v>
      </c>
    </row>
    <row r="378" customFormat="false" ht="15" hidden="false" customHeight="false" outlineLevel="0" collapsed="false">
      <c r="A378" s="5" t="n">
        <v>35335</v>
      </c>
      <c r="B378" s="5" t="s">
        <v>71</v>
      </c>
      <c r="C378" s="5" t="s">
        <v>1667</v>
      </c>
      <c r="D378" s="4" t="s">
        <v>34</v>
      </c>
      <c r="E378" s="4" t="s">
        <v>1351</v>
      </c>
      <c r="F378" s="4" t="s">
        <v>1370</v>
      </c>
      <c r="G378" s="5" t="n">
        <v>98</v>
      </c>
      <c r="H378" s="5" t="s">
        <v>1353</v>
      </c>
      <c r="I378" s="4" t="s">
        <v>1902</v>
      </c>
      <c r="J378" s="4" t="s">
        <v>131</v>
      </c>
    </row>
    <row r="379" customFormat="false" ht="15" hidden="false" customHeight="false" outlineLevel="0" collapsed="false">
      <c r="A379" s="5" t="n">
        <v>43469</v>
      </c>
      <c r="B379" s="5" t="s">
        <v>71</v>
      </c>
      <c r="C379" s="5" t="s">
        <v>678</v>
      </c>
      <c r="D379" s="4" t="s">
        <v>30</v>
      </c>
      <c r="E379" s="4" t="s">
        <v>1351</v>
      </c>
      <c r="F379" s="4" t="s">
        <v>1352</v>
      </c>
      <c r="G379" s="5" t="n">
        <v>36</v>
      </c>
      <c r="H379" s="5" t="s">
        <v>1397</v>
      </c>
      <c r="I379" s="4" t="s">
        <v>1903</v>
      </c>
      <c r="J379" s="4" t="s">
        <v>132</v>
      </c>
    </row>
    <row r="380" customFormat="false" ht="15" hidden="false" customHeight="false" outlineLevel="0" collapsed="false">
      <c r="A380" s="5" t="n">
        <v>43470</v>
      </c>
      <c r="B380" s="5" t="s">
        <v>71</v>
      </c>
      <c r="C380" s="5" t="s">
        <v>681</v>
      </c>
      <c r="D380" s="4" t="s">
        <v>30</v>
      </c>
      <c r="E380" s="4" t="s">
        <v>1351</v>
      </c>
      <c r="F380" s="4" t="s">
        <v>1356</v>
      </c>
      <c r="G380" s="5" t="n">
        <v>96</v>
      </c>
      <c r="H380" s="5" t="s">
        <v>1353</v>
      </c>
      <c r="I380" s="4" t="s">
        <v>1904</v>
      </c>
      <c r="J380" s="4" t="s">
        <v>131</v>
      </c>
    </row>
    <row r="381" customFormat="false" ht="15" hidden="false" customHeight="false" outlineLevel="0" collapsed="false">
      <c r="A381" s="5" t="n">
        <v>43471</v>
      </c>
      <c r="B381" s="5" t="s">
        <v>71</v>
      </c>
      <c r="C381" s="5" t="s">
        <v>1905</v>
      </c>
      <c r="D381" s="4" t="s">
        <v>30</v>
      </c>
      <c r="E381" s="4" t="s">
        <v>1351</v>
      </c>
      <c r="F381" s="4" t="s">
        <v>1356</v>
      </c>
      <c r="G381" s="5" t="n">
        <v>85</v>
      </c>
      <c r="H381" s="5" t="s">
        <v>1353</v>
      </c>
      <c r="I381" s="4" t="s">
        <v>1906</v>
      </c>
      <c r="J381" s="4" t="s">
        <v>131</v>
      </c>
    </row>
    <row r="382" customFormat="false" ht="15" hidden="false" customHeight="false" outlineLevel="0" collapsed="false">
      <c r="A382" s="5" t="n">
        <v>43472</v>
      </c>
      <c r="B382" s="5" t="s">
        <v>71</v>
      </c>
      <c r="C382" s="5" t="s">
        <v>684</v>
      </c>
      <c r="D382" s="4" t="s">
        <v>30</v>
      </c>
      <c r="E382" s="4" t="s">
        <v>1351</v>
      </c>
      <c r="F382" s="4" t="s">
        <v>1356</v>
      </c>
      <c r="G382" s="5" t="n">
        <v>34</v>
      </c>
      <c r="H382" s="5" t="s">
        <v>1397</v>
      </c>
      <c r="I382" s="4" t="s">
        <v>1907</v>
      </c>
      <c r="J382" s="4" t="s">
        <v>132</v>
      </c>
    </row>
    <row r="383" customFormat="false" ht="15" hidden="false" customHeight="false" outlineLevel="0" collapsed="false">
      <c r="A383" s="5" t="n">
        <v>43473</v>
      </c>
      <c r="B383" s="5" t="s">
        <v>71</v>
      </c>
      <c r="C383" s="5" t="s">
        <v>687</v>
      </c>
      <c r="D383" s="4" t="s">
        <v>30</v>
      </c>
      <c r="E383" s="4" t="s">
        <v>1351</v>
      </c>
      <c r="F383" s="4" t="s">
        <v>1356</v>
      </c>
      <c r="G383" s="5" t="n">
        <v>73</v>
      </c>
      <c r="H383" s="5" t="s">
        <v>1353</v>
      </c>
      <c r="I383" s="4" t="s">
        <v>1908</v>
      </c>
      <c r="J383" s="4" t="s">
        <v>131</v>
      </c>
    </row>
    <row r="384" customFormat="false" ht="15" hidden="false" customHeight="false" outlineLevel="0" collapsed="false">
      <c r="A384" s="5" t="n">
        <v>43474</v>
      </c>
      <c r="B384" s="5" t="s">
        <v>71</v>
      </c>
      <c r="C384" s="5" t="s">
        <v>1486</v>
      </c>
      <c r="D384" s="4" t="s">
        <v>30</v>
      </c>
      <c r="E384" s="4" t="s">
        <v>1351</v>
      </c>
      <c r="F384" s="4" t="s">
        <v>1356</v>
      </c>
      <c r="G384" s="5" t="n">
        <v>72</v>
      </c>
      <c r="H384" s="5" t="s">
        <v>1353</v>
      </c>
      <c r="I384" s="4" t="s">
        <v>1909</v>
      </c>
      <c r="J384" s="4" t="s">
        <v>131</v>
      </c>
    </row>
    <row r="385" customFormat="false" ht="15" hidden="false" customHeight="false" outlineLevel="0" collapsed="false">
      <c r="A385" s="5" t="n">
        <v>43475</v>
      </c>
      <c r="B385" s="5" t="s">
        <v>72</v>
      </c>
      <c r="C385" s="5" t="s">
        <v>1910</v>
      </c>
      <c r="D385" s="4" t="s">
        <v>22</v>
      </c>
      <c r="E385" s="4" t="s">
        <v>1351</v>
      </c>
      <c r="F385" s="4" t="s">
        <v>1370</v>
      </c>
      <c r="G385" s="5" t="n">
        <v>102</v>
      </c>
      <c r="H385" s="5" t="s">
        <v>1353</v>
      </c>
      <c r="I385" s="4" t="s">
        <v>1911</v>
      </c>
      <c r="J385" s="4" t="s">
        <v>131</v>
      </c>
    </row>
    <row r="386" customFormat="false" ht="15" hidden="false" customHeight="false" outlineLevel="0" collapsed="false">
      <c r="A386" s="5" t="n">
        <v>43479</v>
      </c>
      <c r="B386" s="5" t="s">
        <v>72</v>
      </c>
      <c r="C386" s="5" t="s">
        <v>1912</v>
      </c>
      <c r="D386" s="4" t="s">
        <v>22</v>
      </c>
      <c r="E386" s="4" t="s">
        <v>1351</v>
      </c>
      <c r="F386" s="4" t="s">
        <v>1356</v>
      </c>
      <c r="G386" s="5" t="n">
        <v>26</v>
      </c>
      <c r="H386" s="5" t="s">
        <v>1397</v>
      </c>
      <c r="I386" s="4" t="s">
        <v>1913</v>
      </c>
      <c r="J386" s="4" t="s">
        <v>132</v>
      </c>
    </row>
    <row r="387" customFormat="false" ht="15" hidden="false" customHeight="false" outlineLevel="0" collapsed="false">
      <c r="A387" s="5" t="n">
        <v>41650</v>
      </c>
      <c r="B387" s="5" t="s">
        <v>72</v>
      </c>
      <c r="C387" s="5" t="s">
        <v>1914</v>
      </c>
      <c r="D387" s="4" t="s">
        <v>22</v>
      </c>
      <c r="E387" s="4" t="s">
        <v>1351</v>
      </c>
      <c r="F387" s="4" t="s">
        <v>1377</v>
      </c>
      <c r="G387" s="5" t="n">
        <v>61</v>
      </c>
      <c r="H387" s="5" t="s">
        <v>1353</v>
      </c>
      <c r="I387" s="4" t="s">
        <v>1915</v>
      </c>
      <c r="J387" s="4" t="s">
        <v>131</v>
      </c>
    </row>
    <row r="388" customFormat="false" ht="15" hidden="false" customHeight="false" outlineLevel="0" collapsed="false">
      <c r="A388" s="5" t="n">
        <v>35453</v>
      </c>
      <c r="B388" s="5" t="s">
        <v>72</v>
      </c>
      <c r="C388" s="5" t="s">
        <v>1916</v>
      </c>
      <c r="D388" s="4" t="s">
        <v>34</v>
      </c>
      <c r="E388" s="4" t="s">
        <v>1351</v>
      </c>
      <c r="F388" s="4" t="s">
        <v>1352</v>
      </c>
      <c r="G388" s="5" t="n">
        <v>91</v>
      </c>
      <c r="H388" s="5" t="s">
        <v>1353</v>
      </c>
      <c r="I388" s="4" t="s">
        <v>1917</v>
      </c>
      <c r="J388" s="4" t="s">
        <v>131</v>
      </c>
    </row>
    <row r="389" customFormat="false" ht="15" hidden="false" customHeight="false" outlineLevel="0" collapsed="false">
      <c r="A389" s="5" t="n">
        <v>37554</v>
      </c>
      <c r="B389" s="5" t="s">
        <v>72</v>
      </c>
      <c r="C389" s="5" t="s">
        <v>1918</v>
      </c>
      <c r="D389" s="4" t="s">
        <v>34</v>
      </c>
      <c r="E389" s="4" t="s">
        <v>1351</v>
      </c>
      <c r="F389" s="4" t="s">
        <v>1352</v>
      </c>
      <c r="G389" s="5" t="n">
        <v>51</v>
      </c>
      <c r="H389" s="5" t="s">
        <v>1353</v>
      </c>
      <c r="I389" s="4" t="s">
        <v>1919</v>
      </c>
      <c r="J389" s="4" t="s">
        <v>131</v>
      </c>
    </row>
    <row r="390" customFormat="false" ht="15" hidden="false" customHeight="false" outlineLevel="0" collapsed="false">
      <c r="A390" s="5" t="n">
        <v>40549</v>
      </c>
      <c r="B390" s="5" t="s">
        <v>72</v>
      </c>
      <c r="C390" s="5" t="s">
        <v>1920</v>
      </c>
      <c r="D390" s="4" t="s">
        <v>34</v>
      </c>
      <c r="E390" s="4" t="s">
        <v>1351</v>
      </c>
      <c r="F390" s="4" t="s">
        <v>1352</v>
      </c>
      <c r="G390" s="5" t="n">
        <v>107</v>
      </c>
      <c r="H390" s="5" t="s">
        <v>1353</v>
      </c>
      <c r="I390" s="4" t="s">
        <v>1921</v>
      </c>
      <c r="J390" s="4" t="s">
        <v>131</v>
      </c>
    </row>
    <row r="391" customFormat="false" ht="15" hidden="false" customHeight="false" outlineLevel="0" collapsed="false">
      <c r="A391" s="5" t="n">
        <v>40145</v>
      </c>
      <c r="B391" s="5" t="s">
        <v>72</v>
      </c>
      <c r="C391" s="5" t="s">
        <v>1922</v>
      </c>
      <c r="D391" s="4" t="s">
        <v>24</v>
      </c>
      <c r="E391" s="4" t="s">
        <v>1351</v>
      </c>
      <c r="F391" s="4" t="s">
        <v>1356</v>
      </c>
      <c r="G391" s="5" t="n">
        <v>82</v>
      </c>
      <c r="H391" s="5" t="s">
        <v>1353</v>
      </c>
      <c r="I391" s="4" t="s">
        <v>1923</v>
      </c>
      <c r="J391" s="4" t="s">
        <v>131</v>
      </c>
    </row>
    <row r="392" customFormat="false" ht="15" hidden="false" customHeight="false" outlineLevel="0" collapsed="false">
      <c r="A392" s="5" t="n">
        <v>39863</v>
      </c>
      <c r="B392" s="5" t="s">
        <v>72</v>
      </c>
      <c r="C392" s="5" t="s">
        <v>1493</v>
      </c>
      <c r="D392" s="4" t="s">
        <v>24</v>
      </c>
      <c r="E392" s="4" t="s">
        <v>1351</v>
      </c>
      <c r="F392" s="4" t="s">
        <v>1356</v>
      </c>
      <c r="G392" s="5" t="n">
        <v>57</v>
      </c>
      <c r="H392" s="5" t="s">
        <v>1353</v>
      </c>
      <c r="I392" s="4" t="s">
        <v>1924</v>
      </c>
      <c r="J392" s="4" t="s">
        <v>131</v>
      </c>
    </row>
    <row r="393" customFormat="false" ht="15" hidden="false" customHeight="false" outlineLevel="0" collapsed="false">
      <c r="A393" s="5" t="n">
        <v>35173</v>
      </c>
      <c r="B393" s="5" t="s">
        <v>72</v>
      </c>
      <c r="C393" s="5" t="s">
        <v>1379</v>
      </c>
      <c r="D393" s="4" t="s">
        <v>32</v>
      </c>
      <c r="E393" s="4" t="s">
        <v>1351</v>
      </c>
      <c r="F393" s="4" t="s">
        <v>1356</v>
      </c>
      <c r="G393" s="5" t="n">
        <v>14</v>
      </c>
      <c r="H393" s="5" t="s">
        <v>1419</v>
      </c>
      <c r="I393" s="4" t="s">
        <v>1727</v>
      </c>
      <c r="J393" s="4" t="s">
        <v>133</v>
      </c>
    </row>
    <row r="394" customFormat="false" ht="15" hidden="false" customHeight="false" outlineLevel="0" collapsed="false">
      <c r="A394" s="5" t="n">
        <v>36559</v>
      </c>
      <c r="B394" s="5" t="s">
        <v>72</v>
      </c>
      <c r="C394" s="5" t="s">
        <v>1925</v>
      </c>
      <c r="D394" s="4" t="s">
        <v>20</v>
      </c>
      <c r="E394" s="4" t="s">
        <v>1351</v>
      </c>
      <c r="F394" s="4" t="s">
        <v>1352</v>
      </c>
      <c r="G394" s="5" t="n">
        <v>86</v>
      </c>
      <c r="H394" s="5" t="s">
        <v>1353</v>
      </c>
      <c r="I394" s="4" t="s">
        <v>1926</v>
      </c>
      <c r="J394" s="4" t="s">
        <v>131</v>
      </c>
    </row>
    <row r="395" customFormat="false" ht="15" hidden="false" customHeight="false" outlineLevel="0" collapsed="false">
      <c r="A395" s="5" t="n">
        <v>40644</v>
      </c>
      <c r="B395" s="5" t="s">
        <v>72</v>
      </c>
      <c r="C395" s="5" t="s">
        <v>1927</v>
      </c>
      <c r="D395" s="4" t="s">
        <v>20</v>
      </c>
      <c r="E395" s="4" t="s">
        <v>1351</v>
      </c>
      <c r="F395" s="4" t="s">
        <v>1356</v>
      </c>
      <c r="G395" s="5" t="n">
        <v>45</v>
      </c>
      <c r="H395" s="5" t="s">
        <v>1353</v>
      </c>
      <c r="I395" s="4" t="s">
        <v>1928</v>
      </c>
      <c r="J395" s="4" t="s">
        <v>131</v>
      </c>
    </row>
    <row r="396" customFormat="false" ht="15" hidden="false" customHeight="false" outlineLevel="0" collapsed="false">
      <c r="A396" s="5" t="n">
        <v>39168</v>
      </c>
      <c r="B396" s="5" t="s">
        <v>72</v>
      </c>
      <c r="C396" s="5" t="s">
        <v>848</v>
      </c>
      <c r="D396" s="4" t="s">
        <v>20</v>
      </c>
      <c r="E396" s="4" t="s">
        <v>1351</v>
      </c>
      <c r="F396" s="4" t="s">
        <v>1356</v>
      </c>
      <c r="G396" s="5" t="n">
        <v>48</v>
      </c>
      <c r="H396" s="5" t="s">
        <v>1353</v>
      </c>
      <c r="I396" s="4" t="s">
        <v>1929</v>
      </c>
      <c r="J396" s="4" t="s">
        <v>131</v>
      </c>
    </row>
    <row r="397" customFormat="false" ht="15" hidden="false" customHeight="false" outlineLevel="0" collapsed="false">
      <c r="A397" s="5" t="n">
        <v>40715</v>
      </c>
      <c r="B397" s="5" t="s">
        <v>72</v>
      </c>
      <c r="C397" s="5" t="s">
        <v>792</v>
      </c>
      <c r="D397" s="4" t="s">
        <v>20</v>
      </c>
      <c r="E397" s="4" t="s">
        <v>1351</v>
      </c>
      <c r="F397" s="4" t="s">
        <v>1356</v>
      </c>
      <c r="G397" s="5" t="n">
        <v>50</v>
      </c>
      <c r="H397" s="5" t="s">
        <v>1353</v>
      </c>
      <c r="I397" s="4" t="s">
        <v>1930</v>
      </c>
      <c r="J397" s="4" t="s">
        <v>131</v>
      </c>
    </row>
    <row r="398" customFormat="false" ht="15" hidden="false" customHeight="false" outlineLevel="0" collapsed="false">
      <c r="A398" s="5" t="n">
        <v>43492</v>
      </c>
      <c r="B398" s="5" t="s">
        <v>72</v>
      </c>
      <c r="C398" s="5" t="s">
        <v>1758</v>
      </c>
      <c r="D398" s="4" t="s">
        <v>32</v>
      </c>
      <c r="E398" s="4" t="s">
        <v>1351</v>
      </c>
      <c r="F398" s="4" t="s">
        <v>1931</v>
      </c>
      <c r="G398" s="5" t="n">
        <v>86</v>
      </c>
      <c r="H398" s="5" t="s">
        <v>1353</v>
      </c>
      <c r="I398" s="4" t="s">
        <v>1932</v>
      </c>
      <c r="J398" s="4" t="s">
        <v>131</v>
      </c>
    </row>
    <row r="399" customFormat="false" ht="15" hidden="false" customHeight="false" outlineLevel="0" collapsed="false">
      <c r="A399" s="5" t="n">
        <v>41466</v>
      </c>
      <c r="B399" s="5" t="s">
        <v>72</v>
      </c>
      <c r="C399" s="5" t="s">
        <v>1933</v>
      </c>
      <c r="D399" s="4" t="s">
        <v>32</v>
      </c>
      <c r="E399" s="4" t="s">
        <v>1351</v>
      </c>
      <c r="F399" s="4" t="s">
        <v>1356</v>
      </c>
      <c r="G399" s="5" t="n">
        <v>38</v>
      </c>
      <c r="H399" s="5" t="s">
        <v>1397</v>
      </c>
      <c r="I399" s="4" t="s">
        <v>1934</v>
      </c>
      <c r="J399" s="4" t="s">
        <v>132</v>
      </c>
    </row>
    <row r="400" customFormat="false" ht="15" hidden="false" customHeight="false" outlineLevel="0" collapsed="false">
      <c r="A400" s="5" t="n">
        <v>26084</v>
      </c>
      <c r="B400" s="5" t="s">
        <v>72</v>
      </c>
      <c r="C400" s="5" t="s">
        <v>1935</v>
      </c>
      <c r="D400" s="4" t="s">
        <v>34</v>
      </c>
      <c r="E400" s="4" t="s">
        <v>1351</v>
      </c>
      <c r="F400" s="4" t="s">
        <v>1356</v>
      </c>
      <c r="G400" s="5" t="n">
        <v>138</v>
      </c>
      <c r="H400" s="5" t="s">
        <v>1353</v>
      </c>
      <c r="I400" s="4" t="s">
        <v>1936</v>
      </c>
      <c r="J400" s="4" t="s">
        <v>131</v>
      </c>
    </row>
    <row r="401" customFormat="false" ht="15" hidden="false" customHeight="false" outlineLevel="0" collapsed="false">
      <c r="A401" s="5" t="n">
        <v>23621</v>
      </c>
      <c r="B401" s="5" t="s">
        <v>72</v>
      </c>
      <c r="C401" s="5" t="s">
        <v>981</v>
      </c>
      <c r="D401" s="4" t="s">
        <v>34</v>
      </c>
      <c r="E401" s="4" t="s">
        <v>1351</v>
      </c>
      <c r="F401" s="4" t="s">
        <v>1671</v>
      </c>
      <c r="G401" s="5" t="n">
        <v>116</v>
      </c>
      <c r="H401" s="5" t="s">
        <v>1353</v>
      </c>
      <c r="I401" s="4" t="s">
        <v>1937</v>
      </c>
      <c r="J401" s="4" t="s">
        <v>131</v>
      </c>
    </row>
    <row r="402" customFormat="false" ht="15" hidden="false" customHeight="false" outlineLevel="0" collapsed="false">
      <c r="A402" s="5" t="n">
        <v>35609</v>
      </c>
      <c r="B402" s="5" t="s">
        <v>72</v>
      </c>
      <c r="C402" s="5" t="s">
        <v>286</v>
      </c>
      <c r="D402" s="4" t="s">
        <v>34</v>
      </c>
      <c r="E402" s="4" t="s">
        <v>1351</v>
      </c>
      <c r="F402" s="4" t="s">
        <v>1356</v>
      </c>
      <c r="G402" s="5" t="n">
        <v>94</v>
      </c>
      <c r="H402" s="5" t="s">
        <v>1353</v>
      </c>
      <c r="I402" s="4" t="s">
        <v>1938</v>
      </c>
      <c r="J402" s="4" t="s">
        <v>131</v>
      </c>
    </row>
    <row r="403" customFormat="false" ht="15" hidden="false" customHeight="false" outlineLevel="0" collapsed="false">
      <c r="A403" s="5" t="n">
        <v>23662</v>
      </c>
      <c r="B403" s="5" t="s">
        <v>72</v>
      </c>
      <c r="C403" s="5" t="s">
        <v>434</v>
      </c>
      <c r="D403" s="4" t="s">
        <v>34</v>
      </c>
      <c r="E403" s="4" t="s">
        <v>1351</v>
      </c>
      <c r="F403" s="4" t="s">
        <v>1671</v>
      </c>
      <c r="G403" s="5" t="n">
        <v>86</v>
      </c>
      <c r="H403" s="5" t="s">
        <v>1353</v>
      </c>
      <c r="I403" s="4" t="s">
        <v>1939</v>
      </c>
      <c r="J403" s="4" t="s">
        <v>131</v>
      </c>
    </row>
    <row r="404" customFormat="false" ht="15" hidden="false" customHeight="false" outlineLevel="0" collapsed="false">
      <c r="A404" s="5" t="n">
        <v>30108</v>
      </c>
      <c r="B404" s="5" t="s">
        <v>72</v>
      </c>
      <c r="C404" s="5" t="s">
        <v>1940</v>
      </c>
      <c r="D404" s="4" t="s">
        <v>34</v>
      </c>
      <c r="E404" s="4" t="s">
        <v>1351</v>
      </c>
      <c r="F404" s="4" t="s">
        <v>1671</v>
      </c>
      <c r="G404" s="5" t="n">
        <v>89</v>
      </c>
      <c r="H404" s="5" t="s">
        <v>1353</v>
      </c>
      <c r="I404" s="4" t="s">
        <v>1941</v>
      </c>
      <c r="J404" s="4" t="s">
        <v>131</v>
      </c>
    </row>
    <row r="405" customFormat="false" ht="15" hidden="false" customHeight="false" outlineLevel="0" collapsed="false">
      <c r="A405" s="5" t="n">
        <v>26079</v>
      </c>
      <c r="B405" s="5" t="s">
        <v>72</v>
      </c>
      <c r="C405" s="5" t="s">
        <v>1942</v>
      </c>
      <c r="D405" s="4" t="s">
        <v>34</v>
      </c>
      <c r="E405" s="4" t="s">
        <v>1351</v>
      </c>
      <c r="F405" s="4" t="s">
        <v>1356</v>
      </c>
      <c r="G405" s="5" t="n">
        <v>173</v>
      </c>
      <c r="H405" s="5" t="s">
        <v>1353</v>
      </c>
      <c r="I405" s="4" t="s">
        <v>1943</v>
      </c>
      <c r="J405" s="4" t="s">
        <v>131</v>
      </c>
    </row>
    <row r="406" customFormat="false" ht="15" hidden="false" customHeight="false" outlineLevel="0" collapsed="false">
      <c r="A406" s="5" t="n">
        <v>43502</v>
      </c>
      <c r="B406" s="5" t="s">
        <v>72</v>
      </c>
      <c r="C406" s="5" t="s">
        <v>439</v>
      </c>
      <c r="D406" s="4" t="s">
        <v>18</v>
      </c>
      <c r="E406" s="4" t="s">
        <v>1351</v>
      </c>
      <c r="F406" s="4" t="s">
        <v>1356</v>
      </c>
      <c r="G406" s="5" t="n">
        <v>94</v>
      </c>
      <c r="H406" s="5" t="s">
        <v>1353</v>
      </c>
      <c r="I406" s="4" t="s">
        <v>1944</v>
      </c>
      <c r="J406" s="4" t="s">
        <v>131</v>
      </c>
    </row>
    <row r="407" customFormat="false" ht="15" hidden="false" customHeight="false" outlineLevel="0" collapsed="false">
      <c r="A407" s="5" t="n">
        <v>37081</v>
      </c>
      <c r="B407" s="5" t="s">
        <v>72</v>
      </c>
      <c r="C407" s="5" t="s">
        <v>1945</v>
      </c>
      <c r="D407" s="4" t="s">
        <v>18</v>
      </c>
      <c r="E407" s="4" t="s">
        <v>1351</v>
      </c>
      <c r="F407" s="4" t="s">
        <v>1356</v>
      </c>
      <c r="G407" s="5" t="n">
        <v>156</v>
      </c>
      <c r="H407" s="5" t="s">
        <v>1353</v>
      </c>
      <c r="I407" s="4" t="s">
        <v>1946</v>
      </c>
      <c r="J407" s="4" t="s">
        <v>131</v>
      </c>
    </row>
    <row r="408" customFormat="false" ht="15" hidden="false" customHeight="false" outlineLevel="0" collapsed="false">
      <c r="A408" s="5" t="n">
        <v>38454</v>
      </c>
      <c r="B408" s="5" t="s">
        <v>72</v>
      </c>
      <c r="C408" s="5" t="s">
        <v>1947</v>
      </c>
      <c r="D408" s="4" t="s">
        <v>28</v>
      </c>
      <c r="E408" s="4" t="s">
        <v>1351</v>
      </c>
      <c r="F408" s="4" t="s">
        <v>1352</v>
      </c>
      <c r="G408" s="5" t="n">
        <v>73</v>
      </c>
      <c r="H408" s="5" t="s">
        <v>1353</v>
      </c>
      <c r="I408" s="4" t="s">
        <v>1948</v>
      </c>
      <c r="J408" s="4" t="s">
        <v>131</v>
      </c>
    </row>
    <row r="409" customFormat="false" ht="15" hidden="false" customHeight="false" outlineLevel="0" collapsed="false">
      <c r="A409" s="5" t="n">
        <v>43507</v>
      </c>
      <c r="B409" s="5" t="s">
        <v>72</v>
      </c>
      <c r="C409" s="5" t="s">
        <v>458</v>
      </c>
      <c r="D409" s="4" t="s">
        <v>30</v>
      </c>
      <c r="E409" s="4" t="s">
        <v>1351</v>
      </c>
      <c r="F409" s="4" t="s">
        <v>1352</v>
      </c>
      <c r="G409" s="5" t="n">
        <v>94</v>
      </c>
      <c r="H409" s="5" t="s">
        <v>1353</v>
      </c>
      <c r="I409" s="4" t="s">
        <v>1949</v>
      </c>
      <c r="J409" s="4" t="s">
        <v>131</v>
      </c>
    </row>
    <row r="410" customFormat="false" ht="15" hidden="false" customHeight="false" outlineLevel="0" collapsed="false">
      <c r="A410" s="5" t="n">
        <v>43508</v>
      </c>
      <c r="B410" s="5" t="s">
        <v>72</v>
      </c>
      <c r="C410" s="5" t="s">
        <v>712</v>
      </c>
      <c r="D410" s="4" t="s">
        <v>30</v>
      </c>
      <c r="E410" s="4" t="s">
        <v>1351</v>
      </c>
      <c r="F410" s="4" t="s">
        <v>1352</v>
      </c>
      <c r="G410" s="5" t="n">
        <v>68</v>
      </c>
      <c r="H410" s="5" t="s">
        <v>1353</v>
      </c>
      <c r="I410" s="4" t="s">
        <v>1950</v>
      </c>
      <c r="J410" s="4" t="s">
        <v>131</v>
      </c>
    </row>
    <row r="411" customFormat="false" ht="15" hidden="false" customHeight="false" outlineLevel="0" collapsed="false">
      <c r="A411" s="5" t="n">
        <v>43365</v>
      </c>
      <c r="B411" s="5" t="s">
        <v>72</v>
      </c>
      <c r="C411" s="5" t="s">
        <v>1659</v>
      </c>
      <c r="D411" s="4" t="s">
        <v>28</v>
      </c>
      <c r="E411" s="4" t="s">
        <v>1351</v>
      </c>
      <c r="F411" s="4" t="s">
        <v>1356</v>
      </c>
      <c r="G411" s="5" t="n">
        <v>67</v>
      </c>
      <c r="H411" s="5" t="s">
        <v>1353</v>
      </c>
      <c r="I411" s="4" t="s">
        <v>1951</v>
      </c>
      <c r="J411" s="4" t="s">
        <v>131</v>
      </c>
    </row>
    <row r="412" customFormat="false" ht="15" hidden="false" customHeight="false" outlineLevel="0" collapsed="false">
      <c r="A412" s="5" t="n">
        <v>8152</v>
      </c>
      <c r="B412" s="5" t="s">
        <v>72</v>
      </c>
      <c r="C412" s="5" t="s">
        <v>467</v>
      </c>
      <c r="D412" s="4" t="s">
        <v>28</v>
      </c>
      <c r="E412" s="4" t="s">
        <v>1351</v>
      </c>
      <c r="F412" s="4" t="s">
        <v>1352</v>
      </c>
      <c r="G412" s="5" t="n">
        <v>85</v>
      </c>
      <c r="H412" s="5" t="s">
        <v>1353</v>
      </c>
      <c r="I412" s="4" t="s">
        <v>1952</v>
      </c>
      <c r="J412" s="4" t="s">
        <v>131</v>
      </c>
    </row>
    <row r="413" customFormat="false" ht="15" hidden="false" customHeight="false" outlineLevel="0" collapsed="false">
      <c r="A413" s="5" t="n">
        <v>29119</v>
      </c>
      <c r="B413" s="5" t="s">
        <v>72</v>
      </c>
      <c r="C413" s="5" t="s">
        <v>1834</v>
      </c>
      <c r="D413" s="4" t="s">
        <v>28</v>
      </c>
      <c r="E413" s="4" t="s">
        <v>1351</v>
      </c>
      <c r="F413" s="4" t="s">
        <v>1671</v>
      </c>
      <c r="G413" s="5" t="n">
        <v>97</v>
      </c>
      <c r="H413" s="5" t="s">
        <v>1353</v>
      </c>
      <c r="I413" s="4" t="s">
        <v>1953</v>
      </c>
      <c r="J413" s="4" t="s">
        <v>131</v>
      </c>
    </row>
    <row r="414" customFormat="false" ht="15" hidden="false" customHeight="false" outlineLevel="0" collapsed="false">
      <c r="A414" s="5" t="n">
        <v>43509</v>
      </c>
      <c r="B414" s="5" t="s">
        <v>72</v>
      </c>
      <c r="C414" s="5" t="s">
        <v>1834</v>
      </c>
      <c r="D414" s="4" t="s">
        <v>30</v>
      </c>
      <c r="E414" s="4" t="s">
        <v>1351</v>
      </c>
      <c r="F414" s="4" t="s">
        <v>1352</v>
      </c>
      <c r="G414" s="5" t="n">
        <v>79</v>
      </c>
      <c r="H414" s="5" t="s">
        <v>1353</v>
      </c>
      <c r="I414" s="4" t="s">
        <v>1954</v>
      </c>
      <c r="J414" s="4" t="s">
        <v>131</v>
      </c>
    </row>
    <row r="415" customFormat="false" ht="15" hidden="false" customHeight="false" outlineLevel="0" collapsed="false">
      <c r="A415" s="5" t="n">
        <v>43510</v>
      </c>
      <c r="B415" s="5" t="s">
        <v>72</v>
      </c>
      <c r="C415" s="5" t="s">
        <v>470</v>
      </c>
      <c r="D415" s="4" t="s">
        <v>30</v>
      </c>
      <c r="E415" s="4" t="s">
        <v>1351</v>
      </c>
      <c r="F415" s="4" t="s">
        <v>1356</v>
      </c>
      <c r="G415" s="5" t="n">
        <v>74</v>
      </c>
      <c r="H415" s="5" t="s">
        <v>1353</v>
      </c>
      <c r="I415" s="4" t="s">
        <v>1955</v>
      </c>
      <c r="J415" s="4" t="s">
        <v>131</v>
      </c>
    </row>
    <row r="416" customFormat="false" ht="15" hidden="false" customHeight="false" outlineLevel="0" collapsed="false">
      <c r="A416" s="5" t="n">
        <v>43511</v>
      </c>
      <c r="B416" s="5" t="s">
        <v>72</v>
      </c>
      <c r="C416" s="5" t="s">
        <v>473</v>
      </c>
      <c r="D416" s="4" t="s">
        <v>30</v>
      </c>
      <c r="E416" s="4" t="s">
        <v>1351</v>
      </c>
      <c r="F416" s="4" t="s">
        <v>1356</v>
      </c>
      <c r="G416" s="5" t="n">
        <v>80</v>
      </c>
      <c r="H416" s="5" t="s">
        <v>1353</v>
      </c>
      <c r="I416" s="4" t="s">
        <v>1956</v>
      </c>
      <c r="J416" s="4" t="s">
        <v>131</v>
      </c>
    </row>
    <row r="417" customFormat="false" ht="15" hidden="false" customHeight="false" outlineLevel="0" collapsed="false">
      <c r="A417" s="5" t="n">
        <v>43512</v>
      </c>
      <c r="B417" s="5" t="s">
        <v>72</v>
      </c>
      <c r="C417" s="5" t="s">
        <v>476</v>
      </c>
      <c r="D417" s="4" t="s">
        <v>30</v>
      </c>
      <c r="E417" s="4" t="s">
        <v>1351</v>
      </c>
      <c r="F417" s="4" t="s">
        <v>1356</v>
      </c>
      <c r="G417" s="5" t="n">
        <v>77</v>
      </c>
      <c r="H417" s="5" t="s">
        <v>1353</v>
      </c>
      <c r="I417" s="4" t="s">
        <v>1957</v>
      </c>
      <c r="J417" s="4" t="s">
        <v>131</v>
      </c>
    </row>
    <row r="418" customFormat="false" ht="15" hidden="false" customHeight="false" outlineLevel="0" collapsed="false">
      <c r="A418" s="5" t="n">
        <v>43118</v>
      </c>
      <c r="B418" s="5" t="s">
        <v>72</v>
      </c>
      <c r="C418" s="5" t="s">
        <v>1526</v>
      </c>
      <c r="D418" s="4" t="s">
        <v>22</v>
      </c>
      <c r="E418" s="4" t="s">
        <v>1351</v>
      </c>
      <c r="F418" s="4" t="s">
        <v>1356</v>
      </c>
      <c r="G418" s="5" t="n">
        <v>61</v>
      </c>
      <c r="H418" s="5" t="s">
        <v>1353</v>
      </c>
      <c r="I418" s="4" t="s">
        <v>1958</v>
      </c>
      <c r="J418" s="4" t="s">
        <v>131</v>
      </c>
    </row>
    <row r="419" customFormat="false" ht="15" hidden="false" customHeight="false" outlineLevel="0" collapsed="false">
      <c r="A419" s="5" t="n">
        <v>43513</v>
      </c>
      <c r="B419" s="5" t="s">
        <v>72</v>
      </c>
      <c r="C419" s="5" t="s">
        <v>635</v>
      </c>
      <c r="D419" s="4" t="s">
        <v>18</v>
      </c>
      <c r="E419" s="4" t="s">
        <v>1351</v>
      </c>
      <c r="F419" s="4" t="s">
        <v>1356</v>
      </c>
      <c r="G419" s="5" t="n">
        <v>93</v>
      </c>
      <c r="H419" s="5" t="s">
        <v>1353</v>
      </c>
      <c r="I419" s="4" t="s">
        <v>1959</v>
      </c>
      <c r="J419" s="4" t="s">
        <v>131</v>
      </c>
    </row>
    <row r="420" customFormat="false" ht="15" hidden="false" customHeight="false" outlineLevel="0" collapsed="false">
      <c r="A420" s="5" t="n">
        <v>43514</v>
      </c>
      <c r="B420" s="5" t="s">
        <v>72</v>
      </c>
      <c r="C420" s="5" t="s">
        <v>811</v>
      </c>
      <c r="D420" s="4" t="s">
        <v>18</v>
      </c>
      <c r="E420" s="4" t="s">
        <v>1351</v>
      </c>
      <c r="F420" s="4" t="s">
        <v>1356</v>
      </c>
      <c r="G420" s="5" t="n">
        <v>85</v>
      </c>
      <c r="H420" s="5" t="s">
        <v>1353</v>
      </c>
      <c r="I420" s="4" t="s">
        <v>1960</v>
      </c>
      <c r="J420" s="4" t="s">
        <v>131</v>
      </c>
    </row>
    <row r="421" customFormat="false" ht="15" hidden="false" customHeight="false" outlineLevel="0" collapsed="false">
      <c r="A421" s="5" t="n">
        <v>41221</v>
      </c>
      <c r="B421" s="5" t="s">
        <v>72</v>
      </c>
      <c r="C421" s="5" t="s">
        <v>638</v>
      </c>
      <c r="D421" s="4" t="s">
        <v>18</v>
      </c>
      <c r="E421" s="4" t="s">
        <v>1351</v>
      </c>
      <c r="F421" s="4" t="s">
        <v>1671</v>
      </c>
      <c r="G421" s="5" t="n">
        <v>34</v>
      </c>
      <c r="H421" s="5" t="s">
        <v>1397</v>
      </c>
      <c r="I421" s="4" t="s">
        <v>1961</v>
      </c>
      <c r="J421" s="4" t="s">
        <v>132</v>
      </c>
    </row>
    <row r="422" customFormat="false" ht="15" hidden="false" customHeight="false" outlineLevel="0" collapsed="false">
      <c r="A422" s="5" t="n">
        <v>31835</v>
      </c>
      <c r="B422" s="5" t="s">
        <v>73</v>
      </c>
      <c r="C422" s="5" t="s">
        <v>1736</v>
      </c>
      <c r="D422" s="4" t="s">
        <v>34</v>
      </c>
      <c r="E422" s="4" t="s">
        <v>1351</v>
      </c>
      <c r="F422" s="4" t="s">
        <v>1352</v>
      </c>
      <c r="G422" s="5" t="n">
        <v>93</v>
      </c>
      <c r="H422" s="5" t="s">
        <v>1353</v>
      </c>
      <c r="I422" s="4" t="s">
        <v>1962</v>
      </c>
      <c r="J422" s="4" t="s">
        <v>131</v>
      </c>
    </row>
    <row r="423" customFormat="false" ht="15" hidden="false" customHeight="false" outlineLevel="0" collapsed="false">
      <c r="A423" s="5" t="n">
        <v>38811</v>
      </c>
      <c r="B423" s="5" t="s">
        <v>73</v>
      </c>
      <c r="C423" s="5" t="s">
        <v>1703</v>
      </c>
      <c r="D423" s="4" t="s">
        <v>34</v>
      </c>
      <c r="E423" s="4" t="s">
        <v>1351</v>
      </c>
      <c r="F423" s="4" t="s">
        <v>1356</v>
      </c>
      <c r="G423" s="5" t="n">
        <v>78</v>
      </c>
      <c r="H423" s="5" t="s">
        <v>1353</v>
      </c>
      <c r="I423" s="4" t="s">
        <v>1963</v>
      </c>
      <c r="J423" s="4" t="s">
        <v>131</v>
      </c>
    </row>
    <row r="424" customFormat="false" ht="15" hidden="false" customHeight="false" outlineLevel="0" collapsed="false">
      <c r="A424" s="5" t="n">
        <v>23556</v>
      </c>
      <c r="B424" s="5" t="s">
        <v>73</v>
      </c>
      <c r="C424" s="5" t="s">
        <v>1964</v>
      </c>
      <c r="D424" s="4" t="s">
        <v>34</v>
      </c>
      <c r="E424" s="4" t="s">
        <v>1351</v>
      </c>
      <c r="F424" s="4" t="s">
        <v>1356</v>
      </c>
      <c r="G424" s="5" t="n">
        <v>186</v>
      </c>
      <c r="H424" s="5" t="s">
        <v>1353</v>
      </c>
      <c r="I424" s="4" t="s">
        <v>1965</v>
      </c>
      <c r="J424" s="4" t="s">
        <v>131</v>
      </c>
    </row>
    <row r="425" customFormat="false" ht="15" hidden="false" customHeight="false" outlineLevel="0" collapsed="false">
      <c r="A425" s="5" t="n">
        <v>36764</v>
      </c>
      <c r="B425" s="5" t="s">
        <v>73</v>
      </c>
      <c r="C425" s="5" t="s">
        <v>1853</v>
      </c>
      <c r="D425" s="4" t="s">
        <v>34</v>
      </c>
      <c r="E425" s="4" t="s">
        <v>1351</v>
      </c>
      <c r="F425" s="4" t="s">
        <v>1356</v>
      </c>
      <c r="G425" s="5" t="n">
        <v>196</v>
      </c>
      <c r="H425" s="5" t="s">
        <v>1353</v>
      </c>
      <c r="I425" s="4" t="s">
        <v>1966</v>
      </c>
      <c r="J425" s="4" t="s">
        <v>131</v>
      </c>
    </row>
    <row r="426" customFormat="false" ht="15" hidden="false" customHeight="false" outlineLevel="0" collapsed="false">
      <c r="A426" s="5" t="n">
        <v>36175</v>
      </c>
      <c r="B426" s="5" t="s">
        <v>73</v>
      </c>
      <c r="C426" s="5" t="s">
        <v>655</v>
      </c>
      <c r="D426" s="4" t="s">
        <v>34</v>
      </c>
      <c r="E426" s="4" t="s">
        <v>1351</v>
      </c>
      <c r="F426" s="4" t="s">
        <v>1671</v>
      </c>
      <c r="G426" s="5" t="n">
        <v>73</v>
      </c>
      <c r="H426" s="5" t="s">
        <v>1353</v>
      </c>
      <c r="I426" s="4" t="s">
        <v>1967</v>
      </c>
      <c r="J426" s="4" t="s">
        <v>131</v>
      </c>
    </row>
    <row r="427" customFormat="false" ht="15" hidden="false" customHeight="false" outlineLevel="0" collapsed="false">
      <c r="A427" s="5" t="n">
        <v>36175</v>
      </c>
      <c r="B427" s="5" t="s">
        <v>73</v>
      </c>
      <c r="C427" s="5" t="s">
        <v>655</v>
      </c>
      <c r="D427" s="4" t="s">
        <v>34</v>
      </c>
      <c r="E427" s="4" t="s">
        <v>1351</v>
      </c>
      <c r="F427" s="4" t="s">
        <v>1377</v>
      </c>
      <c r="G427" s="5" t="n">
        <v>10</v>
      </c>
      <c r="H427" s="5" t="s">
        <v>1419</v>
      </c>
      <c r="I427" s="4" t="s">
        <v>1427</v>
      </c>
      <c r="J427" s="4" t="s">
        <v>133</v>
      </c>
    </row>
    <row r="428" customFormat="false" ht="15" hidden="false" customHeight="false" outlineLevel="0" collapsed="false">
      <c r="A428" s="5" t="n">
        <v>36485</v>
      </c>
      <c r="B428" s="5" t="s">
        <v>73</v>
      </c>
      <c r="C428" s="5" t="s">
        <v>1329</v>
      </c>
      <c r="D428" s="4" t="s">
        <v>34</v>
      </c>
      <c r="E428" s="4" t="s">
        <v>1351</v>
      </c>
      <c r="F428" s="4" t="s">
        <v>1356</v>
      </c>
      <c r="G428" s="5" t="n">
        <v>80</v>
      </c>
      <c r="H428" s="5" t="s">
        <v>1353</v>
      </c>
      <c r="I428" s="4" t="s">
        <v>1968</v>
      </c>
      <c r="J428" s="4" t="s">
        <v>131</v>
      </c>
    </row>
    <row r="429" customFormat="false" ht="15" hidden="false" customHeight="false" outlineLevel="0" collapsed="false">
      <c r="A429" s="5" t="n">
        <v>31496</v>
      </c>
      <c r="B429" s="5" t="s">
        <v>73</v>
      </c>
      <c r="C429" s="5" t="s">
        <v>1969</v>
      </c>
      <c r="D429" s="4" t="s">
        <v>28</v>
      </c>
      <c r="E429" s="4" t="s">
        <v>1351</v>
      </c>
      <c r="F429" s="4" t="s">
        <v>1352</v>
      </c>
      <c r="G429" s="5" t="n">
        <v>74</v>
      </c>
      <c r="H429" s="5" t="s">
        <v>1353</v>
      </c>
      <c r="I429" s="4" t="s">
        <v>1970</v>
      </c>
      <c r="J429" s="4" t="s">
        <v>131</v>
      </c>
    </row>
    <row r="430" customFormat="false" ht="15" hidden="false" customHeight="false" outlineLevel="0" collapsed="false">
      <c r="A430" s="5" t="n">
        <v>36038</v>
      </c>
      <c r="B430" s="5" t="s">
        <v>73</v>
      </c>
      <c r="C430" s="5" t="s">
        <v>727</v>
      </c>
      <c r="D430" s="4" t="s">
        <v>34</v>
      </c>
      <c r="E430" s="4" t="s">
        <v>1351</v>
      </c>
      <c r="F430" s="4" t="s">
        <v>1356</v>
      </c>
      <c r="G430" s="5" t="n">
        <v>125</v>
      </c>
      <c r="H430" s="5" t="s">
        <v>1353</v>
      </c>
      <c r="I430" s="4" t="s">
        <v>1971</v>
      </c>
      <c r="J430" s="4" t="s">
        <v>131</v>
      </c>
    </row>
    <row r="431" customFormat="false" ht="15" hidden="false" customHeight="false" outlineLevel="0" collapsed="false">
      <c r="A431" s="5" t="n">
        <v>43521</v>
      </c>
      <c r="B431" s="5" t="s">
        <v>73</v>
      </c>
      <c r="C431" s="5" t="s">
        <v>899</v>
      </c>
      <c r="D431" s="4" t="s">
        <v>28</v>
      </c>
      <c r="E431" s="4" t="s">
        <v>1351</v>
      </c>
      <c r="F431" s="4" t="s">
        <v>1352</v>
      </c>
      <c r="G431" s="5" t="n">
        <v>66</v>
      </c>
      <c r="H431" s="5" t="s">
        <v>1353</v>
      </c>
      <c r="I431" s="4" t="s">
        <v>1972</v>
      </c>
      <c r="J431" s="4" t="s">
        <v>131</v>
      </c>
    </row>
    <row r="432" customFormat="false" ht="15" hidden="false" customHeight="false" outlineLevel="0" collapsed="false">
      <c r="A432" s="5" t="n">
        <v>43522</v>
      </c>
      <c r="B432" s="5" t="s">
        <v>73</v>
      </c>
      <c r="C432" s="5" t="s">
        <v>979</v>
      </c>
      <c r="D432" s="4" t="s">
        <v>28</v>
      </c>
      <c r="E432" s="4" t="s">
        <v>1351</v>
      </c>
      <c r="F432" s="4" t="s">
        <v>1356</v>
      </c>
      <c r="G432" s="5" t="n">
        <v>94</v>
      </c>
      <c r="H432" s="5" t="s">
        <v>1353</v>
      </c>
      <c r="I432" s="4" t="s">
        <v>1973</v>
      </c>
      <c r="J432" s="4" t="s">
        <v>131</v>
      </c>
    </row>
    <row r="433" customFormat="false" ht="15" hidden="false" customHeight="false" outlineLevel="0" collapsed="false">
      <c r="A433" s="5" t="n">
        <v>38454</v>
      </c>
      <c r="B433" s="5" t="s">
        <v>73</v>
      </c>
      <c r="C433" s="5" t="s">
        <v>904</v>
      </c>
      <c r="D433" s="4" t="s">
        <v>28</v>
      </c>
      <c r="E433" s="4" t="s">
        <v>1351</v>
      </c>
      <c r="F433" s="4" t="s">
        <v>1352</v>
      </c>
      <c r="G433" s="5" t="n">
        <v>68</v>
      </c>
      <c r="H433" s="5" t="s">
        <v>1353</v>
      </c>
      <c r="I433" s="4" t="s">
        <v>1974</v>
      </c>
      <c r="J433" s="4" t="s">
        <v>131</v>
      </c>
    </row>
    <row r="434" customFormat="false" ht="15" hidden="false" customHeight="false" outlineLevel="0" collapsed="false">
      <c r="A434" s="5" t="n">
        <v>40611</v>
      </c>
      <c r="B434" s="5" t="s">
        <v>73</v>
      </c>
      <c r="C434" s="5" t="s">
        <v>404</v>
      </c>
      <c r="D434" s="4" t="s">
        <v>34</v>
      </c>
      <c r="E434" s="4" t="s">
        <v>1351</v>
      </c>
      <c r="F434" s="4" t="s">
        <v>1356</v>
      </c>
      <c r="G434" s="5" t="n">
        <v>131</v>
      </c>
      <c r="H434" s="5" t="s">
        <v>1353</v>
      </c>
      <c r="I434" s="4" t="s">
        <v>1975</v>
      </c>
      <c r="J434" s="4" t="s">
        <v>131</v>
      </c>
    </row>
    <row r="435" customFormat="false" ht="15" hidden="false" customHeight="false" outlineLevel="0" collapsed="false">
      <c r="A435" s="5" t="n">
        <v>43523</v>
      </c>
      <c r="B435" s="5" t="s">
        <v>73</v>
      </c>
      <c r="C435" s="5" t="s">
        <v>735</v>
      </c>
      <c r="D435" s="4" t="s">
        <v>34</v>
      </c>
      <c r="E435" s="4" t="s">
        <v>1351</v>
      </c>
      <c r="F435" s="4" t="s">
        <v>1370</v>
      </c>
      <c r="G435" s="5" t="n">
        <v>89</v>
      </c>
      <c r="H435" s="5" t="s">
        <v>1353</v>
      </c>
      <c r="I435" s="4" t="s">
        <v>1976</v>
      </c>
      <c r="J435" s="4" t="s">
        <v>131</v>
      </c>
    </row>
    <row r="436" customFormat="false" ht="15" hidden="false" customHeight="false" outlineLevel="0" collapsed="false">
      <c r="A436" s="5" t="n">
        <v>43524</v>
      </c>
      <c r="B436" s="5" t="s">
        <v>73</v>
      </c>
      <c r="C436" s="5" t="s">
        <v>735</v>
      </c>
      <c r="D436" s="4" t="s">
        <v>20</v>
      </c>
      <c r="E436" s="4" t="s">
        <v>1351</v>
      </c>
      <c r="F436" s="4" t="s">
        <v>1352</v>
      </c>
      <c r="G436" s="5" t="n">
        <v>92</v>
      </c>
      <c r="H436" s="5" t="s">
        <v>1353</v>
      </c>
      <c r="I436" s="4" t="s">
        <v>1977</v>
      </c>
      <c r="J436" s="4" t="s">
        <v>131</v>
      </c>
    </row>
    <row r="437" customFormat="false" ht="15" hidden="false" customHeight="false" outlineLevel="0" collapsed="false">
      <c r="A437" s="5" t="n">
        <v>43525</v>
      </c>
      <c r="B437" s="5" t="s">
        <v>73</v>
      </c>
      <c r="C437" s="5" t="s">
        <v>737</v>
      </c>
      <c r="D437" s="4" t="s">
        <v>20</v>
      </c>
      <c r="E437" s="4" t="s">
        <v>1351</v>
      </c>
      <c r="F437" s="4" t="s">
        <v>1352</v>
      </c>
      <c r="G437" s="5" t="n">
        <v>42</v>
      </c>
      <c r="H437" s="5" t="s">
        <v>1353</v>
      </c>
      <c r="I437" s="4" t="s">
        <v>1978</v>
      </c>
      <c r="J437" s="4" t="s">
        <v>131</v>
      </c>
    </row>
    <row r="438" customFormat="false" ht="15" hidden="false" customHeight="false" outlineLevel="0" collapsed="false">
      <c r="A438" s="5" t="n">
        <v>43526</v>
      </c>
      <c r="B438" s="5" t="s">
        <v>73</v>
      </c>
      <c r="C438" s="5" t="s">
        <v>297</v>
      </c>
      <c r="D438" s="4" t="s">
        <v>20</v>
      </c>
      <c r="E438" s="4" t="s">
        <v>1351</v>
      </c>
      <c r="F438" s="4" t="s">
        <v>1352</v>
      </c>
      <c r="G438" s="5" t="n">
        <v>50</v>
      </c>
      <c r="H438" s="5" t="s">
        <v>1353</v>
      </c>
      <c r="I438" s="4" t="s">
        <v>1979</v>
      </c>
      <c r="J438" s="4" t="s">
        <v>131</v>
      </c>
    </row>
    <row r="439" customFormat="false" ht="15" hidden="false" customHeight="false" outlineLevel="0" collapsed="false">
      <c r="A439" s="5" t="n">
        <v>43527</v>
      </c>
      <c r="B439" s="5" t="s">
        <v>73</v>
      </c>
      <c r="C439" s="5" t="s">
        <v>742</v>
      </c>
      <c r="D439" s="4" t="s">
        <v>20</v>
      </c>
      <c r="E439" s="4" t="s">
        <v>1351</v>
      </c>
      <c r="F439" s="4" t="s">
        <v>1352</v>
      </c>
      <c r="G439" s="5" t="n">
        <v>74</v>
      </c>
      <c r="H439" s="5" t="s">
        <v>1353</v>
      </c>
      <c r="I439" s="4" t="s">
        <v>1980</v>
      </c>
      <c r="J439" s="4" t="s">
        <v>131</v>
      </c>
    </row>
    <row r="440" customFormat="false" ht="15" hidden="false" customHeight="false" outlineLevel="0" collapsed="false">
      <c r="A440" s="5" t="n">
        <v>43528</v>
      </c>
      <c r="B440" s="5" t="s">
        <v>73</v>
      </c>
      <c r="C440" s="5" t="s">
        <v>301</v>
      </c>
      <c r="D440" s="4" t="s">
        <v>20</v>
      </c>
      <c r="E440" s="4" t="s">
        <v>1351</v>
      </c>
      <c r="F440" s="4" t="s">
        <v>1352</v>
      </c>
      <c r="G440" s="5" t="n">
        <v>77</v>
      </c>
      <c r="H440" s="5" t="s">
        <v>1353</v>
      </c>
      <c r="I440" s="4" t="s">
        <v>1981</v>
      </c>
      <c r="J440" s="4" t="s">
        <v>131</v>
      </c>
    </row>
    <row r="441" customFormat="false" ht="15" hidden="false" customHeight="false" outlineLevel="0" collapsed="false">
      <c r="A441" s="5" t="n">
        <v>34222</v>
      </c>
      <c r="B441" s="5" t="s">
        <v>73</v>
      </c>
      <c r="C441" s="5" t="s">
        <v>1029</v>
      </c>
      <c r="D441" s="4" t="s">
        <v>34</v>
      </c>
      <c r="E441" s="4" t="s">
        <v>1351</v>
      </c>
      <c r="F441" s="4" t="s">
        <v>1356</v>
      </c>
      <c r="G441" s="5" t="n">
        <v>94</v>
      </c>
      <c r="H441" s="5" t="s">
        <v>1353</v>
      </c>
      <c r="I441" s="4" t="s">
        <v>1982</v>
      </c>
      <c r="J441" s="4" t="s">
        <v>131</v>
      </c>
    </row>
    <row r="442" customFormat="false" ht="15" hidden="false" customHeight="false" outlineLevel="0" collapsed="false">
      <c r="A442" s="5" t="n">
        <v>43529</v>
      </c>
      <c r="B442" s="5" t="s">
        <v>73</v>
      </c>
      <c r="C442" s="5" t="s">
        <v>1158</v>
      </c>
      <c r="D442" s="4" t="s">
        <v>34</v>
      </c>
      <c r="E442" s="4" t="s">
        <v>1351</v>
      </c>
      <c r="F442" s="4" t="s">
        <v>1356</v>
      </c>
      <c r="G442" s="5" t="n">
        <v>95</v>
      </c>
      <c r="H442" s="5" t="s">
        <v>1353</v>
      </c>
      <c r="I442" s="4" t="s">
        <v>1983</v>
      </c>
      <c r="J442" s="4" t="s">
        <v>131</v>
      </c>
    </row>
    <row r="443" customFormat="false" ht="15" hidden="false" customHeight="false" outlineLevel="0" collapsed="false">
      <c r="A443" s="5" t="n">
        <v>32320</v>
      </c>
      <c r="B443" s="5" t="s">
        <v>73</v>
      </c>
      <c r="C443" s="5" t="s">
        <v>663</v>
      </c>
      <c r="D443" s="4" t="s">
        <v>34</v>
      </c>
      <c r="E443" s="4" t="s">
        <v>1351</v>
      </c>
      <c r="F443" s="4" t="s">
        <v>1671</v>
      </c>
      <c r="G443" s="5" t="n">
        <v>63</v>
      </c>
      <c r="H443" s="5" t="s">
        <v>1353</v>
      </c>
      <c r="I443" s="4" t="s">
        <v>1984</v>
      </c>
      <c r="J443" s="4" t="s">
        <v>131</v>
      </c>
    </row>
    <row r="444" customFormat="false" ht="15" hidden="false" customHeight="false" outlineLevel="0" collapsed="false">
      <c r="A444" s="5" t="n">
        <v>41174</v>
      </c>
      <c r="B444" s="5" t="s">
        <v>73</v>
      </c>
      <c r="C444" s="5" t="s">
        <v>1985</v>
      </c>
      <c r="D444" s="4" t="s">
        <v>34</v>
      </c>
      <c r="E444" s="4" t="s">
        <v>1351</v>
      </c>
      <c r="F444" s="4" t="s">
        <v>1671</v>
      </c>
      <c r="G444" s="5" t="n">
        <v>55</v>
      </c>
      <c r="H444" s="5" t="s">
        <v>1353</v>
      </c>
      <c r="I444" s="4" t="s">
        <v>1986</v>
      </c>
      <c r="J444" s="4" t="s">
        <v>131</v>
      </c>
    </row>
    <row r="445" customFormat="false" ht="15" hidden="false" customHeight="false" outlineLevel="0" collapsed="false">
      <c r="A445" s="5" t="n">
        <v>41174</v>
      </c>
      <c r="B445" s="5" t="s">
        <v>73</v>
      </c>
      <c r="C445" s="5" t="s">
        <v>170</v>
      </c>
      <c r="D445" s="4" t="s">
        <v>34</v>
      </c>
      <c r="E445" s="4" t="s">
        <v>1351</v>
      </c>
      <c r="F445" s="4" t="s">
        <v>1377</v>
      </c>
      <c r="G445" s="5" t="n">
        <v>10</v>
      </c>
      <c r="H445" s="5" t="s">
        <v>1419</v>
      </c>
      <c r="I445" s="4" t="s">
        <v>1427</v>
      </c>
      <c r="J445" s="4" t="s">
        <v>133</v>
      </c>
    </row>
    <row r="446" customFormat="false" ht="15" hidden="false" customHeight="false" outlineLevel="0" collapsed="false">
      <c r="A446" s="5" t="n">
        <v>41173</v>
      </c>
      <c r="B446" s="5" t="s">
        <v>73</v>
      </c>
      <c r="C446" s="5" t="s">
        <v>1545</v>
      </c>
      <c r="D446" s="4" t="s">
        <v>34</v>
      </c>
      <c r="E446" s="4" t="s">
        <v>1351</v>
      </c>
      <c r="F446" s="4" t="s">
        <v>1671</v>
      </c>
      <c r="G446" s="5" t="n">
        <v>129</v>
      </c>
      <c r="H446" s="5" t="s">
        <v>1353</v>
      </c>
      <c r="I446" s="4" t="s">
        <v>1987</v>
      </c>
      <c r="J446" s="4" t="s">
        <v>131</v>
      </c>
    </row>
    <row r="447" customFormat="false" ht="15" hidden="false" customHeight="false" outlineLevel="0" collapsed="false">
      <c r="A447" s="5" t="n">
        <v>29134</v>
      </c>
      <c r="B447" s="5" t="s">
        <v>73</v>
      </c>
      <c r="C447" s="5" t="s">
        <v>1988</v>
      </c>
      <c r="D447" s="4" t="s">
        <v>34</v>
      </c>
      <c r="E447" s="4" t="s">
        <v>1351</v>
      </c>
      <c r="F447" s="4" t="s">
        <v>1356</v>
      </c>
      <c r="G447" s="5" t="n">
        <v>91</v>
      </c>
      <c r="H447" s="5" t="s">
        <v>1353</v>
      </c>
      <c r="I447" s="4" t="s">
        <v>1989</v>
      </c>
      <c r="J447" s="4" t="s">
        <v>131</v>
      </c>
    </row>
    <row r="448" customFormat="false" ht="15" hidden="false" customHeight="false" outlineLevel="0" collapsed="false">
      <c r="A448" s="5" t="n">
        <v>31908</v>
      </c>
      <c r="B448" s="5" t="s">
        <v>73</v>
      </c>
      <c r="C448" s="5" t="s">
        <v>1308</v>
      </c>
      <c r="D448" s="4" t="s">
        <v>34</v>
      </c>
      <c r="E448" s="4" t="s">
        <v>1351</v>
      </c>
      <c r="F448" s="4" t="s">
        <v>1356</v>
      </c>
      <c r="G448" s="5" t="n">
        <v>85</v>
      </c>
      <c r="H448" s="5" t="s">
        <v>1353</v>
      </c>
      <c r="I448" s="4" t="s">
        <v>1990</v>
      </c>
      <c r="J448" s="4" t="s">
        <v>131</v>
      </c>
    </row>
    <row r="449" customFormat="false" ht="15" hidden="false" customHeight="false" outlineLevel="0" collapsed="false">
      <c r="A449" s="5" t="n">
        <v>31964</v>
      </c>
      <c r="B449" s="5" t="s">
        <v>73</v>
      </c>
      <c r="C449" s="5" t="s">
        <v>1991</v>
      </c>
      <c r="D449" s="4" t="s">
        <v>34</v>
      </c>
      <c r="E449" s="4" t="s">
        <v>1351</v>
      </c>
      <c r="F449" s="4" t="s">
        <v>1356</v>
      </c>
      <c r="G449" s="5" t="n">
        <v>187</v>
      </c>
      <c r="H449" s="5" t="s">
        <v>1353</v>
      </c>
      <c r="I449" s="4" t="s">
        <v>1992</v>
      </c>
      <c r="J449" s="4" t="s">
        <v>131</v>
      </c>
    </row>
    <row r="450" customFormat="false" ht="15" hidden="false" customHeight="false" outlineLevel="0" collapsed="false">
      <c r="A450" s="5" t="n">
        <v>43530</v>
      </c>
      <c r="B450" s="5" t="s">
        <v>73</v>
      </c>
      <c r="C450" s="5" t="s">
        <v>1993</v>
      </c>
      <c r="D450" s="4" t="s">
        <v>34</v>
      </c>
      <c r="E450" s="4" t="s">
        <v>1351</v>
      </c>
      <c r="F450" s="4" t="s">
        <v>1356</v>
      </c>
      <c r="G450" s="5" t="n">
        <v>96</v>
      </c>
      <c r="H450" s="5" t="s">
        <v>1353</v>
      </c>
      <c r="I450" s="4" t="s">
        <v>1994</v>
      </c>
      <c r="J450" s="4" t="s">
        <v>131</v>
      </c>
    </row>
    <row r="451" customFormat="false" ht="15" hidden="false" customHeight="false" outlineLevel="0" collapsed="false">
      <c r="A451" s="5" t="n">
        <v>31966</v>
      </c>
      <c r="B451" s="5" t="s">
        <v>73</v>
      </c>
      <c r="C451" s="5" t="s">
        <v>1878</v>
      </c>
      <c r="D451" s="4" t="s">
        <v>34</v>
      </c>
      <c r="E451" s="4" t="s">
        <v>1351</v>
      </c>
      <c r="F451" s="4" t="s">
        <v>1356</v>
      </c>
      <c r="G451" s="5" t="n">
        <v>123</v>
      </c>
      <c r="H451" s="5" t="s">
        <v>1353</v>
      </c>
      <c r="I451" s="4" t="s">
        <v>1995</v>
      </c>
      <c r="J451" s="4" t="s">
        <v>131</v>
      </c>
    </row>
    <row r="452" customFormat="false" ht="15" hidden="false" customHeight="false" outlineLevel="0" collapsed="false">
      <c r="A452" s="5" t="n">
        <v>31965</v>
      </c>
      <c r="B452" s="5" t="s">
        <v>73</v>
      </c>
      <c r="C452" s="5" t="s">
        <v>1996</v>
      </c>
      <c r="D452" s="4" t="s">
        <v>34</v>
      </c>
      <c r="E452" s="4" t="s">
        <v>1351</v>
      </c>
      <c r="F452" s="4" t="s">
        <v>1356</v>
      </c>
      <c r="G452" s="5" t="n">
        <v>102</v>
      </c>
      <c r="H452" s="5" t="s">
        <v>1353</v>
      </c>
      <c r="I452" s="4" t="s">
        <v>1997</v>
      </c>
      <c r="J452" s="4" t="s">
        <v>131</v>
      </c>
    </row>
    <row r="453" customFormat="false" ht="15" hidden="false" customHeight="false" outlineLevel="0" collapsed="false">
      <c r="A453" s="5" t="n">
        <v>29130</v>
      </c>
      <c r="B453" s="5" t="s">
        <v>73</v>
      </c>
      <c r="C453" s="5" t="s">
        <v>1551</v>
      </c>
      <c r="D453" s="4" t="s">
        <v>34</v>
      </c>
      <c r="E453" s="4" t="s">
        <v>1351</v>
      </c>
      <c r="F453" s="4" t="s">
        <v>1356</v>
      </c>
      <c r="G453" s="5" t="n">
        <v>124</v>
      </c>
      <c r="H453" s="5" t="s">
        <v>1353</v>
      </c>
      <c r="I453" s="4" t="s">
        <v>1998</v>
      </c>
      <c r="J453" s="4" t="s">
        <v>131</v>
      </c>
    </row>
    <row r="454" customFormat="false" ht="15" hidden="false" customHeight="false" outlineLevel="0" collapsed="false">
      <c r="A454" s="5" t="n">
        <v>31959</v>
      </c>
      <c r="B454" s="5" t="s">
        <v>73</v>
      </c>
      <c r="C454" s="5" t="s">
        <v>1999</v>
      </c>
      <c r="D454" s="4" t="s">
        <v>34</v>
      </c>
      <c r="E454" s="4" t="s">
        <v>1351</v>
      </c>
      <c r="F454" s="4" t="s">
        <v>1356</v>
      </c>
      <c r="G454" s="5" t="n">
        <v>165</v>
      </c>
      <c r="H454" s="5" t="s">
        <v>1353</v>
      </c>
      <c r="I454" s="4" t="s">
        <v>2000</v>
      </c>
      <c r="J454" s="4" t="s">
        <v>131</v>
      </c>
    </row>
    <row r="455" customFormat="false" ht="15" hidden="false" customHeight="false" outlineLevel="0" collapsed="false">
      <c r="A455" s="5" t="n">
        <v>23621</v>
      </c>
      <c r="B455" s="5" t="s">
        <v>73</v>
      </c>
      <c r="C455" s="5" t="s">
        <v>2001</v>
      </c>
      <c r="D455" s="4" t="s">
        <v>34</v>
      </c>
      <c r="E455" s="4" t="s">
        <v>1351</v>
      </c>
      <c r="F455" s="4" t="s">
        <v>1671</v>
      </c>
      <c r="G455" s="5" t="n">
        <v>97</v>
      </c>
      <c r="H455" s="5" t="s">
        <v>1353</v>
      </c>
      <c r="I455" s="4" t="s">
        <v>2002</v>
      </c>
      <c r="J455" s="4" t="s">
        <v>131</v>
      </c>
    </row>
    <row r="456" customFormat="false" ht="15" hidden="false" customHeight="false" outlineLevel="0" collapsed="false">
      <c r="A456" s="5" t="n">
        <v>43531</v>
      </c>
      <c r="B456" s="5" t="s">
        <v>73</v>
      </c>
      <c r="C456" s="5" t="s">
        <v>2003</v>
      </c>
      <c r="D456" s="4" t="s">
        <v>34</v>
      </c>
      <c r="E456" s="4" t="s">
        <v>1351</v>
      </c>
      <c r="F456" s="4" t="s">
        <v>1671</v>
      </c>
      <c r="G456" s="5" t="n">
        <v>94</v>
      </c>
      <c r="H456" s="5" t="s">
        <v>1353</v>
      </c>
      <c r="I456" s="4" t="s">
        <v>2004</v>
      </c>
      <c r="J456" s="4" t="s">
        <v>131</v>
      </c>
    </row>
    <row r="457" customFormat="false" ht="15" hidden="false" customHeight="false" outlineLevel="0" collapsed="false">
      <c r="A457" s="5" t="n">
        <v>43531</v>
      </c>
      <c r="B457" s="5" t="s">
        <v>73</v>
      </c>
      <c r="C457" s="5" t="s">
        <v>2003</v>
      </c>
      <c r="D457" s="4" t="s">
        <v>34</v>
      </c>
      <c r="E457" s="4" t="s">
        <v>1351</v>
      </c>
      <c r="F457" s="4" t="s">
        <v>1377</v>
      </c>
      <c r="G457" s="5" t="n">
        <v>10</v>
      </c>
      <c r="H457" s="5" t="s">
        <v>1419</v>
      </c>
      <c r="I457" s="4" t="s">
        <v>1427</v>
      </c>
      <c r="J457" s="4" t="s">
        <v>133</v>
      </c>
    </row>
    <row r="458" customFormat="false" ht="15" hidden="false" customHeight="false" outlineLevel="0" collapsed="false">
      <c r="A458" s="5" t="n">
        <v>43532</v>
      </c>
      <c r="B458" s="5" t="s">
        <v>73</v>
      </c>
      <c r="C458" s="5" t="s">
        <v>2005</v>
      </c>
      <c r="D458" s="4" t="s">
        <v>28</v>
      </c>
      <c r="E458" s="4" t="s">
        <v>1351</v>
      </c>
      <c r="F458" s="4" t="s">
        <v>1352</v>
      </c>
      <c r="G458" s="5" t="n">
        <v>75</v>
      </c>
      <c r="H458" s="5" t="s">
        <v>1353</v>
      </c>
      <c r="I458" s="4" t="s">
        <v>1972</v>
      </c>
      <c r="J458" s="4" t="s">
        <v>131</v>
      </c>
    </row>
    <row r="459" customFormat="false" ht="15" hidden="false" customHeight="false" outlineLevel="0" collapsed="false">
      <c r="A459" s="5" t="n">
        <v>43533</v>
      </c>
      <c r="B459" s="5" t="s">
        <v>73</v>
      </c>
      <c r="C459" s="5" t="s">
        <v>458</v>
      </c>
      <c r="D459" s="4" t="s">
        <v>30</v>
      </c>
      <c r="E459" s="4" t="s">
        <v>1351</v>
      </c>
      <c r="F459" s="4" t="s">
        <v>1352</v>
      </c>
      <c r="G459" s="5" t="n">
        <v>83</v>
      </c>
      <c r="H459" s="5" t="s">
        <v>1353</v>
      </c>
      <c r="I459" s="4" t="s">
        <v>2006</v>
      </c>
      <c r="J459" s="4" t="s">
        <v>131</v>
      </c>
    </row>
    <row r="460" customFormat="false" ht="15" hidden="false" customHeight="false" outlineLevel="0" collapsed="false">
      <c r="A460" s="5" t="n">
        <v>43534</v>
      </c>
      <c r="B460" s="5" t="s">
        <v>73</v>
      </c>
      <c r="C460" s="5" t="s">
        <v>461</v>
      </c>
      <c r="D460" s="4" t="s">
        <v>30</v>
      </c>
      <c r="E460" s="4" t="s">
        <v>1351</v>
      </c>
      <c r="F460" s="4" t="s">
        <v>1352</v>
      </c>
      <c r="G460" s="5" t="n">
        <v>58</v>
      </c>
      <c r="H460" s="5" t="s">
        <v>1353</v>
      </c>
      <c r="I460" s="4" t="s">
        <v>2007</v>
      </c>
      <c r="J460" s="4" t="s">
        <v>131</v>
      </c>
    </row>
    <row r="461" customFormat="false" ht="15" hidden="false" customHeight="false" outlineLevel="0" collapsed="false">
      <c r="A461" s="5" t="n">
        <v>43537</v>
      </c>
      <c r="B461" s="5" t="s">
        <v>73</v>
      </c>
      <c r="C461" s="5" t="s">
        <v>1667</v>
      </c>
      <c r="D461" s="4" t="s">
        <v>30</v>
      </c>
      <c r="E461" s="4" t="s">
        <v>1351</v>
      </c>
      <c r="F461" s="4" t="s">
        <v>1352</v>
      </c>
      <c r="G461" s="5" t="n">
        <v>87</v>
      </c>
      <c r="H461" s="5" t="s">
        <v>1353</v>
      </c>
      <c r="I461" s="4" t="s">
        <v>2008</v>
      </c>
      <c r="J461" s="4" t="s">
        <v>131</v>
      </c>
    </row>
    <row r="462" customFormat="false" ht="15" hidden="false" customHeight="false" outlineLevel="0" collapsed="false">
      <c r="A462" s="5" t="n">
        <v>43539</v>
      </c>
      <c r="B462" s="5" t="s">
        <v>73</v>
      </c>
      <c r="C462" s="5" t="s">
        <v>2009</v>
      </c>
      <c r="D462" s="4" t="s">
        <v>30</v>
      </c>
      <c r="E462" s="4" t="s">
        <v>1351</v>
      </c>
      <c r="F462" s="4" t="s">
        <v>1356</v>
      </c>
      <c r="G462" s="5" t="n">
        <v>67</v>
      </c>
      <c r="H462" s="5" t="s">
        <v>1353</v>
      </c>
      <c r="I462" s="4" t="s">
        <v>2010</v>
      </c>
      <c r="J462" s="4" t="s">
        <v>131</v>
      </c>
    </row>
    <row r="463" customFormat="false" ht="15" hidden="false" customHeight="false" outlineLevel="0" collapsed="false">
      <c r="A463" s="5" t="n">
        <v>43541</v>
      </c>
      <c r="B463" s="5" t="s">
        <v>73</v>
      </c>
      <c r="C463" s="5" t="s">
        <v>1780</v>
      </c>
      <c r="D463" s="4" t="s">
        <v>30</v>
      </c>
      <c r="E463" s="4" t="s">
        <v>1351</v>
      </c>
      <c r="F463" s="4" t="s">
        <v>1356</v>
      </c>
      <c r="G463" s="5" t="n">
        <v>54</v>
      </c>
      <c r="H463" s="5" t="s">
        <v>1353</v>
      </c>
      <c r="I463" s="4" t="s">
        <v>2011</v>
      </c>
      <c r="J463" s="4" t="s">
        <v>131</v>
      </c>
    </row>
    <row r="464" customFormat="false" ht="15" hidden="false" customHeight="false" outlineLevel="0" collapsed="false">
      <c r="A464" s="5" t="n">
        <v>43543</v>
      </c>
      <c r="B464" s="5" t="s">
        <v>73</v>
      </c>
      <c r="C464" s="5" t="s">
        <v>2012</v>
      </c>
      <c r="D464" s="4" t="s">
        <v>30</v>
      </c>
      <c r="E464" s="4" t="s">
        <v>1351</v>
      </c>
      <c r="F464" s="4" t="s">
        <v>1356</v>
      </c>
      <c r="G464" s="5" t="n">
        <v>66</v>
      </c>
      <c r="H464" s="5" t="s">
        <v>1353</v>
      </c>
      <c r="I464" s="4" t="s">
        <v>2013</v>
      </c>
      <c r="J464" s="4" t="s">
        <v>131</v>
      </c>
    </row>
    <row r="465" customFormat="false" ht="15" hidden="false" customHeight="false" outlineLevel="0" collapsed="false">
      <c r="A465" s="5" t="n">
        <v>43547</v>
      </c>
      <c r="B465" s="5" t="s">
        <v>73</v>
      </c>
      <c r="C465" s="5" t="s">
        <v>1905</v>
      </c>
      <c r="D465" s="4" t="s">
        <v>22</v>
      </c>
      <c r="E465" s="4" t="s">
        <v>1351</v>
      </c>
      <c r="F465" s="4" t="s">
        <v>1370</v>
      </c>
      <c r="G465" s="5" t="n">
        <v>33</v>
      </c>
      <c r="H465" s="5" t="s">
        <v>1397</v>
      </c>
      <c r="I465" s="4" t="s">
        <v>2014</v>
      </c>
      <c r="J465" s="4" t="s">
        <v>132</v>
      </c>
    </row>
    <row r="466" customFormat="false" ht="15" hidden="false" customHeight="false" outlineLevel="0" collapsed="false">
      <c r="A466" s="5" t="n">
        <v>43548</v>
      </c>
      <c r="B466" s="5" t="s">
        <v>73</v>
      </c>
      <c r="C466" s="5" t="s">
        <v>690</v>
      </c>
      <c r="D466" s="4" t="s">
        <v>22</v>
      </c>
      <c r="E466" s="4" t="s">
        <v>1351</v>
      </c>
      <c r="F466" s="4" t="s">
        <v>1356</v>
      </c>
      <c r="G466" s="5" t="n">
        <v>51</v>
      </c>
      <c r="H466" s="5" t="s">
        <v>1353</v>
      </c>
      <c r="I466" s="4" t="s">
        <v>2015</v>
      </c>
      <c r="J466" s="4" t="s">
        <v>131</v>
      </c>
    </row>
    <row r="467" customFormat="false" ht="15" hidden="false" customHeight="false" outlineLevel="0" collapsed="false">
      <c r="A467" s="5" t="n">
        <v>38848</v>
      </c>
      <c r="B467" s="5" t="s">
        <v>73</v>
      </c>
      <c r="C467" s="5" t="s">
        <v>1798</v>
      </c>
      <c r="D467" s="4" t="s">
        <v>18</v>
      </c>
      <c r="E467" s="4" t="s">
        <v>1351</v>
      </c>
      <c r="F467" s="4" t="s">
        <v>1356</v>
      </c>
      <c r="G467" s="5" t="n">
        <v>150</v>
      </c>
      <c r="H467" s="5" t="s">
        <v>1353</v>
      </c>
      <c r="I467" s="4" t="s">
        <v>2016</v>
      </c>
      <c r="J467" s="4" t="s">
        <v>131</v>
      </c>
    </row>
    <row r="468" customFormat="false" ht="15" hidden="false" customHeight="false" outlineLevel="0" collapsed="false">
      <c r="A468" s="5" t="n">
        <v>41380</v>
      </c>
      <c r="B468" s="5" t="s">
        <v>73</v>
      </c>
      <c r="C468" s="5" t="s">
        <v>2017</v>
      </c>
      <c r="D468" s="4" t="s">
        <v>18</v>
      </c>
      <c r="E468" s="4" t="s">
        <v>1351</v>
      </c>
      <c r="F468" s="4" t="s">
        <v>1356</v>
      </c>
      <c r="G468" s="5" t="n">
        <v>85</v>
      </c>
      <c r="H468" s="5" t="s">
        <v>1353</v>
      </c>
      <c r="I468" s="4" t="s">
        <v>2018</v>
      </c>
      <c r="J468" s="4" t="s">
        <v>131</v>
      </c>
    </row>
    <row r="469" customFormat="false" ht="15" hidden="false" customHeight="false" outlineLevel="0" collapsed="false">
      <c r="A469" s="5" t="n">
        <v>43555</v>
      </c>
      <c r="B469" s="5" t="s">
        <v>73</v>
      </c>
      <c r="C469" s="5" t="s">
        <v>2019</v>
      </c>
      <c r="D469" s="4" t="s">
        <v>18</v>
      </c>
      <c r="E469" s="4" t="s">
        <v>1351</v>
      </c>
      <c r="F469" s="4" t="s">
        <v>1356</v>
      </c>
      <c r="G469" s="5" t="n">
        <v>120</v>
      </c>
      <c r="H469" s="5" t="s">
        <v>1353</v>
      </c>
      <c r="I469" s="4" t="s">
        <v>2020</v>
      </c>
      <c r="J469" s="4" t="s">
        <v>131</v>
      </c>
    </row>
    <row r="470" customFormat="false" ht="15" hidden="false" customHeight="false" outlineLevel="0" collapsed="false">
      <c r="A470" s="5" t="n">
        <v>43416</v>
      </c>
      <c r="B470" s="5" t="s">
        <v>73</v>
      </c>
      <c r="C470" s="5" t="s">
        <v>593</v>
      </c>
      <c r="D470" s="4" t="s">
        <v>18</v>
      </c>
      <c r="E470" s="4" t="s">
        <v>1351</v>
      </c>
      <c r="F470" s="4" t="s">
        <v>1356</v>
      </c>
      <c r="G470" s="5" t="n">
        <v>71</v>
      </c>
      <c r="H470" s="5" t="s">
        <v>1353</v>
      </c>
      <c r="I470" s="4" t="s">
        <v>2021</v>
      </c>
      <c r="J470" s="4" t="s">
        <v>131</v>
      </c>
    </row>
    <row r="471" customFormat="false" ht="15" hidden="false" customHeight="false" outlineLevel="0" collapsed="false">
      <c r="A471" s="5" t="n">
        <v>43556</v>
      </c>
      <c r="B471" s="5" t="s">
        <v>73</v>
      </c>
      <c r="C471" s="5" t="s">
        <v>1800</v>
      </c>
      <c r="D471" s="4" t="s">
        <v>18</v>
      </c>
      <c r="E471" s="4" t="s">
        <v>1351</v>
      </c>
      <c r="F471" s="4" t="s">
        <v>1368</v>
      </c>
      <c r="G471" s="5" t="n">
        <v>64</v>
      </c>
      <c r="H471" s="5" t="s">
        <v>1353</v>
      </c>
      <c r="I471" s="4" t="s">
        <v>2022</v>
      </c>
      <c r="J471" s="4" t="s">
        <v>131</v>
      </c>
    </row>
    <row r="472" customFormat="false" ht="15" hidden="false" customHeight="false" outlineLevel="0" collapsed="false">
      <c r="A472" s="5" t="n">
        <v>41221</v>
      </c>
      <c r="B472" s="5" t="s">
        <v>73</v>
      </c>
      <c r="C472" s="5" t="s">
        <v>598</v>
      </c>
      <c r="D472" s="4" t="s">
        <v>18</v>
      </c>
      <c r="E472" s="4" t="s">
        <v>1351</v>
      </c>
      <c r="F472" s="4" t="s">
        <v>1671</v>
      </c>
      <c r="G472" s="5" t="n">
        <v>33</v>
      </c>
      <c r="H472" s="5" t="s">
        <v>1397</v>
      </c>
      <c r="I472" s="4" t="s">
        <v>2023</v>
      </c>
      <c r="J472" s="4" t="s">
        <v>132</v>
      </c>
    </row>
    <row r="473" customFormat="false" ht="15" hidden="false" customHeight="false" outlineLevel="0" collapsed="false">
      <c r="A473" s="5" t="n">
        <v>43414</v>
      </c>
      <c r="B473" s="5" t="s">
        <v>73</v>
      </c>
      <c r="C473" s="5" t="s">
        <v>2024</v>
      </c>
      <c r="D473" s="4" t="s">
        <v>22</v>
      </c>
      <c r="E473" s="4" t="s">
        <v>1351</v>
      </c>
      <c r="F473" s="4" t="s">
        <v>1370</v>
      </c>
      <c r="G473" s="5" t="n">
        <v>17</v>
      </c>
      <c r="H473" s="5" t="s">
        <v>1419</v>
      </c>
      <c r="I473" s="4" t="s">
        <v>2025</v>
      </c>
      <c r="J473" s="4" t="s">
        <v>133</v>
      </c>
    </row>
    <row r="474" customFormat="false" ht="15" hidden="false" customHeight="false" outlineLevel="0" collapsed="false">
      <c r="A474" s="5" t="n">
        <v>42453</v>
      </c>
      <c r="B474" s="5" t="s">
        <v>73</v>
      </c>
      <c r="C474" s="5" t="s">
        <v>2026</v>
      </c>
      <c r="D474" s="4" t="s">
        <v>22</v>
      </c>
      <c r="E474" s="4" t="s">
        <v>1351</v>
      </c>
      <c r="F474" s="4" t="s">
        <v>1356</v>
      </c>
      <c r="G474" s="5" t="n">
        <v>41</v>
      </c>
      <c r="H474" s="5" t="s">
        <v>1353</v>
      </c>
      <c r="I474" s="4" t="s">
        <v>2027</v>
      </c>
      <c r="J474" s="4" t="s">
        <v>131</v>
      </c>
    </row>
    <row r="475" customFormat="false" ht="15" hidden="false" customHeight="false" outlineLevel="0" collapsed="false">
      <c r="A475" s="5" t="n">
        <v>28552</v>
      </c>
      <c r="B475" s="5" t="s">
        <v>74</v>
      </c>
      <c r="C475" s="5" t="s">
        <v>2028</v>
      </c>
      <c r="D475" s="4" t="s">
        <v>24</v>
      </c>
      <c r="E475" s="4" t="s">
        <v>1351</v>
      </c>
      <c r="F475" s="4" t="s">
        <v>1377</v>
      </c>
      <c r="G475" s="5" t="n">
        <v>76</v>
      </c>
      <c r="H475" s="5" t="s">
        <v>1353</v>
      </c>
      <c r="I475" s="4" t="s">
        <v>2029</v>
      </c>
      <c r="J475" s="4" t="s">
        <v>131</v>
      </c>
    </row>
    <row r="476" customFormat="false" ht="15" hidden="false" customHeight="false" outlineLevel="0" collapsed="false">
      <c r="A476" s="5" t="n">
        <v>43457</v>
      </c>
      <c r="B476" s="5" t="s">
        <v>74</v>
      </c>
      <c r="C476" s="5" t="s">
        <v>1916</v>
      </c>
      <c r="D476" s="4" t="s">
        <v>34</v>
      </c>
      <c r="E476" s="4" t="s">
        <v>1351</v>
      </c>
      <c r="F476" s="4" t="s">
        <v>1352</v>
      </c>
      <c r="G476" s="5" t="n">
        <v>84</v>
      </c>
      <c r="H476" s="5" t="s">
        <v>1353</v>
      </c>
      <c r="I476" s="4" t="s">
        <v>2030</v>
      </c>
      <c r="J476" s="4" t="s">
        <v>131</v>
      </c>
    </row>
    <row r="477" customFormat="false" ht="15" hidden="false" customHeight="false" outlineLevel="0" collapsed="false">
      <c r="A477" s="5" t="n">
        <v>35449</v>
      </c>
      <c r="B477" s="5" t="s">
        <v>74</v>
      </c>
      <c r="C477" s="5" t="s">
        <v>2031</v>
      </c>
      <c r="D477" s="4" t="s">
        <v>34</v>
      </c>
      <c r="E477" s="4" t="s">
        <v>1351</v>
      </c>
      <c r="F477" s="4" t="s">
        <v>1352</v>
      </c>
      <c r="G477" s="5" t="n">
        <v>96</v>
      </c>
      <c r="H477" s="5" t="s">
        <v>1353</v>
      </c>
      <c r="I477" s="4" t="s">
        <v>1532</v>
      </c>
      <c r="J477" s="4" t="s">
        <v>131</v>
      </c>
    </row>
    <row r="478" customFormat="false" ht="15" hidden="false" customHeight="false" outlineLevel="0" collapsed="false">
      <c r="A478" s="5" t="n">
        <v>41604</v>
      </c>
      <c r="B478" s="5" t="s">
        <v>74</v>
      </c>
      <c r="C478" s="5" t="s">
        <v>2032</v>
      </c>
      <c r="D478" s="4" t="s">
        <v>24</v>
      </c>
      <c r="E478" s="4" t="s">
        <v>1351</v>
      </c>
      <c r="F478" s="4" t="s">
        <v>1356</v>
      </c>
      <c r="G478" s="5" t="n">
        <v>114</v>
      </c>
      <c r="H478" s="5" t="s">
        <v>1353</v>
      </c>
      <c r="I478" s="4" t="s">
        <v>2033</v>
      </c>
      <c r="J478" s="4" t="s">
        <v>131</v>
      </c>
    </row>
    <row r="479" customFormat="false" ht="15" hidden="false" customHeight="false" outlineLevel="0" collapsed="false">
      <c r="A479" s="5" t="n">
        <v>43561</v>
      </c>
      <c r="B479" s="5" t="s">
        <v>74</v>
      </c>
      <c r="C479" s="5" t="s">
        <v>2034</v>
      </c>
      <c r="D479" s="4" t="s">
        <v>34</v>
      </c>
      <c r="E479" s="4" t="s">
        <v>1351</v>
      </c>
      <c r="F479" s="4" t="s">
        <v>1356</v>
      </c>
      <c r="G479" s="5" t="n">
        <v>90</v>
      </c>
      <c r="H479" s="5" t="s">
        <v>1353</v>
      </c>
      <c r="I479" s="4" t="s">
        <v>2035</v>
      </c>
      <c r="J479" s="4" t="s">
        <v>131</v>
      </c>
    </row>
    <row r="480" customFormat="false" ht="15" hidden="false" customHeight="false" outlineLevel="0" collapsed="false">
      <c r="A480" s="5" t="n">
        <v>43562</v>
      </c>
      <c r="B480" s="5" t="s">
        <v>74</v>
      </c>
      <c r="C480" s="5" t="s">
        <v>1387</v>
      </c>
      <c r="D480" s="4" t="s">
        <v>32</v>
      </c>
      <c r="E480" s="4" t="s">
        <v>1351</v>
      </c>
      <c r="F480" s="4" t="s">
        <v>1352</v>
      </c>
      <c r="G480" s="5" t="n">
        <v>59</v>
      </c>
      <c r="H480" s="5" t="s">
        <v>1353</v>
      </c>
      <c r="I480" s="4" t="s">
        <v>2036</v>
      </c>
      <c r="J480" s="4" t="s">
        <v>131</v>
      </c>
    </row>
    <row r="481" customFormat="false" ht="15" hidden="false" customHeight="false" outlineLevel="0" collapsed="false">
      <c r="A481" s="5" t="n">
        <v>42604</v>
      </c>
      <c r="B481" s="5" t="s">
        <v>74</v>
      </c>
      <c r="C481" s="5" t="s">
        <v>2037</v>
      </c>
      <c r="D481" s="4" t="s">
        <v>32</v>
      </c>
      <c r="E481" s="4" t="s">
        <v>1351</v>
      </c>
      <c r="F481" s="4" t="s">
        <v>1352</v>
      </c>
      <c r="G481" s="5" t="n">
        <v>51</v>
      </c>
      <c r="H481" s="5" t="s">
        <v>1353</v>
      </c>
      <c r="I481" s="4" t="s">
        <v>2038</v>
      </c>
      <c r="J481" s="4" t="s">
        <v>131</v>
      </c>
    </row>
    <row r="482" customFormat="false" ht="15" hidden="false" customHeight="false" outlineLevel="0" collapsed="false">
      <c r="A482" s="5" t="n">
        <v>43563</v>
      </c>
      <c r="B482" s="5" t="s">
        <v>74</v>
      </c>
      <c r="C482" s="5" t="s">
        <v>2039</v>
      </c>
      <c r="D482" s="4" t="s">
        <v>32</v>
      </c>
      <c r="E482" s="4" t="s">
        <v>1351</v>
      </c>
      <c r="F482" s="4" t="s">
        <v>1352</v>
      </c>
      <c r="G482" s="5" t="n">
        <v>118</v>
      </c>
      <c r="H482" s="5" t="s">
        <v>1353</v>
      </c>
      <c r="I482" s="4" t="s">
        <v>2040</v>
      </c>
      <c r="J482" s="4" t="s">
        <v>131</v>
      </c>
    </row>
    <row r="483" customFormat="false" ht="15" hidden="false" customHeight="false" outlineLevel="0" collapsed="false">
      <c r="A483" s="5" t="n">
        <v>41590</v>
      </c>
      <c r="B483" s="5" t="s">
        <v>74</v>
      </c>
      <c r="C483" s="5" t="s">
        <v>1230</v>
      </c>
      <c r="D483" s="4" t="s">
        <v>32</v>
      </c>
      <c r="E483" s="4" t="s">
        <v>1351</v>
      </c>
      <c r="F483" s="4" t="s">
        <v>1352</v>
      </c>
      <c r="G483" s="5" t="n">
        <v>69</v>
      </c>
      <c r="H483" s="5" t="s">
        <v>1353</v>
      </c>
      <c r="I483" s="4" t="s">
        <v>2041</v>
      </c>
      <c r="J483" s="4" t="s">
        <v>131</v>
      </c>
    </row>
    <row r="484" customFormat="false" ht="15" hidden="false" customHeight="false" outlineLevel="0" collapsed="false">
      <c r="A484" s="5" t="n">
        <v>43564</v>
      </c>
      <c r="B484" s="5" t="s">
        <v>74</v>
      </c>
      <c r="C484" s="5" t="s">
        <v>795</v>
      </c>
      <c r="D484" s="4" t="s">
        <v>32</v>
      </c>
      <c r="E484" s="4" t="s">
        <v>1351</v>
      </c>
      <c r="F484" s="4" t="s">
        <v>1352</v>
      </c>
      <c r="G484" s="5" t="n">
        <v>73</v>
      </c>
      <c r="H484" s="5" t="s">
        <v>1353</v>
      </c>
      <c r="I484" s="4" t="s">
        <v>2042</v>
      </c>
      <c r="J484" s="4" t="s">
        <v>131</v>
      </c>
    </row>
    <row r="485" customFormat="false" ht="15" hidden="false" customHeight="false" outlineLevel="0" collapsed="false">
      <c r="A485" s="5" t="n">
        <v>39768</v>
      </c>
      <c r="B485" s="5" t="s">
        <v>74</v>
      </c>
      <c r="C485" s="5" t="s">
        <v>983</v>
      </c>
      <c r="D485" s="4" t="s">
        <v>24</v>
      </c>
      <c r="E485" s="4" t="s">
        <v>1351</v>
      </c>
      <c r="F485" s="4" t="s">
        <v>1356</v>
      </c>
      <c r="G485" s="5" t="n">
        <v>119</v>
      </c>
      <c r="H485" s="5" t="s">
        <v>1353</v>
      </c>
      <c r="I485" s="4" t="s">
        <v>1852</v>
      </c>
      <c r="J485" s="4" t="s">
        <v>131</v>
      </c>
    </row>
    <row r="486" customFormat="false" ht="15" hidden="false" customHeight="false" outlineLevel="0" collapsed="false">
      <c r="A486" s="5" t="n">
        <v>40081</v>
      </c>
      <c r="B486" s="5" t="s">
        <v>74</v>
      </c>
      <c r="C486" s="5" t="s">
        <v>1991</v>
      </c>
      <c r="D486" s="4" t="s">
        <v>20</v>
      </c>
      <c r="E486" s="4" t="s">
        <v>1351</v>
      </c>
      <c r="F486" s="4" t="s">
        <v>1356</v>
      </c>
      <c r="G486" s="5" t="n">
        <v>66</v>
      </c>
      <c r="H486" s="5" t="s">
        <v>1353</v>
      </c>
      <c r="I486" s="4" t="s">
        <v>2043</v>
      </c>
      <c r="J486" s="4" t="s">
        <v>131</v>
      </c>
    </row>
    <row r="487" customFormat="false" ht="15" hidden="false" customHeight="false" outlineLevel="0" collapsed="false">
      <c r="A487" s="5" t="n">
        <v>36328</v>
      </c>
      <c r="B487" s="5" t="s">
        <v>74</v>
      </c>
      <c r="C487" s="5" t="s">
        <v>1615</v>
      </c>
      <c r="D487" s="4" t="s">
        <v>20</v>
      </c>
      <c r="E487" s="4" t="s">
        <v>1351</v>
      </c>
      <c r="F487" s="4" t="s">
        <v>1356</v>
      </c>
      <c r="G487" s="5" t="n">
        <v>89</v>
      </c>
      <c r="H487" s="5" t="s">
        <v>1353</v>
      </c>
      <c r="I487" s="4" t="s">
        <v>2044</v>
      </c>
      <c r="J487" s="4" t="s">
        <v>131</v>
      </c>
    </row>
    <row r="488" customFormat="false" ht="15" hidden="false" customHeight="false" outlineLevel="0" collapsed="false">
      <c r="A488" s="5" t="n">
        <v>40640</v>
      </c>
      <c r="B488" s="5" t="s">
        <v>74</v>
      </c>
      <c r="C488" s="5" t="s">
        <v>1617</v>
      </c>
      <c r="D488" s="4" t="s">
        <v>20</v>
      </c>
      <c r="E488" s="4" t="s">
        <v>1351</v>
      </c>
      <c r="F488" s="4" t="s">
        <v>1356</v>
      </c>
      <c r="G488" s="5" t="n">
        <v>47</v>
      </c>
      <c r="H488" s="5" t="s">
        <v>1353</v>
      </c>
      <c r="I488" s="4" t="s">
        <v>2045</v>
      </c>
      <c r="J488" s="4" t="s">
        <v>131</v>
      </c>
    </row>
    <row r="489" customFormat="false" ht="15" hidden="false" customHeight="false" outlineLevel="0" collapsed="false">
      <c r="A489" s="5" t="n">
        <v>43570</v>
      </c>
      <c r="B489" s="5" t="s">
        <v>74</v>
      </c>
      <c r="C489" s="5" t="s">
        <v>439</v>
      </c>
      <c r="D489" s="4" t="s">
        <v>20</v>
      </c>
      <c r="E489" s="4" t="s">
        <v>1351</v>
      </c>
      <c r="F489" s="4" t="s">
        <v>1352</v>
      </c>
      <c r="G489" s="5" t="n">
        <v>67</v>
      </c>
      <c r="H489" s="5" t="s">
        <v>1353</v>
      </c>
      <c r="I489" s="4" t="s">
        <v>2046</v>
      </c>
      <c r="J489" s="4" t="s">
        <v>131</v>
      </c>
    </row>
    <row r="490" customFormat="false" ht="15" hidden="false" customHeight="false" outlineLevel="0" collapsed="false">
      <c r="A490" s="5" t="n">
        <v>43571</v>
      </c>
      <c r="B490" s="5" t="s">
        <v>74</v>
      </c>
      <c r="C490" s="5" t="s">
        <v>799</v>
      </c>
      <c r="D490" s="4" t="s">
        <v>20</v>
      </c>
      <c r="E490" s="4" t="s">
        <v>1351</v>
      </c>
      <c r="F490" s="4" t="s">
        <v>1352</v>
      </c>
      <c r="G490" s="5" t="n">
        <v>67</v>
      </c>
      <c r="H490" s="5" t="s">
        <v>1353</v>
      </c>
      <c r="I490" s="4" t="s">
        <v>2046</v>
      </c>
      <c r="J490" s="4" t="s">
        <v>131</v>
      </c>
    </row>
    <row r="491" customFormat="false" ht="15" hidden="false" customHeight="false" outlineLevel="0" collapsed="false">
      <c r="A491" s="5" t="n">
        <v>43572</v>
      </c>
      <c r="B491" s="5" t="s">
        <v>74</v>
      </c>
      <c r="C491" s="5" t="s">
        <v>721</v>
      </c>
      <c r="D491" s="4" t="s">
        <v>30</v>
      </c>
      <c r="E491" s="4" t="s">
        <v>1351</v>
      </c>
      <c r="F491" s="4" t="s">
        <v>1356</v>
      </c>
      <c r="G491" s="5" t="n">
        <v>78</v>
      </c>
      <c r="H491" s="5" t="s">
        <v>1353</v>
      </c>
      <c r="I491" s="4" t="s">
        <v>2047</v>
      </c>
      <c r="J491" s="4" t="s">
        <v>131</v>
      </c>
    </row>
    <row r="492" customFormat="false" ht="15" hidden="false" customHeight="false" outlineLevel="0" collapsed="false">
      <c r="A492" s="5" t="n">
        <v>43573</v>
      </c>
      <c r="B492" s="5" t="s">
        <v>74</v>
      </c>
      <c r="C492" s="5" t="s">
        <v>635</v>
      </c>
      <c r="D492" s="4" t="s">
        <v>30</v>
      </c>
      <c r="E492" s="4" t="s">
        <v>1351</v>
      </c>
      <c r="F492" s="4" t="s">
        <v>1356</v>
      </c>
      <c r="G492" s="5" t="n">
        <v>81</v>
      </c>
      <c r="H492" s="5" t="s">
        <v>1353</v>
      </c>
      <c r="I492" s="4" t="s">
        <v>2048</v>
      </c>
      <c r="J492" s="4" t="s">
        <v>131</v>
      </c>
    </row>
    <row r="493" customFormat="false" ht="15" hidden="false" customHeight="false" outlineLevel="0" collapsed="false">
      <c r="A493" s="5" t="n">
        <v>43574</v>
      </c>
      <c r="B493" s="5" t="s">
        <v>74</v>
      </c>
      <c r="C493" s="5" t="s">
        <v>725</v>
      </c>
      <c r="D493" s="4" t="s">
        <v>30</v>
      </c>
      <c r="E493" s="4" t="s">
        <v>1351</v>
      </c>
      <c r="F493" s="4" t="s">
        <v>1356</v>
      </c>
      <c r="G493" s="5" t="n">
        <v>21</v>
      </c>
      <c r="H493" s="5" t="s">
        <v>1397</v>
      </c>
      <c r="I493" s="4" t="s">
        <v>2049</v>
      </c>
      <c r="J493" s="4" t="s">
        <v>132</v>
      </c>
    </row>
    <row r="494" customFormat="false" ht="15" hidden="false" customHeight="false" outlineLevel="0" collapsed="false">
      <c r="A494" s="5" t="n">
        <v>43575</v>
      </c>
      <c r="B494" s="5" t="s">
        <v>74</v>
      </c>
      <c r="C494" s="5" t="s">
        <v>811</v>
      </c>
      <c r="D494" s="4" t="s">
        <v>30</v>
      </c>
      <c r="E494" s="4" t="s">
        <v>1351</v>
      </c>
      <c r="F494" s="4" t="s">
        <v>1356</v>
      </c>
      <c r="G494" s="5" t="n">
        <v>29</v>
      </c>
      <c r="H494" s="5" t="s">
        <v>1397</v>
      </c>
      <c r="I494" s="4" t="s">
        <v>2050</v>
      </c>
      <c r="J494" s="4" t="s">
        <v>132</v>
      </c>
    </row>
    <row r="495" customFormat="false" ht="15" hidden="false" customHeight="false" outlineLevel="0" collapsed="false">
      <c r="A495" s="5" t="n">
        <v>43576</v>
      </c>
      <c r="B495" s="5" t="s">
        <v>74</v>
      </c>
      <c r="C495" s="5" t="s">
        <v>638</v>
      </c>
      <c r="D495" s="4" t="s">
        <v>30</v>
      </c>
      <c r="E495" s="4" t="s">
        <v>1351</v>
      </c>
      <c r="F495" s="4" t="s">
        <v>1356</v>
      </c>
      <c r="G495" s="5" t="n">
        <v>109</v>
      </c>
      <c r="H495" s="5" t="s">
        <v>1353</v>
      </c>
      <c r="I495" s="4" t="s">
        <v>2051</v>
      </c>
      <c r="J495" s="4" t="s">
        <v>131</v>
      </c>
    </row>
    <row r="496" customFormat="false" ht="15" hidden="false" customHeight="false" outlineLevel="0" collapsed="false">
      <c r="A496" s="5" t="n">
        <v>43577</v>
      </c>
      <c r="B496" s="5" t="s">
        <v>74</v>
      </c>
      <c r="C496" s="5" t="s">
        <v>812</v>
      </c>
      <c r="D496" s="4" t="s">
        <v>30</v>
      </c>
      <c r="E496" s="4" t="s">
        <v>1351</v>
      </c>
      <c r="F496" s="4" t="s">
        <v>1352</v>
      </c>
      <c r="G496" s="5" t="n">
        <v>66</v>
      </c>
      <c r="H496" s="5" t="s">
        <v>1353</v>
      </c>
      <c r="I496" s="4" t="s">
        <v>2052</v>
      </c>
      <c r="J496" s="4" t="s">
        <v>131</v>
      </c>
    </row>
    <row r="497" customFormat="false" ht="15" hidden="false" customHeight="false" outlineLevel="0" collapsed="false">
      <c r="A497" s="5" t="n">
        <v>43578</v>
      </c>
      <c r="B497" s="5" t="s">
        <v>74</v>
      </c>
      <c r="C497" s="5" t="s">
        <v>2053</v>
      </c>
      <c r="D497" s="4" t="s">
        <v>22</v>
      </c>
      <c r="E497" s="4" t="s">
        <v>1351</v>
      </c>
      <c r="F497" s="4" t="s">
        <v>1356</v>
      </c>
      <c r="G497" s="5" t="n">
        <v>63</v>
      </c>
      <c r="H497" s="5" t="s">
        <v>1353</v>
      </c>
      <c r="I497" s="4" t="s">
        <v>2054</v>
      </c>
      <c r="J497" s="4" t="s">
        <v>131</v>
      </c>
    </row>
    <row r="498" customFormat="false" ht="15" hidden="false" customHeight="false" outlineLevel="0" collapsed="false">
      <c r="A498" s="5" t="n">
        <v>43475</v>
      </c>
      <c r="B498" s="5" t="s">
        <v>74</v>
      </c>
      <c r="C498" s="5" t="s">
        <v>2055</v>
      </c>
      <c r="D498" s="4" t="s">
        <v>22</v>
      </c>
      <c r="E498" s="4" t="s">
        <v>1351</v>
      </c>
      <c r="F498" s="4" t="s">
        <v>1356</v>
      </c>
      <c r="G498" s="5" t="n">
        <v>46</v>
      </c>
      <c r="H498" s="5" t="s">
        <v>1353</v>
      </c>
      <c r="I498" s="4" t="s">
        <v>2056</v>
      </c>
      <c r="J498" s="4" t="s">
        <v>131</v>
      </c>
    </row>
    <row r="499" customFormat="false" ht="15" hidden="false" customHeight="false" outlineLevel="0" collapsed="false">
      <c r="A499" s="5" t="n">
        <v>43579</v>
      </c>
      <c r="B499" s="5" t="s">
        <v>74</v>
      </c>
      <c r="C499" s="5" t="s">
        <v>2057</v>
      </c>
      <c r="D499" s="4" t="s">
        <v>22</v>
      </c>
      <c r="E499" s="4" t="s">
        <v>1351</v>
      </c>
      <c r="F499" s="4" t="s">
        <v>1370</v>
      </c>
      <c r="G499" s="5" t="n">
        <v>54</v>
      </c>
      <c r="H499" s="5" t="s">
        <v>1353</v>
      </c>
      <c r="I499" s="4" t="s">
        <v>2058</v>
      </c>
      <c r="J499" s="4" t="s">
        <v>131</v>
      </c>
    </row>
    <row r="500" customFormat="false" ht="15" hidden="false" customHeight="false" outlineLevel="0" collapsed="false">
      <c r="A500" s="5" t="n">
        <v>43580</v>
      </c>
      <c r="B500" s="5" t="s">
        <v>74</v>
      </c>
      <c r="C500" s="5" t="s">
        <v>1905</v>
      </c>
      <c r="D500" s="4" t="s">
        <v>22</v>
      </c>
      <c r="E500" s="4" t="s">
        <v>1351</v>
      </c>
      <c r="F500" s="4" t="s">
        <v>1370</v>
      </c>
      <c r="G500" s="5" t="n">
        <v>29</v>
      </c>
      <c r="H500" s="5" t="s">
        <v>1397</v>
      </c>
      <c r="I500" s="4" t="s">
        <v>2059</v>
      </c>
      <c r="J500" s="4" t="s">
        <v>132</v>
      </c>
    </row>
    <row r="501" customFormat="false" ht="15" hidden="false" customHeight="false" outlineLevel="0" collapsed="false">
      <c r="A501" s="5" t="n">
        <v>40730</v>
      </c>
      <c r="B501" s="5" t="s">
        <v>76</v>
      </c>
      <c r="C501" s="5" t="s">
        <v>1738</v>
      </c>
      <c r="D501" s="4" t="s">
        <v>18</v>
      </c>
      <c r="E501" s="4" t="s">
        <v>1351</v>
      </c>
      <c r="F501" s="4" t="s">
        <v>1352</v>
      </c>
      <c r="G501" s="5" t="n">
        <v>119</v>
      </c>
      <c r="H501" s="5" t="s">
        <v>1353</v>
      </c>
      <c r="I501" s="4" t="s">
        <v>2060</v>
      </c>
      <c r="J501" s="4" t="s">
        <v>131</v>
      </c>
    </row>
    <row r="502" customFormat="false" ht="15" hidden="false" customHeight="false" outlineLevel="0" collapsed="false">
      <c r="A502" s="5" t="n">
        <v>38100</v>
      </c>
      <c r="B502" s="5" t="s">
        <v>76</v>
      </c>
      <c r="C502" s="5" t="s">
        <v>2061</v>
      </c>
      <c r="D502" s="4" t="s">
        <v>18</v>
      </c>
      <c r="E502" s="4" t="s">
        <v>1351</v>
      </c>
      <c r="F502" s="4" t="s">
        <v>1368</v>
      </c>
      <c r="G502" s="5" t="n">
        <v>80</v>
      </c>
      <c r="H502" s="5" t="s">
        <v>1353</v>
      </c>
      <c r="I502" s="4" t="s">
        <v>2062</v>
      </c>
      <c r="J502" s="4" t="s">
        <v>131</v>
      </c>
    </row>
    <row r="503" customFormat="false" ht="15" hidden="false" customHeight="false" outlineLevel="0" collapsed="false">
      <c r="A503" s="5" t="n">
        <v>43581</v>
      </c>
      <c r="B503" s="5" t="s">
        <v>76</v>
      </c>
      <c r="C503" s="5" t="s">
        <v>2063</v>
      </c>
      <c r="D503" s="4" t="s">
        <v>18</v>
      </c>
      <c r="E503" s="4" t="s">
        <v>1351</v>
      </c>
      <c r="F503" s="4" t="s">
        <v>1356</v>
      </c>
      <c r="G503" s="5" t="n">
        <v>60</v>
      </c>
      <c r="H503" s="5" t="s">
        <v>1353</v>
      </c>
      <c r="I503" s="4" t="s">
        <v>2064</v>
      </c>
      <c r="J503" s="4" t="s">
        <v>131</v>
      </c>
    </row>
    <row r="504" customFormat="false" ht="15" hidden="false" customHeight="false" outlineLevel="0" collapsed="false">
      <c r="A504" s="5" t="n">
        <v>43582</v>
      </c>
      <c r="B504" s="5" t="s">
        <v>76</v>
      </c>
      <c r="C504" s="5" t="s">
        <v>2065</v>
      </c>
      <c r="D504" s="4" t="s">
        <v>18</v>
      </c>
      <c r="E504" s="4" t="s">
        <v>1351</v>
      </c>
      <c r="F504" s="4" t="s">
        <v>1356</v>
      </c>
      <c r="G504" s="5" t="n">
        <v>89</v>
      </c>
      <c r="H504" s="5" t="s">
        <v>1353</v>
      </c>
      <c r="I504" s="4" t="s">
        <v>2066</v>
      </c>
      <c r="J504" s="4" t="s">
        <v>131</v>
      </c>
    </row>
    <row r="505" customFormat="false" ht="15" hidden="false" customHeight="false" outlineLevel="0" collapsed="false">
      <c r="A505" s="5" t="n">
        <v>43583</v>
      </c>
      <c r="B505" s="5" t="s">
        <v>76</v>
      </c>
      <c r="C505" s="5" t="s">
        <v>2067</v>
      </c>
      <c r="D505" s="4" t="s">
        <v>18</v>
      </c>
      <c r="E505" s="4" t="s">
        <v>1351</v>
      </c>
      <c r="F505" s="4" t="s">
        <v>1356</v>
      </c>
      <c r="G505" s="5" t="n">
        <v>105</v>
      </c>
      <c r="H505" s="5" t="s">
        <v>1353</v>
      </c>
      <c r="I505" s="4" t="s">
        <v>2068</v>
      </c>
      <c r="J505" s="4" t="s">
        <v>131</v>
      </c>
    </row>
    <row r="506" customFormat="false" ht="15" hidden="false" customHeight="false" outlineLevel="0" collapsed="false">
      <c r="A506" s="5" t="n">
        <v>41221</v>
      </c>
      <c r="B506" s="5" t="s">
        <v>76</v>
      </c>
      <c r="C506" s="5" t="s">
        <v>2069</v>
      </c>
      <c r="D506" s="4" t="s">
        <v>18</v>
      </c>
      <c r="E506" s="4" t="s">
        <v>1351</v>
      </c>
      <c r="F506" s="4" t="s">
        <v>1377</v>
      </c>
      <c r="G506" s="5" t="n">
        <v>49</v>
      </c>
      <c r="H506" s="5" t="s">
        <v>1353</v>
      </c>
      <c r="I506" s="4" t="s">
        <v>2070</v>
      </c>
      <c r="J506" s="4" t="s">
        <v>131</v>
      </c>
    </row>
    <row r="507" customFormat="false" ht="15" hidden="false" customHeight="false" outlineLevel="0" collapsed="false">
      <c r="A507" s="5" t="n">
        <v>43353</v>
      </c>
      <c r="B507" s="5" t="s">
        <v>76</v>
      </c>
      <c r="C507" s="5" t="s">
        <v>2071</v>
      </c>
      <c r="D507" s="4" t="s">
        <v>28</v>
      </c>
      <c r="E507" s="4" t="s">
        <v>1351</v>
      </c>
      <c r="F507" s="4" t="s">
        <v>1356</v>
      </c>
      <c r="G507" s="5" t="n">
        <v>38</v>
      </c>
      <c r="H507" s="5" t="s">
        <v>1397</v>
      </c>
      <c r="I507" s="4" t="s">
        <v>2072</v>
      </c>
      <c r="J507" s="4" t="s">
        <v>132</v>
      </c>
    </row>
    <row r="508" customFormat="false" ht="15" hidden="false" customHeight="false" outlineLevel="0" collapsed="false">
      <c r="A508" s="5" t="n">
        <v>26013</v>
      </c>
      <c r="B508" s="5" t="s">
        <v>76</v>
      </c>
      <c r="C508" s="5" t="s">
        <v>2073</v>
      </c>
      <c r="D508" s="4" t="s">
        <v>34</v>
      </c>
      <c r="E508" s="4" t="s">
        <v>1351</v>
      </c>
      <c r="F508" s="4" t="s">
        <v>1352</v>
      </c>
      <c r="G508" s="5" t="n">
        <v>147</v>
      </c>
      <c r="H508" s="5" t="s">
        <v>1353</v>
      </c>
      <c r="I508" s="4" t="s">
        <v>2074</v>
      </c>
      <c r="J508" s="4" t="s">
        <v>131</v>
      </c>
    </row>
    <row r="509" customFormat="false" ht="15" hidden="false" customHeight="false" outlineLevel="0" collapsed="false">
      <c r="A509" s="5" t="n">
        <v>29492</v>
      </c>
      <c r="B509" s="5" t="s">
        <v>76</v>
      </c>
      <c r="C509" s="5" t="s">
        <v>1420</v>
      </c>
      <c r="D509" s="4" t="s">
        <v>34</v>
      </c>
      <c r="E509" s="4" t="s">
        <v>1351</v>
      </c>
      <c r="F509" s="4" t="s">
        <v>1352</v>
      </c>
      <c r="G509" s="5" t="n">
        <v>109</v>
      </c>
      <c r="H509" s="5" t="s">
        <v>1353</v>
      </c>
      <c r="I509" s="4" t="s">
        <v>2075</v>
      </c>
      <c r="J509" s="4" t="s">
        <v>131</v>
      </c>
    </row>
    <row r="510" customFormat="false" ht="15" hidden="false" customHeight="false" outlineLevel="0" collapsed="false">
      <c r="A510" s="5" t="n">
        <v>39157</v>
      </c>
      <c r="B510" s="5" t="s">
        <v>76</v>
      </c>
      <c r="C510" s="5" t="s">
        <v>1631</v>
      </c>
      <c r="D510" s="4" t="s">
        <v>34</v>
      </c>
      <c r="E510" s="4" t="s">
        <v>1351</v>
      </c>
      <c r="F510" s="4" t="s">
        <v>1352</v>
      </c>
      <c r="G510" s="5" t="n">
        <v>149</v>
      </c>
      <c r="H510" s="5" t="s">
        <v>1353</v>
      </c>
      <c r="I510" s="4" t="s">
        <v>1819</v>
      </c>
      <c r="J510" s="4" t="s">
        <v>131</v>
      </c>
    </row>
    <row r="511" customFormat="false" ht="15" hidden="false" customHeight="false" outlineLevel="0" collapsed="false">
      <c r="A511" s="5" t="n">
        <v>39948</v>
      </c>
      <c r="B511" s="5" t="s">
        <v>76</v>
      </c>
      <c r="C511" s="5" t="s">
        <v>1491</v>
      </c>
      <c r="D511" s="4" t="s">
        <v>34</v>
      </c>
      <c r="E511" s="4" t="s">
        <v>1351</v>
      </c>
      <c r="F511" s="4" t="s">
        <v>1352</v>
      </c>
      <c r="G511" s="5" t="n">
        <v>85</v>
      </c>
      <c r="H511" s="5" t="s">
        <v>1353</v>
      </c>
      <c r="I511" s="4" t="s">
        <v>2076</v>
      </c>
      <c r="J511" s="4" t="s">
        <v>131</v>
      </c>
    </row>
    <row r="512" customFormat="false" ht="15" hidden="false" customHeight="false" outlineLevel="0" collapsed="false">
      <c r="A512" s="5" t="n">
        <v>43584</v>
      </c>
      <c r="B512" s="5" t="s">
        <v>76</v>
      </c>
      <c r="C512" s="5" t="s">
        <v>2077</v>
      </c>
      <c r="D512" s="4" t="s">
        <v>34</v>
      </c>
      <c r="E512" s="4" t="s">
        <v>1351</v>
      </c>
      <c r="F512" s="4" t="s">
        <v>1352</v>
      </c>
      <c r="G512" s="5" t="n">
        <v>93</v>
      </c>
      <c r="H512" s="5" t="s">
        <v>1353</v>
      </c>
      <c r="I512" s="4" t="s">
        <v>2078</v>
      </c>
      <c r="J512" s="4" t="s">
        <v>131</v>
      </c>
    </row>
    <row r="513" customFormat="false" ht="15" hidden="false" customHeight="false" outlineLevel="0" collapsed="false">
      <c r="A513" s="5" t="n">
        <v>35542</v>
      </c>
      <c r="B513" s="5" t="s">
        <v>76</v>
      </c>
      <c r="C513" s="5" t="s">
        <v>1498</v>
      </c>
      <c r="D513" s="4" t="s">
        <v>34</v>
      </c>
      <c r="E513" s="4" t="s">
        <v>1351</v>
      </c>
      <c r="F513" s="4" t="s">
        <v>1368</v>
      </c>
      <c r="G513" s="5" t="n">
        <v>40</v>
      </c>
      <c r="H513" s="5" t="s">
        <v>1353</v>
      </c>
      <c r="I513" s="4" t="s">
        <v>2079</v>
      </c>
      <c r="J513" s="4" t="s">
        <v>131</v>
      </c>
    </row>
    <row r="514" customFormat="false" ht="15" hidden="false" customHeight="false" outlineLevel="0" collapsed="false">
      <c r="A514" s="5" t="n">
        <v>39358</v>
      </c>
      <c r="B514" s="5" t="s">
        <v>76</v>
      </c>
      <c r="C514" s="5" t="s">
        <v>1466</v>
      </c>
      <c r="D514" s="4" t="s">
        <v>34</v>
      </c>
      <c r="E514" s="4" t="s">
        <v>1351</v>
      </c>
      <c r="F514" s="4" t="s">
        <v>1370</v>
      </c>
      <c r="G514" s="5" t="n">
        <v>80</v>
      </c>
      <c r="H514" s="5" t="s">
        <v>1353</v>
      </c>
      <c r="I514" s="4" t="s">
        <v>2080</v>
      </c>
      <c r="J514" s="4" t="s">
        <v>131</v>
      </c>
    </row>
    <row r="515" customFormat="false" ht="15" hidden="false" customHeight="false" outlineLevel="0" collapsed="false">
      <c r="A515" s="5" t="n">
        <v>39358</v>
      </c>
      <c r="B515" s="5" t="s">
        <v>76</v>
      </c>
      <c r="C515" s="5" t="s">
        <v>1466</v>
      </c>
      <c r="D515" s="4" t="s">
        <v>34</v>
      </c>
      <c r="E515" s="4" t="s">
        <v>1351</v>
      </c>
      <c r="F515" s="4" t="s">
        <v>1377</v>
      </c>
      <c r="G515" s="5" t="n">
        <v>10</v>
      </c>
      <c r="H515" s="5" t="s">
        <v>1419</v>
      </c>
      <c r="I515" s="4" t="s">
        <v>1427</v>
      </c>
      <c r="J515" s="4" t="s">
        <v>133</v>
      </c>
    </row>
    <row r="516" customFormat="false" ht="15" hidden="false" customHeight="false" outlineLevel="0" collapsed="false">
      <c r="A516" s="5" t="n">
        <v>39768</v>
      </c>
      <c r="B516" s="5" t="s">
        <v>76</v>
      </c>
      <c r="C516" s="5" t="s">
        <v>1850</v>
      </c>
      <c r="D516" s="4" t="s">
        <v>24</v>
      </c>
      <c r="E516" s="4" t="s">
        <v>1351</v>
      </c>
      <c r="F516" s="4" t="s">
        <v>1356</v>
      </c>
      <c r="G516" s="5" t="n">
        <v>160</v>
      </c>
      <c r="H516" s="5" t="s">
        <v>1353</v>
      </c>
      <c r="I516" s="4" t="s">
        <v>2081</v>
      </c>
      <c r="J516" s="4" t="s">
        <v>131</v>
      </c>
    </row>
    <row r="517" customFormat="false" ht="15" hidden="false" customHeight="false" outlineLevel="0" collapsed="false">
      <c r="A517" s="5" t="n">
        <v>39379</v>
      </c>
      <c r="B517" s="5" t="s">
        <v>76</v>
      </c>
      <c r="C517" s="5" t="s">
        <v>2082</v>
      </c>
      <c r="D517" s="4" t="s">
        <v>34</v>
      </c>
      <c r="E517" s="4" t="s">
        <v>1351</v>
      </c>
      <c r="F517" s="4" t="s">
        <v>1352</v>
      </c>
      <c r="G517" s="5" t="n">
        <v>122</v>
      </c>
      <c r="H517" s="5" t="s">
        <v>1353</v>
      </c>
      <c r="I517" s="4" t="s">
        <v>2083</v>
      </c>
      <c r="J517" s="4" t="s">
        <v>131</v>
      </c>
    </row>
    <row r="518" customFormat="false" ht="15" hidden="false" customHeight="false" outlineLevel="0" collapsed="false">
      <c r="A518" s="5" t="n">
        <v>41322</v>
      </c>
      <c r="B518" s="5" t="s">
        <v>76</v>
      </c>
      <c r="C518" s="5" t="s">
        <v>2082</v>
      </c>
      <c r="D518" s="4" t="s">
        <v>24</v>
      </c>
      <c r="E518" s="4" t="s">
        <v>1351</v>
      </c>
      <c r="F518" s="4" t="s">
        <v>1356</v>
      </c>
      <c r="G518" s="5" t="n">
        <v>48</v>
      </c>
      <c r="H518" s="5" t="s">
        <v>1353</v>
      </c>
      <c r="I518" s="4" t="s">
        <v>2084</v>
      </c>
      <c r="J518" s="4" t="s">
        <v>131</v>
      </c>
    </row>
    <row r="519" customFormat="false" ht="15" hidden="false" customHeight="false" outlineLevel="0" collapsed="false">
      <c r="A519" s="5" t="n">
        <v>39379</v>
      </c>
      <c r="B519" s="5" t="s">
        <v>76</v>
      </c>
      <c r="C519" s="5" t="s">
        <v>2085</v>
      </c>
      <c r="D519" s="4" t="s">
        <v>34</v>
      </c>
      <c r="E519" s="4" t="s">
        <v>1351</v>
      </c>
      <c r="F519" s="4" t="s">
        <v>1368</v>
      </c>
      <c r="G519" s="5" t="n">
        <v>62</v>
      </c>
      <c r="H519" s="5" t="s">
        <v>1353</v>
      </c>
      <c r="I519" s="4" t="s">
        <v>2086</v>
      </c>
      <c r="J519" s="4" t="s">
        <v>131</v>
      </c>
    </row>
    <row r="520" customFormat="false" ht="15" hidden="false" customHeight="false" outlineLevel="0" collapsed="false">
      <c r="A520" s="5" t="n">
        <v>39844</v>
      </c>
      <c r="B520" s="5" t="s">
        <v>76</v>
      </c>
      <c r="C520" s="5" t="s">
        <v>2087</v>
      </c>
      <c r="D520" s="4" t="s">
        <v>34</v>
      </c>
      <c r="E520" s="4" t="s">
        <v>1351</v>
      </c>
      <c r="F520" s="4" t="s">
        <v>1352</v>
      </c>
      <c r="G520" s="5" t="n">
        <v>109</v>
      </c>
      <c r="H520" s="5" t="s">
        <v>1353</v>
      </c>
      <c r="I520" s="4" t="s">
        <v>2075</v>
      </c>
      <c r="J520" s="4" t="s">
        <v>131</v>
      </c>
    </row>
    <row r="521" customFormat="false" ht="15" hidden="false" customHeight="false" outlineLevel="0" collapsed="false">
      <c r="A521" s="5" t="n">
        <v>43586</v>
      </c>
      <c r="B521" s="5" t="s">
        <v>76</v>
      </c>
      <c r="C521" s="5" t="s">
        <v>1925</v>
      </c>
      <c r="D521" s="4" t="s">
        <v>34</v>
      </c>
      <c r="E521" s="4" t="s">
        <v>1351</v>
      </c>
      <c r="F521" s="4" t="s">
        <v>1352</v>
      </c>
      <c r="G521" s="5" t="n">
        <v>85</v>
      </c>
      <c r="H521" s="5" t="s">
        <v>1353</v>
      </c>
      <c r="I521" s="4" t="s">
        <v>2088</v>
      </c>
      <c r="J521" s="4" t="s">
        <v>131</v>
      </c>
    </row>
    <row r="522" customFormat="false" ht="15" hidden="false" customHeight="false" outlineLevel="0" collapsed="false">
      <c r="A522" s="5" t="n">
        <v>43587</v>
      </c>
      <c r="B522" s="5" t="s">
        <v>76</v>
      </c>
      <c r="C522" s="5" t="s">
        <v>792</v>
      </c>
      <c r="D522" s="4" t="s">
        <v>34</v>
      </c>
      <c r="E522" s="4" t="s">
        <v>1351</v>
      </c>
      <c r="F522" s="4" t="s">
        <v>1352</v>
      </c>
      <c r="G522" s="5" t="n">
        <v>99</v>
      </c>
      <c r="H522" s="5" t="s">
        <v>1353</v>
      </c>
      <c r="I522" s="4" t="s">
        <v>2089</v>
      </c>
      <c r="J522" s="4" t="s">
        <v>131</v>
      </c>
    </row>
    <row r="523" customFormat="false" ht="15" hidden="false" customHeight="false" outlineLevel="0" collapsed="false">
      <c r="A523" s="5" t="n">
        <v>29706</v>
      </c>
      <c r="B523" s="5" t="s">
        <v>76</v>
      </c>
      <c r="C523" s="5" t="s">
        <v>1391</v>
      </c>
      <c r="D523" s="4" t="s">
        <v>34</v>
      </c>
      <c r="E523" s="4" t="s">
        <v>1351</v>
      </c>
      <c r="F523" s="4" t="s">
        <v>1352</v>
      </c>
      <c r="G523" s="5" t="n">
        <v>95</v>
      </c>
      <c r="H523" s="5" t="s">
        <v>1353</v>
      </c>
      <c r="I523" s="4" t="s">
        <v>2090</v>
      </c>
      <c r="J523" s="4" t="s">
        <v>131</v>
      </c>
    </row>
    <row r="524" customFormat="false" ht="15" hidden="false" customHeight="false" outlineLevel="0" collapsed="false">
      <c r="A524" s="5" t="n">
        <v>43588</v>
      </c>
      <c r="B524" s="5" t="s">
        <v>76</v>
      </c>
      <c r="C524" s="5" t="s">
        <v>2091</v>
      </c>
      <c r="D524" s="4" t="s">
        <v>34</v>
      </c>
      <c r="E524" s="4" t="s">
        <v>1351</v>
      </c>
      <c r="F524" s="4" t="s">
        <v>1352</v>
      </c>
      <c r="G524" s="5" t="n">
        <v>109</v>
      </c>
      <c r="H524" s="5" t="s">
        <v>1353</v>
      </c>
      <c r="I524" s="4" t="s">
        <v>2092</v>
      </c>
      <c r="J524" s="4" t="s">
        <v>131</v>
      </c>
    </row>
    <row r="525" customFormat="false" ht="15" hidden="false" customHeight="false" outlineLevel="0" collapsed="false">
      <c r="A525" s="5" t="n">
        <v>39955</v>
      </c>
      <c r="B525" s="5" t="s">
        <v>76</v>
      </c>
      <c r="C525" s="5" t="s">
        <v>1200</v>
      </c>
      <c r="D525" s="4" t="s">
        <v>34</v>
      </c>
      <c r="E525" s="4" t="s">
        <v>1351</v>
      </c>
      <c r="F525" s="4" t="s">
        <v>1352</v>
      </c>
      <c r="G525" s="5" t="n">
        <v>112</v>
      </c>
      <c r="H525" s="5" t="s">
        <v>1353</v>
      </c>
      <c r="I525" s="4" t="s">
        <v>2093</v>
      </c>
      <c r="J525" s="4" t="s">
        <v>131</v>
      </c>
    </row>
    <row r="526" customFormat="false" ht="15" hidden="false" customHeight="false" outlineLevel="0" collapsed="false">
      <c r="A526" s="5" t="n">
        <v>43589</v>
      </c>
      <c r="B526" s="5" t="s">
        <v>76</v>
      </c>
      <c r="C526" s="5" t="s">
        <v>2094</v>
      </c>
      <c r="D526" s="4" t="s">
        <v>34</v>
      </c>
      <c r="E526" s="4" t="s">
        <v>1351</v>
      </c>
      <c r="F526" s="4" t="s">
        <v>1352</v>
      </c>
      <c r="G526" s="5" t="n">
        <v>135</v>
      </c>
      <c r="H526" s="5" t="s">
        <v>1353</v>
      </c>
      <c r="I526" s="4" t="s">
        <v>1501</v>
      </c>
      <c r="J526" s="4" t="s">
        <v>131</v>
      </c>
    </row>
    <row r="527" customFormat="false" ht="15" hidden="false" customHeight="false" outlineLevel="0" collapsed="false">
      <c r="A527" s="5" t="n">
        <v>39668</v>
      </c>
      <c r="B527" s="5" t="s">
        <v>76</v>
      </c>
      <c r="C527" s="5" t="s">
        <v>2095</v>
      </c>
      <c r="D527" s="4" t="s">
        <v>18</v>
      </c>
      <c r="E527" s="4" t="s">
        <v>1351</v>
      </c>
      <c r="F527" s="4" t="s">
        <v>1377</v>
      </c>
      <c r="G527" s="5" t="n">
        <v>42</v>
      </c>
      <c r="H527" s="5" t="s">
        <v>1353</v>
      </c>
      <c r="I527" s="4" t="s">
        <v>2096</v>
      </c>
      <c r="J527" s="4" t="s">
        <v>131</v>
      </c>
    </row>
    <row r="528" customFormat="false" ht="15" hidden="false" customHeight="false" outlineLevel="0" collapsed="false">
      <c r="A528" s="5" t="n">
        <v>39671</v>
      </c>
      <c r="B528" s="5" t="s">
        <v>76</v>
      </c>
      <c r="C528" s="5" t="s">
        <v>1082</v>
      </c>
      <c r="D528" s="4" t="s">
        <v>18</v>
      </c>
      <c r="E528" s="4" t="s">
        <v>1351</v>
      </c>
      <c r="F528" s="4" t="s">
        <v>1356</v>
      </c>
      <c r="G528" s="5" t="n">
        <v>100</v>
      </c>
      <c r="H528" s="5" t="s">
        <v>1353</v>
      </c>
      <c r="I528" s="4" t="s">
        <v>2097</v>
      </c>
      <c r="J528" s="4" t="s">
        <v>131</v>
      </c>
    </row>
    <row r="529" customFormat="false" ht="15" hidden="false" customHeight="false" outlineLevel="0" collapsed="false">
      <c r="A529" s="5" t="n">
        <v>39623</v>
      </c>
      <c r="B529" s="5" t="s">
        <v>76</v>
      </c>
      <c r="C529" s="5" t="s">
        <v>2098</v>
      </c>
      <c r="D529" s="4" t="s">
        <v>18</v>
      </c>
      <c r="E529" s="4" t="s">
        <v>1351</v>
      </c>
      <c r="F529" s="4" t="s">
        <v>1352</v>
      </c>
      <c r="G529" s="5" t="n">
        <v>87</v>
      </c>
      <c r="H529" s="5" t="s">
        <v>1353</v>
      </c>
      <c r="I529" s="4" t="s">
        <v>2099</v>
      </c>
      <c r="J529" s="4" t="s">
        <v>131</v>
      </c>
    </row>
    <row r="530" customFormat="false" ht="15" hidden="false" customHeight="false" outlineLevel="0" collapsed="false">
      <c r="A530" s="5" t="n">
        <v>42199</v>
      </c>
      <c r="B530" s="5" t="s">
        <v>76</v>
      </c>
      <c r="C530" s="5" t="s">
        <v>2100</v>
      </c>
      <c r="D530" s="4" t="s">
        <v>18</v>
      </c>
      <c r="E530" s="4" t="s">
        <v>1351</v>
      </c>
      <c r="F530" s="4" t="s">
        <v>1352</v>
      </c>
      <c r="G530" s="5" t="n">
        <v>67</v>
      </c>
      <c r="H530" s="5" t="s">
        <v>1353</v>
      </c>
      <c r="I530" s="4" t="s">
        <v>2101</v>
      </c>
      <c r="J530" s="4" t="s">
        <v>131</v>
      </c>
    </row>
    <row r="531" customFormat="false" ht="15" hidden="false" customHeight="false" outlineLevel="0" collapsed="false">
      <c r="A531" s="5" t="n">
        <v>39322</v>
      </c>
      <c r="B531" s="5" t="s">
        <v>76</v>
      </c>
      <c r="C531" s="5" t="s">
        <v>974</v>
      </c>
      <c r="D531" s="4" t="s">
        <v>18</v>
      </c>
      <c r="E531" s="4" t="s">
        <v>1351</v>
      </c>
      <c r="F531" s="4" t="s">
        <v>1356</v>
      </c>
      <c r="G531" s="5" t="n">
        <v>70</v>
      </c>
      <c r="H531" s="5" t="s">
        <v>1353</v>
      </c>
      <c r="I531" s="4" t="s">
        <v>2102</v>
      </c>
      <c r="J531" s="4" t="s">
        <v>131</v>
      </c>
    </row>
    <row r="532" customFormat="false" ht="15" hidden="false" customHeight="false" outlineLevel="0" collapsed="false">
      <c r="A532" s="5" t="n">
        <v>43104</v>
      </c>
      <c r="B532" s="5" t="s">
        <v>76</v>
      </c>
      <c r="C532" s="5" t="s">
        <v>651</v>
      </c>
      <c r="D532" s="4" t="s">
        <v>18</v>
      </c>
      <c r="E532" s="4" t="s">
        <v>1351</v>
      </c>
      <c r="F532" s="4" t="s">
        <v>1356</v>
      </c>
      <c r="G532" s="5" t="n">
        <v>61</v>
      </c>
      <c r="H532" s="5" t="s">
        <v>1353</v>
      </c>
      <c r="I532" s="4" t="s">
        <v>2103</v>
      </c>
      <c r="J532" s="4" t="s">
        <v>131</v>
      </c>
    </row>
    <row r="533" customFormat="false" ht="15" hidden="false" customHeight="false" outlineLevel="0" collapsed="false">
      <c r="A533" s="5" t="n">
        <v>42254</v>
      </c>
      <c r="B533" s="5" t="s">
        <v>76</v>
      </c>
      <c r="C533" s="5" t="s">
        <v>2104</v>
      </c>
      <c r="D533" s="4" t="s">
        <v>18</v>
      </c>
      <c r="E533" s="4" t="s">
        <v>1351</v>
      </c>
      <c r="F533" s="4" t="s">
        <v>1356</v>
      </c>
      <c r="G533" s="5" t="n">
        <v>109</v>
      </c>
      <c r="H533" s="5" t="s">
        <v>1353</v>
      </c>
      <c r="I533" s="4" t="s">
        <v>2105</v>
      </c>
      <c r="J533" s="4" t="s">
        <v>131</v>
      </c>
    </row>
    <row r="534" customFormat="false" ht="15" hidden="false" customHeight="false" outlineLevel="0" collapsed="false">
      <c r="A534" s="5" t="n">
        <v>43596</v>
      </c>
      <c r="B534" s="5" t="s">
        <v>76</v>
      </c>
      <c r="C534" s="5" t="s">
        <v>861</v>
      </c>
      <c r="D534" s="4" t="s">
        <v>20</v>
      </c>
      <c r="E534" s="4" t="s">
        <v>1351</v>
      </c>
      <c r="F534" s="4" t="s">
        <v>1352</v>
      </c>
      <c r="G534" s="5" t="n">
        <v>70</v>
      </c>
      <c r="H534" s="5" t="s">
        <v>1353</v>
      </c>
      <c r="I534" s="4" t="s">
        <v>2106</v>
      </c>
      <c r="J534" s="4" t="s">
        <v>131</v>
      </c>
    </row>
    <row r="535" customFormat="false" ht="15" hidden="false" customHeight="false" outlineLevel="0" collapsed="false">
      <c r="A535" s="5" t="n">
        <v>43597</v>
      </c>
      <c r="B535" s="5" t="s">
        <v>76</v>
      </c>
      <c r="C535" s="5" t="s">
        <v>290</v>
      </c>
      <c r="D535" s="4" t="s">
        <v>20</v>
      </c>
      <c r="E535" s="4" t="s">
        <v>1351</v>
      </c>
      <c r="F535" s="4" t="s">
        <v>1352</v>
      </c>
      <c r="G535" s="5" t="n">
        <v>63</v>
      </c>
      <c r="H535" s="5" t="s">
        <v>1353</v>
      </c>
      <c r="I535" s="4" t="s">
        <v>2107</v>
      </c>
      <c r="J535" s="4" t="s">
        <v>131</v>
      </c>
    </row>
    <row r="536" customFormat="false" ht="15" hidden="false" customHeight="false" outlineLevel="0" collapsed="false">
      <c r="A536" s="5" t="n">
        <v>43599</v>
      </c>
      <c r="B536" s="5" t="s">
        <v>76</v>
      </c>
      <c r="C536" s="5" t="s">
        <v>735</v>
      </c>
      <c r="D536" s="4" t="s">
        <v>20</v>
      </c>
      <c r="E536" s="4" t="s">
        <v>1351</v>
      </c>
      <c r="F536" s="4" t="s">
        <v>1352</v>
      </c>
      <c r="G536" s="5" t="n">
        <v>75</v>
      </c>
      <c r="H536" s="5" t="s">
        <v>1353</v>
      </c>
      <c r="I536" s="4" t="s">
        <v>2108</v>
      </c>
      <c r="J536" s="4" t="s">
        <v>131</v>
      </c>
    </row>
    <row r="537" customFormat="false" ht="15" hidden="false" customHeight="false" outlineLevel="0" collapsed="false">
      <c r="A537" s="5" t="n">
        <v>43601</v>
      </c>
      <c r="B537" s="5" t="s">
        <v>76</v>
      </c>
      <c r="C537" s="5" t="s">
        <v>737</v>
      </c>
      <c r="D537" s="4" t="s">
        <v>20</v>
      </c>
      <c r="E537" s="4" t="s">
        <v>1351</v>
      </c>
      <c r="F537" s="4" t="s">
        <v>1352</v>
      </c>
      <c r="G537" s="5" t="n">
        <v>64</v>
      </c>
      <c r="H537" s="5" t="s">
        <v>1353</v>
      </c>
      <c r="I537" s="4" t="s">
        <v>2109</v>
      </c>
      <c r="J537" s="4" t="s">
        <v>131</v>
      </c>
    </row>
    <row r="538" customFormat="false" ht="15" hidden="false" customHeight="false" outlineLevel="0" collapsed="false">
      <c r="A538" s="5" t="n">
        <v>43603</v>
      </c>
      <c r="B538" s="5" t="s">
        <v>76</v>
      </c>
      <c r="C538" s="5" t="s">
        <v>740</v>
      </c>
      <c r="D538" s="4" t="s">
        <v>20</v>
      </c>
      <c r="E538" s="4" t="s">
        <v>1351</v>
      </c>
      <c r="F538" s="4" t="s">
        <v>1352</v>
      </c>
      <c r="G538" s="5" t="n">
        <v>74</v>
      </c>
      <c r="H538" s="5" t="s">
        <v>1353</v>
      </c>
      <c r="I538" s="4" t="s">
        <v>2110</v>
      </c>
      <c r="J538" s="4" t="s">
        <v>131</v>
      </c>
    </row>
    <row r="539" customFormat="false" ht="15" hidden="false" customHeight="false" outlineLevel="0" collapsed="false">
      <c r="A539" s="5" t="n">
        <v>40379</v>
      </c>
      <c r="B539" s="5" t="s">
        <v>76</v>
      </c>
      <c r="C539" s="5" t="s">
        <v>740</v>
      </c>
      <c r="D539" s="4" t="s">
        <v>24</v>
      </c>
      <c r="E539" s="4" t="s">
        <v>1351</v>
      </c>
      <c r="F539" s="4" t="s">
        <v>1368</v>
      </c>
      <c r="G539" s="5" t="n">
        <v>70</v>
      </c>
      <c r="H539" s="5" t="s">
        <v>1353</v>
      </c>
      <c r="I539" s="4" t="s">
        <v>2111</v>
      </c>
      <c r="J539" s="4" t="s">
        <v>131</v>
      </c>
    </row>
    <row r="540" customFormat="false" ht="15" hidden="false" customHeight="false" outlineLevel="0" collapsed="false">
      <c r="A540" s="5" t="n">
        <v>43604</v>
      </c>
      <c r="B540" s="5" t="s">
        <v>76</v>
      </c>
      <c r="C540" s="5" t="s">
        <v>301</v>
      </c>
      <c r="D540" s="4" t="s">
        <v>20</v>
      </c>
      <c r="E540" s="4" t="s">
        <v>1351</v>
      </c>
      <c r="F540" s="4" t="s">
        <v>1352</v>
      </c>
      <c r="G540" s="5" t="n">
        <v>62</v>
      </c>
      <c r="H540" s="5" t="s">
        <v>1353</v>
      </c>
      <c r="I540" s="4" t="s">
        <v>2112</v>
      </c>
      <c r="J540" s="4" t="s">
        <v>131</v>
      </c>
    </row>
    <row r="541" customFormat="false" ht="15" hidden="false" customHeight="false" outlineLevel="0" collapsed="false">
      <c r="A541" s="5" t="n">
        <v>43607</v>
      </c>
      <c r="B541" s="5" t="s">
        <v>76</v>
      </c>
      <c r="C541" s="5" t="s">
        <v>301</v>
      </c>
      <c r="D541" s="4" t="s">
        <v>20</v>
      </c>
      <c r="E541" s="4" t="s">
        <v>1351</v>
      </c>
      <c r="F541" s="4" t="s">
        <v>1352</v>
      </c>
      <c r="G541" s="5" t="n">
        <v>67</v>
      </c>
      <c r="H541" s="5" t="s">
        <v>1353</v>
      </c>
      <c r="I541" s="4" t="s">
        <v>2113</v>
      </c>
      <c r="J541" s="4" t="s">
        <v>131</v>
      </c>
    </row>
    <row r="542" customFormat="false" ht="15" hidden="false" customHeight="false" outlineLevel="0" collapsed="false">
      <c r="A542" s="5" t="n">
        <v>43609</v>
      </c>
      <c r="B542" s="5" t="s">
        <v>76</v>
      </c>
      <c r="C542" s="5" t="s">
        <v>1137</v>
      </c>
      <c r="D542" s="4" t="s">
        <v>20</v>
      </c>
      <c r="E542" s="4" t="s">
        <v>1351</v>
      </c>
      <c r="F542" s="4" t="s">
        <v>1352</v>
      </c>
      <c r="G542" s="5" t="n">
        <v>90</v>
      </c>
      <c r="H542" s="5" t="s">
        <v>1353</v>
      </c>
      <c r="I542" s="4" t="s">
        <v>2114</v>
      </c>
      <c r="J542" s="4" t="s">
        <v>131</v>
      </c>
    </row>
    <row r="543" customFormat="false" ht="15" hidden="false" customHeight="false" outlineLevel="0" collapsed="false">
      <c r="A543" s="5" t="n">
        <v>43547</v>
      </c>
      <c r="B543" s="5" t="s">
        <v>76</v>
      </c>
      <c r="C543" s="5" t="s">
        <v>1137</v>
      </c>
      <c r="D543" s="4" t="s">
        <v>22</v>
      </c>
      <c r="E543" s="4" t="s">
        <v>1351</v>
      </c>
      <c r="F543" s="4" t="s">
        <v>1356</v>
      </c>
      <c r="G543" s="5" t="n">
        <v>30</v>
      </c>
      <c r="H543" s="5" t="s">
        <v>1397</v>
      </c>
      <c r="I543" s="4" t="s">
        <v>2115</v>
      </c>
      <c r="J543" s="4" t="s">
        <v>132</v>
      </c>
    </row>
    <row r="544" customFormat="false" ht="15" hidden="false" customHeight="false" outlineLevel="0" collapsed="false">
      <c r="A544" s="5" t="n">
        <v>43612</v>
      </c>
      <c r="B544" s="5" t="s">
        <v>76</v>
      </c>
      <c r="C544" s="5" t="s">
        <v>870</v>
      </c>
      <c r="D544" s="4" t="s">
        <v>20</v>
      </c>
      <c r="E544" s="4" t="s">
        <v>1351</v>
      </c>
      <c r="F544" s="4" t="s">
        <v>1352</v>
      </c>
      <c r="G544" s="5" t="n">
        <v>85</v>
      </c>
      <c r="H544" s="5" t="s">
        <v>1353</v>
      </c>
      <c r="I544" s="4" t="s">
        <v>2116</v>
      </c>
      <c r="J544" s="4" t="s">
        <v>131</v>
      </c>
    </row>
    <row r="545" customFormat="false" ht="15" hidden="false" customHeight="false" outlineLevel="0" collapsed="false">
      <c r="A545" s="5" t="n">
        <v>43613</v>
      </c>
      <c r="B545" s="5" t="s">
        <v>76</v>
      </c>
      <c r="C545" s="5" t="s">
        <v>311</v>
      </c>
      <c r="D545" s="4" t="s">
        <v>20</v>
      </c>
      <c r="E545" s="4" t="s">
        <v>1351</v>
      </c>
      <c r="F545" s="4" t="s">
        <v>1352</v>
      </c>
      <c r="G545" s="5" t="n">
        <v>58</v>
      </c>
      <c r="H545" s="5" t="s">
        <v>1353</v>
      </c>
      <c r="I545" s="4" t="s">
        <v>2117</v>
      </c>
      <c r="J545" s="4" t="s">
        <v>131</v>
      </c>
    </row>
    <row r="546" customFormat="false" ht="15" hidden="false" customHeight="false" outlineLevel="0" collapsed="false">
      <c r="A546" s="5" t="n">
        <v>43615</v>
      </c>
      <c r="B546" s="5" t="s">
        <v>76</v>
      </c>
      <c r="C546" s="5" t="s">
        <v>314</v>
      </c>
      <c r="D546" s="4" t="s">
        <v>20</v>
      </c>
      <c r="E546" s="4" t="s">
        <v>1351</v>
      </c>
      <c r="F546" s="4" t="s">
        <v>1352</v>
      </c>
      <c r="G546" s="5" t="n">
        <v>66</v>
      </c>
      <c r="H546" s="5" t="s">
        <v>1353</v>
      </c>
      <c r="I546" s="4" t="s">
        <v>2118</v>
      </c>
      <c r="J546" s="4" t="s">
        <v>131</v>
      </c>
    </row>
    <row r="547" customFormat="false" ht="15" hidden="false" customHeight="false" outlineLevel="0" collapsed="false">
      <c r="A547" s="5" t="n">
        <v>43616</v>
      </c>
      <c r="B547" s="5" t="s">
        <v>76</v>
      </c>
      <c r="C547" s="5" t="s">
        <v>874</v>
      </c>
      <c r="D547" s="4" t="s">
        <v>20</v>
      </c>
      <c r="E547" s="4" t="s">
        <v>1351</v>
      </c>
      <c r="F547" s="4" t="s">
        <v>1352</v>
      </c>
      <c r="G547" s="5" t="n">
        <v>131</v>
      </c>
      <c r="H547" s="5" t="s">
        <v>1353</v>
      </c>
      <c r="I547" s="4" t="s">
        <v>2119</v>
      </c>
      <c r="J547" s="4" t="s">
        <v>131</v>
      </c>
    </row>
    <row r="548" customFormat="false" ht="15" hidden="false" customHeight="false" outlineLevel="0" collapsed="false">
      <c r="A548" s="5" t="n">
        <v>37717</v>
      </c>
      <c r="B548" s="5" t="s">
        <v>76</v>
      </c>
      <c r="C548" s="5" t="s">
        <v>1539</v>
      </c>
      <c r="D548" s="4" t="s">
        <v>20</v>
      </c>
      <c r="E548" s="4" t="s">
        <v>1351</v>
      </c>
      <c r="F548" s="4" t="s">
        <v>1352</v>
      </c>
      <c r="G548" s="5" t="n">
        <v>56</v>
      </c>
      <c r="H548" s="5" t="s">
        <v>1353</v>
      </c>
      <c r="I548" s="4" t="s">
        <v>2120</v>
      </c>
      <c r="J548" s="4" t="s">
        <v>131</v>
      </c>
    </row>
    <row r="549" customFormat="false" ht="15" hidden="false" customHeight="false" outlineLevel="0" collapsed="false">
      <c r="A549" s="5" t="n">
        <v>43581</v>
      </c>
      <c r="B549" s="5" t="s">
        <v>76</v>
      </c>
      <c r="C549" s="5" t="s">
        <v>513</v>
      </c>
      <c r="D549" s="4" t="s">
        <v>18</v>
      </c>
      <c r="E549" s="4" t="s">
        <v>1351</v>
      </c>
      <c r="F549" s="4" t="s">
        <v>1352</v>
      </c>
      <c r="G549" s="5" t="n">
        <v>68</v>
      </c>
      <c r="H549" s="5" t="s">
        <v>1353</v>
      </c>
      <c r="I549" s="4" t="s">
        <v>2121</v>
      </c>
      <c r="J549" s="4" t="s">
        <v>131</v>
      </c>
    </row>
    <row r="550" customFormat="false" ht="15" hidden="false" customHeight="false" outlineLevel="0" collapsed="false">
      <c r="A550" s="5" t="n">
        <v>43618</v>
      </c>
      <c r="B550" s="5" t="s">
        <v>76</v>
      </c>
      <c r="C550" s="5" t="s">
        <v>1038</v>
      </c>
      <c r="D550" s="4" t="s">
        <v>18</v>
      </c>
      <c r="E550" s="4" t="s">
        <v>1351</v>
      </c>
      <c r="F550" s="4" t="s">
        <v>1352</v>
      </c>
      <c r="G550" s="5" t="n">
        <v>116</v>
      </c>
      <c r="H550" s="5" t="s">
        <v>1353</v>
      </c>
      <c r="I550" s="4" t="s">
        <v>2122</v>
      </c>
      <c r="J550" s="4" t="s">
        <v>131</v>
      </c>
    </row>
    <row r="551" customFormat="false" ht="15" hidden="false" customHeight="false" outlineLevel="0" collapsed="false">
      <c r="A551" s="5" t="n">
        <v>36485</v>
      </c>
      <c r="B551" s="5" t="s">
        <v>76</v>
      </c>
      <c r="C551" s="5" t="s">
        <v>413</v>
      </c>
      <c r="D551" s="4" t="s">
        <v>34</v>
      </c>
      <c r="E551" s="4" t="s">
        <v>1351</v>
      </c>
      <c r="F551" s="4" t="s">
        <v>1352</v>
      </c>
      <c r="G551" s="5" t="n">
        <v>166</v>
      </c>
      <c r="H551" s="5" t="s">
        <v>1353</v>
      </c>
      <c r="I551" s="4" t="s">
        <v>2123</v>
      </c>
      <c r="J551" s="4" t="s">
        <v>131</v>
      </c>
    </row>
    <row r="552" customFormat="false" ht="15" hidden="false" customHeight="false" outlineLevel="0" collapsed="false">
      <c r="A552" s="5" t="n">
        <v>43620</v>
      </c>
      <c r="B552" s="5" t="s">
        <v>76</v>
      </c>
      <c r="C552" s="5" t="s">
        <v>878</v>
      </c>
      <c r="D552" s="4" t="s">
        <v>30</v>
      </c>
      <c r="E552" s="4" t="s">
        <v>1351</v>
      </c>
      <c r="F552" s="4" t="s">
        <v>1352</v>
      </c>
      <c r="G552" s="5" t="n">
        <v>68</v>
      </c>
      <c r="H552" s="5" t="s">
        <v>1353</v>
      </c>
      <c r="I552" s="4" t="s">
        <v>2124</v>
      </c>
      <c r="J552" s="4" t="s">
        <v>131</v>
      </c>
    </row>
    <row r="553" customFormat="false" ht="15" hidden="false" customHeight="false" outlineLevel="0" collapsed="false">
      <c r="A553" s="5" t="n">
        <v>43621</v>
      </c>
      <c r="B553" s="5" t="s">
        <v>76</v>
      </c>
      <c r="C553" s="5" t="s">
        <v>175</v>
      </c>
      <c r="D553" s="4" t="s">
        <v>30</v>
      </c>
      <c r="E553" s="4" t="s">
        <v>1351</v>
      </c>
      <c r="F553" s="4" t="s">
        <v>1352</v>
      </c>
      <c r="G553" s="5" t="n">
        <v>77</v>
      </c>
      <c r="H553" s="5" t="s">
        <v>1353</v>
      </c>
      <c r="I553" s="4" t="s">
        <v>2125</v>
      </c>
      <c r="J553" s="4" t="s">
        <v>131</v>
      </c>
    </row>
    <row r="554" customFormat="false" ht="15" hidden="false" customHeight="false" outlineLevel="0" collapsed="false">
      <c r="A554" s="5" t="n">
        <v>43622</v>
      </c>
      <c r="B554" s="5" t="s">
        <v>76</v>
      </c>
      <c r="C554" s="5" t="s">
        <v>1785</v>
      </c>
      <c r="D554" s="4" t="s">
        <v>30</v>
      </c>
      <c r="E554" s="4" t="s">
        <v>1351</v>
      </c>
      <c r="F554" s="4" t="s">
        <v>1352</v>
      </c>
      <c r="G554" s="5" t="n">
        <v>104</v>
      </c>
      <c r="H554" s="5" t="s">
        <v>1353</v>
      </c>
      <c r="I554" s="4" t="s">
        <v>2126</v>
      </c>
      <c r="J554" s="4" t="s">
        <v>131</v>
      </c>
    </row>
    <row r="555" customFormat="false" ht="15" hidden="false" customHeight="false" outlineLevel="0" collapsed="false">
      <c r="A555" s="5" t="n">
        <v>43522</v>
      </c>
      <c r="B555" s="5" t="s">
        <v>76</v>
      </c>
      <c r="C555" s="5" t="s">
        <v>2127</v>
      </c>
      <c r="D555" s="4" t="s">
        <v>28</v>
      </c>
      <c r="E555" s="4" t="s">
        <v>1351</v>
      </c>
      <c r="F555" s="4" t="s">
        <v>1352</v>
      </c>
      <c r="G555" s="5" t="n">
        <v>61</v>
      </c>
      <c r="H555" s="5" t="s">
        <v>1353</v>
      </c>
      <c r="I555" s="4" t="s">
        <v>2128</v>
      </c>
      <c r="J555" s="4" t="s">
        <v>131</v>
      </c>
    </row>
    <row r="556" customFormat="false" ht="15" hidden="false" customHeight="false" outlineLevel="0" collapsed="false">
      <c r="A556" s="5" t="n">
        <v>31496</v>
      </c>
      <c r="B556" s="5" t="s">
        <v>76</v>
      </c>
      <c r="C556" s="5" t="s">
        <v>593</v>
      </c>
      <c r="D556" s="4" t="s">
        <v>28</v>
      </c>
      <c r="E556" s="4" t="s">
        <v>1351</v>
      </c>
      <c r="F556" s="4" t="s">
        <v>1352</v>
      </c>
      <c r="G556" s="5" t="n">
        <v>84</v>
      </c>
      <c r="H556" s="5" t="s">
        <v>1353</v>
      </c>
      <c r="I556" s="4" t="s">
        <v>2129</v>
      </c>
      <c r="J556" s="4" t="s">
        <v>131</v>
      </c>
    </row>
    <row r="557" customFormat="false" ht="15" hidden="false" customHeight="false" outlineLevel="0" collapsed="false">
      <c r="A557" s="5" t="n">
        <v>43284</v>
      </c>
      <c r="B557" s="5" t="s">
        <v>76</v>
      </c>
      <c r="C557" s="5" t="s">
        <v>2130</v>
      </c>
      <c r="D557" s="4" t="s">
        <v>28</v>
      </c>
      <c r="E557" s="4" t="s">
        <v>1351</v>
      </c>
      <c r="F557" s="4" t="s">
        <v>1352</v>
      </c>
      <c r="G557" s="5" t="n">
        <v>80</v>
      </c>
      <c r="H557" s="5" t="s">
        <v>1353</v>
      </c>
      <c r="I557" s="4" t="s">
        <v>1635</v>
      </c>
      <c r="J557" s="4" t="s">
        <v>131</v>
      </c>
    </row>
    <row r="558" customFormat="false" ht="15" hidden="false" customHeight="false" outlineLevel="0" collapsed="false">
      <c r="A558" s="5" t="n">
        <v>43365</v>
      </c>
      <c r="B558" s="5" t="s">
        <v>76</v>
      </c>
      <c r="C558" s="5" t="s">
        <v>2131</v>
      </c>
      <c r="D558" s="4" t="s">
        <v>28</v>
      </c>
      <c r="E558" s="4" t="s">
        <v>1351</v>
      </c>
      <c r="F558" s="4" t="s">
        <v>1352</v>
      </c>
      <c r="G558" s="5" t="n">
        <v>83</v>
      </c>
      <c r="H558" s="5" t="s">
        <v>1353</v>
      </c>
      <c r="I558" s="4" t="s">
        <v>1972</v>
      </c>
      <c r="J558" s="4" t="s">
        <v>131</v>
      </c>
    </row>
    <row r="559" customFormat="false" ht="15" hidden="false" customHeight="false" outlineLevel="0" collapsed="false">
      <c r="A559" s="5" t="n">
        <v>41221</v>
      </c>
      <c r="B559" s="5" t="s">
        <v>76</v>
      </c>
      <c r="C559" s="5" t="s">
        <v>1217</v>
      </c>
      <c r="D559" s="4" t="s">
        <v>18</v>
      </c>
      <c r="E559" s="4" t="s">
        <v>1351</v>
      </c>
      <c r="F559" s="4" t="s">
        <v>1352</v>
      </c>
      <c r="G559" s="5" t="n">
        <v>30</v>
      </c>
      <c r="H559" s="5" t="s">
        <v>1397</v>
      </c>
      <c r="I559" s="4" t="s">
        <v>2132</v>
      </c>
      <c r="J559" s="4" t="s">
        <v>132</v>
      </c>
    </row>
    <row r="560" customFormat="false" ht="15" hidden="false" customHeight="false" outlineLevel="0" collapsed="false">
      <c r="A560" s="5" t="n">
        <v>40993</v>
      </c>
      <c r="B560" s="5" t="s">
        <v>77</v>
      </c>
      <c r="C560" s="5" t="s">
        <v>2133</v>
      </c>
      <c r="D560" s="4" t="s">
        <v>34</v>
      </c>
      <c r="E560" s="4" t="s">
        <v>1351</v>
      </c>
      <c r="F560" s="4" t="s">
        <v>1352</v>
      </c>
      <c r="G560" s="5" t="n">
        <v>83</v>
      </c>
      <c r="H560" s="5" t="s">
        <v>1353</v>
      </c>
      <c r="I560" s="4" t="s">
        <v>1817</v>
      </c>
      <c r="J560" s="4" t="s">
        <v>131</v>
      </c>
    </row>
    <row r="561" customFormat="false" ht="15" hidden="false" customHeight="false" outlineLevel="0" collapsed="false">
      <c r="A561" s="5" t="n">
        <v>33992</v>
      </c>
      <c r="B561" s="5" t="s">
        <v>77</v>
      </c>
      <c r="C561" s="5" t="s">
        <v>2073</v>
      </c>
      <c r="D561" s="4" t="s">
        <v>34</v>
      </c>
      <c r="E561" s="4" t="s">
        <v>1351</v>
      </c>
      <c r="F561" s="4" t="s">
        <v>1352</v>
      </c>
      <c r="G561" s="5" t="n">
        <v>68</v>
      </c>
      <c r="H561" s="5" t="s">
        <v>1353</v>
      </c>
      <c r="I561" s="4" t="s">
        <v>2134</v>
      </c>
      <c r="J561" s="4" t="s">
        <v>131</v>
      </c>
    </row>
    <row r="562" customFormat="false" ht="15" hidden="false" customHeight="false" outlineLevel="0" collapsed="false">
      <c r="A562" s="5" t="n">
        <v>33985</v>
      </c>
      <c r="B562" s="5" t="s">
        <v>77</v>
      </c>
      <c r="C562" s="5" t="s">
        <v>2135</v>
      </c>
      <c r="D562" s="4" t="s">
        <v>34</v>
      </c>
      <c r="E562" s="4" t="s">
        <v>1351</v>
      </c>
      <c r="F562" s="4" t="s">
        <v>1352</v>
      </c>
      <c r="G562" s="5" t="n">
        <v>118</v>
      </c>
      <c r="H562" s="5" t="s">
        <v>1353</v>
      </c>
      <c r="I562" s="4" t="s">
        <v>2136</v>
      </c>
      <c r="J562" s="4" t="s">
        <v>131</v>
      </c>
    </row>
    <row r="563" customFormat="false" ht="15" hidden="false" customHeight="false" outlineLevel="0" collapsed="false">
      <c r="A563" s="5" t="n">
        <v>43626</v>
      </c>
      <c r="B563" s="5" t="s">
        <v>77</v>
      </c>
      <c r="C563" s="5" t="s">
        <v>2137</v>
      </c>
      <c r="D563" s="4" t="s">
        <v>24</v>
      </c>
      <c r="E563" s="4" t="s">
        <v>1351</v>
      </c>
      <c r="F563" s="4" t="s">
        <v>1352</v>
      </c>
      <c r="G563" s="5" t="n">
        <v>76</v>
      </c>
      <c r="H563" s="5" t="s">
        <v>1353</v>
      </c>
      <c r="I563" s="4" t="s">
        <v>2138</v>
      </c>
      <c r="J563" s="4" t="s">
        <v>131</v>
      </c>
    </row>
    <row r="564" customFormat="false" ht="15" hidden="false" customHeight="false" outlineLevel="0" collapsed="false">
      <c r="A564" s="5" t="n">
        <v>43630</v>
      </c>
      <c r="B564" s="5" t="s">
        <v>77</v>
      </c>
      <c r="C564" s="5" t="s">
        <v>1432</v>
      </c>
      <c r="D564" s="4" t="s">
        <v>34</v>
      </c>
      <c r="E564" s="4" t="s">
        <v>1351</v>
      </c>
      <c r="F564" s="4" t="s">
        <v>1368</v>
      </c>
      <c r="G564" s="5" t="n">
        <v>67</v>
      </c>
      <c r="H564" s="5" t="s">
        <v>1353</v>
      </c>
      <c r="I564" s="4" t="s">
        <v>2139</v>
      </c>
      <c r="J564" s="4" t="s">
        <v>131</v>
      </c>
    </row>
    <row r="565" customFormat="false" ht="15" hidden="false" customHeight="false" outlineLevel="0" collapsed="false">
      <c r="A565" s="5" t="n">
        <v>40688</v>
      </c>
      <c r="B565" s="5" t="s">
        <v>77</v>
      </c>
      <c r="C565" s="5" t="s">
        <v>1257</v>
      </c>
      <c r="D565" s="4" t="s">
        <v>24</v>
      </c>
      <c r="E565" s="4" t="s">
        <v>1351</v>
      </c>
      <c r="F565" s="4" t="s">
        <v>1356</v>
      </c>
      <c r="G565" s="5" t="n">
        <v>136</v>
      </c>
      <c r="H565" s="5" t="s">
        <v>1353</v>
      </c>
      <c r="I565" s="4" t="s">
        <v>2140</v>
      </c>
      <c r="J565" s="4" t="s">
        <v>131</v>
      </c>
    </row>
    <row r="566" customFormat="false" ht="15" hidden="false" customHeight="false" outlineLevel="0" collapsed="false">
      <c r="A566" s="5" t="n">
        <v>43636</v>
      </c>
      <c r="B566" s="5" t="s">
        <v>77</v>
      </c>
      <c r="C566" s="5" t="s">
        <v>700</v>
      </c>
      <c r="D566" s="4" t="s">
        <v>34</v>
      </c>
      <c r="E566" s="4" t="s">
        <v>1351</v>
      </c>
      <c r="F566" s="4" t="s">
        <v>1352</v>
      </c>
      <c r="G566" s="5" t="n">
        <v>81</v>
      </c>
      <c r="H566" s="5" t="s">
        <v>1353</v>
      </c>
      <c r="I566" s="4" t="s">
        <v>2141</v>
      </c>
      <c r="J566" s="4" t="s">
        <v>131</v>
      </c>
    </row>
    <row r="567" customFormat="false" ht="15" hidden="false" customHeight="false" outlineLevel="0" collapsed="false">
      <c r="A567" s="5" t="n">
        <v>43640</v>
      </c>
      <c r="B567" s="5" t="s">
        <v>77</v>
      </c>
      <c r="C567" s="5" t="s">
        <v>729</v>
      </c>
      <c r="D567" s="4" t="s">
        <v>34</v>
      </c>
      <c r="E567" s="4" t="s">
        <v>1351</v>
      </c>
      <c r="F567" s="4" t="s">
        <v>1352</v>
      </c>
      <c r="G567" s="5" t="n">
        <v>81</v>
      </c>
      <c r="H567" s="5" t="s">
        <v>1353</v>
      </c>
      <c r="I567" s="4" t="s">
        <v>1815</v>
      </c>
      <c r="J567" s="4" t="s">
        <v>131</v>
      </c>
    </row>
    <row r="568" customFormat="false" ht="15" hidden="false" customHeight="false" outlineLevel="0" collapsed="false">
      <c r="A568" s="5" t="n">
        <v>36927</v>
      </c>
      <c r="B568" s="5" t="s">
        <v>77</v>
      </c>
      <c r="C568" s="5" t="s">
        <v>434</v>
      </c>
      <c r="D568" s="4" t="s">
        <v>34</v>
      </c>
      <c r="E568" s="4" t="s">
        <v>1351</v>
      </c>
      <c r="F568" s="4" t="s">
        <v>1352</v>
      </c>
      <c r="G568" s="5" t="n">
        <v>140</v>
      </c>
      <c r="H568" s="5" t="s">
        <v>1353</v>
      </c>
      <c r="I568" s="4" t="s">
        <v>2142</v>
      </c>
      <c r="J568" s="4" t="s">
        <v>131</v>
      </c>
    </row>
    <row r="569" customFormat="false" ht="15" hidden="false" customHeight="false" outlineLevel="0" collapsed="false">
      <c r="A569" s="5" t="n">
        <v>43641</v>
      </c>
      <c r="B569" s="5" t="s">
        <v>77</v>
      </c>
      <c r="C569" s="5" t="s">
        <v>404</v>
      </c>
      <c r="D569" s="4" t="s">
        <v>34</v>
      </c>
      <c r="E569" s="4" t="s">
        <v>1351</v>
      </c>
      <c r="F569" s="4" t="s">
        <v>1352</v>
      </c>
      <c r="G569" s="5" t="n">
        <v>152</v>
      </c>
      <c r="H569" s="5" t="s">
        <v>1353</v>
      </c>
      <c r="I569" s="4" t="s">
        <v>1815</v>
      </c>
      <c r="J569" s="4" t="s">
        <v>131</v>
      </c>
    </row>
    <row r="570" customFormat="false" ht="15" hidden="false" customHeight="false" outlineLevel="0" collapsed="false">
      <c r="A570" s="5" t="n">
        <v>41952</v>
      </c>
      <c r="B570" s="5" t="s">
        <v>77</v>
      </c>
      <c r="C570" s="5" t="s">
        <v>1818</v>
      </c>
      <c r="D570" s="4" t="s">
        <v>32</v>
      </c>
      <c r="E570" s="4" t="s">
        <v>1351</v>
      </c>
      <c r="F570" s="4" t="s">
        <v>1671</v>
      </c>
      <c r="G570" s="5" t="n">
        <v>49</v>
      </c>
      <c r="H570" s="5" t="s">
        <v>1353</v>
      </c>
      <c r="I570" s="4" t="s">
        <v>2143</v>
      </c>
      <c r="J570" s="4" t="s">
        <v>131</v>
      </c>
    </row>
    <row r="571" customFormat="false" ht="15" hidden="false" customHeight="false" outlineLevel="0" collapsed="false">
      <c r="A571" s="5" t="n">
        <v>43193</v>
      </c>
      <c r="B571" s="5" t="s">
        <v>77</v>
      </c>
      <c r="C571" s="5" t="s">
        <v>992</v>
      </c>
      <c r="D571" s="4" t="s">
        <v>32</v>
      </c>
      <c r="E571" s="4" t="s">
        <v>1351</v>
      </c>
      <c r="F571" s="4" t="s">
        <v>1356</v>
      </c>
      <c r="G571" s="5" t="n">
        <v>67</v>
      </c>
      <c r="H571" s="5" t="s">
        <v>1353</v>
      </c>
      <c r="I571" s="4" t="s">
        <v>2144</v>
      </c>
      <c r="J571" s="4" t="s">
        <v>131</v>
      </c>
    </row>
    <row r="572" customFormat="false" ht="15" hidden="false" customHeight="false" outlineLevel="0" collapsed="false">
      <c r="A572" s="5" t="n">
        <v>37020</v>
      </c>
      <c r="B572" s="5" t="s">
        <v>77</v>
      </c>
      <c r="C572" s="5" t="s">
        <v>331</v>
      </c>
      <c r="D572" s="4" t="s">
        <v>32</v>
      </c>
      <c r="E572" s="4" t="s">
        <v>1351</v>
      </c>
      <c r="F572" s="4" t="s">
        <v>1356</v>
      </c>
      <c r="G572" s="5" t="n">
        <v>57</v>
      </c>
      <c r="H572" s="5" t="s">
        <v>1353</v>
      </c>
      <c r="I572" s="4" t="s">
        <v>2145</v>
      </c>
      <c r="J572" s="4" t="s">
        <v>131</v>
      </c>
    </row>
    <row r="573" customFormat="false" ht="15" hidden="false" customHeight="false" outlineLevel="0" collapsed="false">
      <c r="A573" s="5" t="n">
        <v>43642</v>
      </c>
      <c r="B573" s="5" t="s">
        <v>77</v>
      </c>
      <c r="C573" s="5" t="s">
        <v>301</v>
      </c>
      <c r="D573" s="4" t="s">
        <v>34</v>
      </c>
      <c r="E573" s="4" t="s">
        <v>1351</v>
      </c>
      <c r="F573" s="4" t="s">
        <v>1352</v>
      </c>
      <c r="G573" s="5" t="n">
        <v>82</v>
      </c>
      <c r="H573" s="5" t="s">
        <v>1353</v>
      </c>
      <c r="I573" s="4" t="s">
        <v>2088</v>
      </c>
      <c r="J573" s="4" t="s">
        <v>131</v>
      </c>
    </row>
    <row r="574" customFormat="false" ht="15" hidden="false" customHeight="false" outlineLevel="0" collapsed="false">
      <c r="A574" s="5" t="n">
        <v>35173</v>
      </c>
      <c r="B574" s="5" t="s">
        <v>77</v>
      </c>
      <c r="C574" s="5" t="s">
        <v>744</v>
      </c>
      <c r="D574" s="4" t="s">
        <v>32</v>
      </c>
      <c r="E574" s="4" t="s">
        <v>1351</v>
      </c>
      <c r="F574" s="4" t="s">
        <v>1356</v>
      </c>
      <c r="G574" s="5" t="n">
        <v>30</v>
      </c>
      <c r="H574" s="5" t="s">
        <v>1397</v>
      </c>
      <c r="I574" s="4" t="s">
        <v>2146</v>
      </c>
      <c r="J574" s="4" t="s">
        <v>132</v>
      </c>
    </row>
    <row r="575" customFormat="false" ht="15" hidden="false" customHeight="false" outlineLevel="0" collapsed="false">
      <c r="A575" s="5" t="n">
        <v>43644</v>
      </c>
      <c r="B575" s="5" t="s">
        <v>77</v>
      </c>
      <c r="C575" s="5" t="s">
        <v>1162</v>
      </c>
      <c r="D575" s="4" t="s">
        <v>34</v>
      </c>
      <c r="E575" s="4" t="s">
        <v>1351</v>
      </c>
      <c r="F575" s="4" t="s">
        <v>1352</v>
      </c>
      <c r="G575" s="5" t="n">
        <v>98</v>
      </c>
      <c r="H575" s="5" t="s">
        <v>1353</v>
      </c>
      <c r="I575" s="4" t="s">
        <v>2147</v>
      </c>
      <c r="J575" s="4" t="s">
        <v>131</v>
      </c>
    </row>
    <row r="576" customFormat="false" ht="15" hidden="false" customHeight="false" outlineLevel="0" collapsed="false">
      <c r="A576" s="5" t="n">
        <v>43647</v>
      </c>
      <c r="B576" s="5" t="s">
        <v>77</v>
      </c>
      <c r="C576" s="5" t="s">
        <v>2148</v>
      </c>
      <c r="D576" s="4" t="s">
        <v>34</v>
      </c>
      <c r="E576" s="4" t="s">
        <v>1351</v>
      </c>
      <c r="F576" s="4" t="s">
        <v>1352</v>
      </c>
      <c r="G576" s="5" t="n">
        <v>81</v>
      </c>
      <c r="H576" s="5" t="s">
        <v>1353</v>
      </c>
      <c r="I576" s="4" t="s">
        <v>2089</v>
      </c>
      <c r="J576" s="4" t="s">
        <v>131</v>
      </c>
    </row>
    <row r="577" customFormat="false" ht="15" hidden="false" customHeight="false" outlineLevel="0" collapsed="false">
      <c r="A577" s="5" t="n">
        <v>43579</v>
      </c>
      <c r="B577" s="5" t="s">
        <v>77</v>
      </c>
      <c r="C577" s="5" t="s">
        <v>2149</v>
      </c>
      <c r="D577" s="4" t="s">
        <v>22</v>
      </c>
      <c r="E577" s="4" t="s">
        <v>1351</v>
      </c>
      <c r="F577" s="4" t="s">
        <v>1356</v>
      </c>
      <c r="G577" s="5" t="n">
        <v>71</v>
      </c>
      <c r="H577" s="5" t="s">
        <v>1353</v>
      </c>
      <c r="I577" s="4" t="s">
        <v>2150</v>
      </c>
      <c r="J577" s="4" t="s">
        <v>131</v>
      </c>
    </row>
    <row r="578" customFormat="false" ht="15" hidden="false" customHeight="false" outlineLevel="0" collapsed="false">
      <c r="A578" s="5" t="n">
        <v>42368</v>
      </c>
      <c r="B578" s="5" t="s">
        <v>77</v>
      </c>
      <c r="C578" s="5" t="s">
        <v>2149</v>
      </c>
      <c r="D578" s="4" t="s">
        <v>22</v>
      </c>
      <c r="E578" s="4" t="s">
        <v>1351</v>
      </c>
      <c r="F578" s="4" t="s">
        <v>1356</v>
      </c>
      <c r="G578" s="5" t="n">
        <v>48</v>
      </c>
      <c r="H578" s="5" t="s">
        <v>1353</v>
      </c>
      <c r="I578" s="4" t="s">
        <v>2151</v>
      </c>
      <c r="J578" s="4" t="s">
        <v>131</v>
      </c>
    </row>
    <row r="579" customFormat="false" ht="15" hidden="false" customHeight="false" outlineLevel="0" collapsed="false">
      <c r="A579" s="5" t="n">
        <v>43648</v>
      </c>
      <c r="B579" s="5" t="s">
        <v>77</v>
      </c>
      <c r="C579" s="5" t="s">
        <v>1991</v>
      </c>
      <c r="D579" s="4" t="s">
        <v>34</v>
      </c>
      <c r="E579" s="4" t="s">
        <v>1351</v>
      </c>
      <c r="F579" s="4" t="s">
        <v>1352</v>
      </c>
      <c r="G579" s="5" t="n">
        <v>79</v>
      </c>
      <c r="H579" s="5" t="s">
        <v>1353</v>
      </c>
      <c r="I579" s="4" t="s">
        <v>2089</v>
      </c>
      <c r="J579" s="4" t="s">
        <v>131</v>
      </c>
    </row>
    <row r="580" customFormat="false" ht="15" hidden="false" customHeight="false" outlineLevel="0" collapsed="false">
      <c r="A580" s="5" t="n">
        <v>43649</v>
      </c>
      <c r="B580" s="5" t="s">
        <v>77</v>
      </c>
      <c r="C580" s="5" t="s">
        <v>1168</v>
      </c>
      <c r="D580" s="4" t="s">
        <v>34</v>
      </c>
      <c r="E580" s="4" t="s">
        <v>1351</v>
      </c>
      <c r="F580" s="4" t="s">
        <v>1352</v>
      </c>
      <c r="G580" s="5" t="n">
        <v>82</v>
      </c>
      <c r="H580" s="5" t="s">
        <v>1353</v>
      </c>
      <c r="I580" s="4" t="s">
        <v>1815</v>
      </c>
      <c r="J580" s="4" t="s">
        <v>131</v>
      </c>
    </row>
    <row r="581" customFormat="false" ht="15" hidden="false" customHeight="false" outlineLevel="0" collapsed="false">
      <c r="A581" s="5" t="n">
        <v>43650</v>
      </c>
      <c r="B581" s="5" t="s">
        <v>77</v>
      </c>
      <c r="C581" s="5" t="s">
        <v>2152</v>
      </c>
      <c r="D581" s="4" t="s">
        <v>34</v>
      </c>
      <c r="E581" s="4" t="s">
        <v>1351</v>
      </c>
      <c r="F581" s="4" t="s">
        <v>1352</v>
      </c>
      <c r="G581" s="5" t="n">
        <v>138</v>
      </c>
      <c r="H581" s="5" t="s">
        <v>1353</v>
      </c>
      <c r="I581" s="4" t="s">
        <v>2153</v>
      </c>
      <c r="J581" s="4" t="s">
        <v>131</v>
      </c>
    </row>
    <row r="582" customFormat="false" ht="15" hidden="false" customHeight="false" outlineLevel="0" collapsed="false">
      <c r="A582" s="5" t="n">
        <v>43651</v>
      </c>
      <c r="B582" s="5" t="s">
        <v>77</v>
      </c>
      <c r="C582" s="5" t="s">
        <v>2154</v>
      </c>
      <c r="D582" s="4" t="s">
        <v>34</v>
      </c>
      <c r="E582" s="4" t="s">
        <v>1351</v>
      </c>
      <c r="F582" s="4" t="s">
        <v>1352</v>
      </c>
      <c r="G582" s="5" t="n">
        <v>63</v>
      </c>
      <c r="H582" s="5" t="s">
        <v>1353</v>
      </c>
      <c r="I582" s="4" t="s">
        <v>2155</v>
      </c>
      <c r="J582" s="4" t="s">
        <v>131</v>
      </c>
    </row>
    <row r="583" customFormat="false" ht="15" hidden="false" customHeight="false" outlineLevel="0" collapsed="false">
      <c r="A583" s="5" t="n">
        <v>39908</v>
      </c>
      <c r="B583" s="5" t="s">
        <v>77</v>
      </c>
      <c r="C583" s="5" t="s">
        <v>1090</v>
      </c>
      <c r="D583" s="4" t="s">
        <v>28</v>
      </c>
      <c r="E583" s="4" t="s">
        <v>1351</v>
      </c>
      <c r="F583" s="4" t="s">
        <v>1352</v>
      </c>
      <c r="G583" s="5" t="n">
        <v>73</v>
      </c>
      <c r="H583" s="5" t="s">
        <v>1353</v>
      </c>
      <c r="I583" s="4" t="s">
        <v>2156</v>
      </c>
      <c r="J583" s="4" t="s">
        <v>131</v>
      </c>
    </row>
    <row r="584" customFormat="false" ht="15" hidden="false" customHeight="false" outlineLevel="0" collapsed="false">
      <c r="A584" s="5" t="n">
        <v>805</v>
      </c>
      <c r="B584" s="5" t="s">
        <v>77</v>
      </c>
      <c r="C584" s="5" t="s">
        <v>752</v>
      </c>
      <c r="D584" s="4" t="s">
        <v>28</v>
      </c>
      <c r="E584" s="4" t="s">
        <v>1351</v>
      </c>
      <c r="F584" s="4" t="s">
        <v>1352</v>
      </c>
      <c r="G584" s="5" t="n">
        <v>88</v>
      </c>
      <c r="H584" s="5" t="s">
        <v>1353</v>
      </c>
      <c r="I584" s="4" t="s">
        <v>2157</v>
      </c>
      <c r="J584" s="4" t="s">
        <v>131</v>
      </c>
    </row>
    <row r="585" customFormat="false" ht="15" hidden="false" customHeight="false" outlineLevel="0" collapsed="false">
      <c r="A585" s="5" t="n">
        <v>43353</v>
      </c>
      <c r="B585" s="5" t="s">
        <v>77</v>
      </c>
      <c r="C585" s="5" t="s">
        <v>1177</v>
      </c>
      <c r="D585" s="4" t="s">
        <v>28</v>
      </c>
      <c r="E585" s="4" t="s">
        <v>1351</v>
      </c>
      <c r="F585" s="4" t="s">
        <v>1352</v>
      </c>
      <c r="G585" s="5" t="n">
        <v>73</v>
      </c>
      <c r="H585" s="5" t="s">
        <v>1353</v>
      </c>
      <c r="I585" s="4" t="s">
        <v>2158</v>
      </c>
      <c r="J585" s="4" t="s">
        <v>131</v>
      </c>
    </row>
    <row r="586" customFormat="false" ht="15" hidden="false" customHeight="false" outlineLevel="0" collapsed="false">
      <c r="A586" s="5" t="n">
        <v>38151</v>
      </c>
      <c r="B586" s="5" t="s">
        <v>77</v>
      </c>
      <c r="C586" s="5" t="s">
        <v>1650</v>
      </c>
      <c r="D586" s="4" t="s">
        <v>20</v>
      </c>
      <c r="E586" s="4" t="s">
        <v>1351</v>
      </c>
      <c r="F586" s="4" t="s">
        <v>1356</v>
      </c>
      <c r="G586" s="5" t="n">
        <v>74</v>
      </c>
      <c r="H586" s="5" t="s">
        <v>1353</v>
      </c>
      <c r="I586" s="4" t="s">
        <v>2159</v>
      </c>
      <c r="J586" s="4" t="s">
        <v>131</v>
      </c>
    </row>
    <row r="587" customFormat="false" ht="15" hidden="false" customHeight="false" outlineLevel="0" collapsed="false">
      <c r="A587" s="5" t="n">
        <v>39973</v>
      </c>
      <c r="B587" s="5" t="s">
        <v>77</v>
      </c>
      <c r="C587" s="5" t="s">
        <v>1059</v>
      </c>
      <c r="D587" s="4" t="s">
        <v>20</v>
      </c>
      <c r="E587" s="4" t="s">
        <v>1351</v>
      </c>
      <c r="F587" s="4" t="s">
        <v>1356</v>
      </c>
      <c r="G587" s="5" t="n">
        <v>62</v>
      </c>
      <c r="H587" s="5" t="s">
        <v>1353</v>
      </c>
      <c r="I587" s="4" t="s">
        <v>2160</v>
      </c>
      <c r="J587" s="4" t="s">
        <v>131</v>
      </c>
    </row>
    <row r="588" customFormat="false" ht="15" hidden="false" customHeight="false" outlineLevel="0" collapsed="false">
      <c r="A588" s="5" t="n">
        <v>40477</v>
      </c>
      <c r="B588" s="5" t="s">
        <v>77</v>
      </c>
      <c r="C588" s="5" t="s">
        <v>2161</v>
      </c>
      <c r="D588" s="4" t="s">
        <v>20</v>
      </c>
      <c r="E588" s="4" t="s">
        <v>1351</v>
      </c>
      <c r="F588" s="4" t="s">
        <v>1356</v>
      </c>
      <c r="G588" s="5" t="n">
        <v>65</v>
      </c>
      <c r="H588" s="5" t="s">
        <v>1353</v>
      </c>
      <c r="I588" s="4" t="s">
        <v>2162</v>
      </c>
      <c r="J588" s="4" t="s">
        <v>131</v>
      </c>
    </row>
    <row r="589" customFormat="false" ht="15" hidden="false" customHeight="false" outlineLevel="0" collapsed="false">
      <c r="A589" s="5" t="n">
        <v>40514</v>
      </c>
      <c r="B589" s="5" t="s">
        <v>77</v>
      </c>
      <c r="C589" s="5" t="s">
        <v>1774</v>
      </c>
      <c r="D589" s="4" t="s">
        <v>20</v>
      </c>
      <c r="E589" s="4" t="s">
        <v>1351</v>
      </c>
      <c r="F589" s="4" t="s">
        <v>1356</v>
      </c>
      <c r="G589" s="5" t="n">
        <v>86</v>
      </c>
      <c r="H589" s="5" t="s">
        <v>1353</v>
      </c>
      <c r="I589" s="4" t="s">
        <v>2163</v>
      </c>
      <c r="J589" s="4" t="s">
        <v>131</v>
      </c>
    </row>
    <row r="590" customFormat="false" ht="15" hidden="false" customHeight="false" outlineLevel="0" collapsed="false">
      <c r="A590" s="5" t="n">
        <v>40516</v>
      </c>
      <c r="B590" s="5" t="s">
        <v>77</v>
      </c>
      <c r="C590" s="5" t="s">
        <v>1774</v>
      </c>
      <c r="D590" s="4" t="s">
        <v>20</v>
      </c>
      <c r="E590" s="4" t="s">
        <v>1351</v>
      </c>
      <c r="F590" s="4" t="s">
        <v>1356</v>
      </c>
      <c r="G590" s="5" t="n">
        <v>46</v>
      </c>
      <c r="H590" s="5" t="s">
        <v>1353</v>
      </c>
      <c r="I590" s="4" t="s">
        <v>2164</v>
      </c>
      <c r="J590" s="4" t="s">
        <v>131</v>
      </c>
    </row>
    <row r="591" customFormat="false" ht="15" hidden="false" customHeight="false" outlineLevel="0" collapsed="false">
      <c r="A591" s="5" t="n">
        <v>43652</v>
      </c>
      <c r="B591" s="5" t="s">
        <v>77</v>
      </c>
      <c r="C591" s="5" t="s">
        <v>515</v>
      </c>
      <c r="D591" s="4" t="s">
        <v>30</v>
      </c>
      <c r="E591" s="4" t="s">
        <v>1351</v>
      </c>
      <c r="F591" s="4" t="s">
        <v>1352</v>
      </c>
      <c r="G591" s="5" t="n">
        <v>91</v>
      </c>
      <c r="H591" s="5" t="s">
        <v>1353</v>
      </c>
      <c r="I591" s="4" t="s">
        <v>2165</v>
      </c>
      <c r="J591" s="4" t="s">
        <v>131</v>
      </c>
    </row>
    <row r="592" customFormat="false" ht="15" hidden="false" customHeight="false" outlineLevel="0" collapsed="false">
      <c r="A592" s="5" t="n">
        <v>43653</v>
      </c>
      <c r="B592" s="5" t="s">
        <v>77</v>
      </c>
      <c r="C592" s="5" t="s">
        <v>517</v>
      </c>
      <c r="D592" s="4" t="s">
        <v>30</v>
      </c>
      <c r="E592" s="4" t="s">
        <v>1351</v>
      </c>
      <c r="F592" s="4" t="s">
        <v>1352</v>
      </c>
      <c r="G592" s="5" t="n">
        <v>55</v>
      </c>
      <c r="H592" s="5" t="s">
        <v>1353</v>
      </c>
      <c r="I592" s="4" t="s">
        <v>2166</v>
      </c>
      <c r="J592" s="4" t="s">
        <v>131</v>
      </c>
    </row>
    <row r="593" customFormat="false" ht="15" hidden="false" customHeight="false" outlineLevel="0" collapsed="false">
      <c r="A593" s="5" t="n">
        <v>43654</v>
      </c>
      <c r="B593" s="5" t="s">
        <v>77</v>
      </c>
      <c r="C593" s="5" t="s">
        <v>1900</v>
      </c>
      <c r="D593" s="4" t="s">
        <v>30</v>
      </c>
      <c r="E593" s="4" t="s">
        <v>1351</v>
      </c>
      <c r="F593" s="4" t="s">
        <v>1352</v>
      </c>
      <c r="G593" s="5" t="n">
        <v>58</v>
      </c>
      <c r="H593" s="5" t="s">
        <v>1353</v>
      </c>
      <c r="I593" s="4" t="s">
        <v>2167</v>
      </c>
      <c r="J593" s="4" t="s">
        <v>131</v>
      </c>
    </row>
    <row r="594" customFormat="false" ht="15" hidden="false" customHeight="false" outlineLevel="0" collapsed="false">
      <c r="A594" s="5" t="n">
        <v>43655</v>
      </c>
      <c r="B594" s="5" t="s">
        <v>77</v>
      </c>
      <c r="C594" s="5" t="s">
        <v>1793</v>
      </c>
      <c r="D594" s="4" t="s">
        <v>30</v>
      </c>
      <c r="E594" s="4" t="s">
        <v>1351</v>
      </c>
      <c r="F594" s="4" t="s">
        <v>1356</v>
      </c>
      <c r="G594" s="5" t="n">
        <v>46</v>
      </c>
      <c r="H594" s="5" t="s">
        <v>1353</v>
      </c>
      <c r="I594" s="4" t="s">
        <v>2168</v>
      </c>
      <c r="J594" s="4" t="s">
        <v>131</v>
      </c>
    </row>
    <row r="595" customFormat="false" ht="15" hidden="false" customHeight="false" outlineLevel="0" collapsed="false">
      <c r="A595" s="5" t="n">
        <v>43656</v>
      </c>
      <c r="B595" s="5" t="s">
        <v>77</v>
      </c>
      <c r="C595" s="5" t="s">
        <v>1627</v>
      </c>
      <c r="D595" s="4" t="s">
        <v>22</v>
      </c>
      <c r="E595" s="4" t="s">
        <v>1351</v>
      </c>
      <c r="F595" s="4" t="s">
        <v>1352</v>
      </c>
      <c r="G595" s="5" t="n">
        <v>63</v>
      </c>
      <c r="H595" s="5" t="s">
        <v>1353</v>
      </c>
      <c r="I595" s="4" t="s">
        <v>2169</v>
      </c>
      <c r="J595" s="4" t="s">
        <v>131</v>
      </c>
    </row>
    <row r="596" customFormat="false" ht="15" hidden="false" customHeight="false" outlineLevel="0" collapsed="false">
      <c r="A596" s="5" t="n">
        <v>43657</v>
      </c>
      <c r="B596" s="5" t="s">
        <v>77</v>
      </c>
      <c r="C596" s="5" t="s">
        <v>598</v>
      </c>
      <c r="D596" s="4" t="s">
        <v>18</v>
      </c>
      <c r="E596" s="4" t="s">
        <v>1351</v>
      </c>
      <c r="F596" s="4" t="s">
        <v>1352</v>
      </c>
      <c r="G596" s="5" t="n">
        <v>84</v>
      </c>
      <c r="H596" s="5" t="s">
        <v>1353</v>
      </c>
      <c r="I596" s="4" t="s">
        <v>2170</v>
      </c>
      <c r="J596" s="4" t="s">
        <v>131</v>
      </c>
    </row>
    <row r="597" customFormat="false" ht="15" hidden="false" customHeight="false" outlineLevel="0" collapsed="false">
      <c r="A597" s="5" t="n">
        <v>41096</v>
      </c>
      <c r="B597" s="5" t="s">
        <v>77</v>
      </c>
      <c r="C597" s="5" t="s">
        <v>2130</v>
      </c>
      <c r="D597" s="4" t="s">
        <v>18</v>
      </c>
      <c r="E597" s="4" t="s">
        <v>1351</v>
      </c>
      <c r="F597" s="4" t="s">
        <v>1368</v>
      </c>
      <c r="G597" s="5" t="n">
        <v>48</v>
      </c>
      <c r="H597" s="5" t="s">
        <v>1353</v>
      </c>
      <c r="I597" s="4" t="s">
        <v>2171</v>
      </c>
      <c r="J597" s="4" t="s">
        <v>131</v>
      </c>
    </row>
    <row r="598" customFormat="false" ht="15" hidden="false" customHeight="false" outlineLevel="0" collapsed="false">
      <c r="A598" s="5" t="n">
        <v>43658</v>
      </c>
      <c r="B598" s="5" t="s">
        <v>77</v>
      </c>
      <c r="C598" s="5" t="s">
        <v>1804</v>
      </c>
      <c r="D598" s="4" t="s">
        <v>18</v>
      </c>
      <c r="E598" s="4" t="s">
        <v>1351</v>
      </c>
      <c r="F598" s="4" t="s">
        <v>1356</v>
      </c>
      <c r="G598" s="5" t="n">
        <v>118</v>
      </c>
      <c r="H598" s="5" t="s">
        <v>1353</v>
      </c>
      <c r="I598" s="4" t="s">
        <v>2172</v>
      </c>
      <c r="J598" s="4" t="s">
        <v>131</v>
      </c>
    </row>
    <row r="599" customFormat="false" ht="15" hidden="false" customHeight="false" outlineLevel="0" collapsed="false">
      <c r="A599" s="5" t="n">
        <v>40974</v>
      </c>
      <c r="B599" s="5" t="s">
        <v>77</v>
      </c>
      <c r="C599" s="5" t="s">
        <v>2173</v>
      </c>
      <c r="D599" s="4" t="s">
        <v>18</v>
      </c>
      <c r="E599" s="4" t="s">
        <v>1351</v>
      </c>
      <c r="F599" s="4" t="s">
        <v>1356</v>
      </c>
      <c r="G599" s="5" t="n">
        <v>108</v>
      </c>
      <c r="H599" s="5" t="s">
        <v>1353</v>
      </c>
      <c r="I599" s="4" t="s">
        <v>2174</v>
      </c>
      <c r="J599" s="4" t="s">
        <v>131</v>
      </c>
    </row>
    <row r="600" customFormat="false" ht="15" hidden="false" customHeight="false" outlineLevel="0" collapsed="false">
      <c r="A600" s="5" t="n">
        <v>41221</v>
      </c>
      <c r="B600" s="5" t="s">
        <v>77</v>
      </c>
      <c r="C600" s="5" t="s">
        <v>1217</v>
      </c>
      <c r="D600" s="4" t="s">
        <v>18</v>
      </c>
      <c r="E600" s="4" t="s">
        <v>1351</v>
      </c>
      <c r="F600" s="4" t="s">
        <v>1356</v>
      </c>
      <c r="G600" s="5" t="n">
        <v>30</v>
      </c>
      <c r="H600" s="5" t="s">
        <v>1397</v>
      </c>
      <c r="I600" s="4" t="s">
        <v>2175</v>
      </c>
      <c r="J600" s="4" t="s">
        <v>132</v>
      </c>
    </row>
    <row r="601" customFormat="false" ht="15" hidden="false" customHeight="false" outlineLevel="0" collapsed="false">
      <c r="A601" s="5" t="n">
        <v>43660</v>
      </c>
      <c r="B601" s="5" t="s">
        <v>78</v>
      </c>
      <c r="C601" s="5" t="s">
        <v>2176</v>
      </c>
      <c r="D601" s="4" t="s">
        <v>34</v>
      </c>
      <c r="E601" s="4" t="s">
        <v>1351</v>
      </c>
      <c r="F601" s="4" t="s">
        <v>1352</v>
      </c>
      <c r="G601" s="5" t="n">
        <v>107</v>
      </c>
      <c r="H601" s="5" t="s">
        <v>1353</v>
      </c>
      <c r="I601" s="4" t="s">
        <v>2177</v>
      </c>
      <c r="J601" s="4" t="s">
        <v>131</v>
      </c>
    </row>
    <row r="602" customFormat="false" ht="15" hidden="false" customHeight="false" outlineLevel="0" collapsed="false">
      <c r="A602" s="5" t="n">
        <v>43661</v>
      </c>
      <c r="B602" s="5" t="s">
        <v>78</v>
      </c>
      <c r="C602" s="5" t="s">
        <v>1687</v>
      </c>
      <c r="D602" s="4" t="s">
        <v>34</v>
      </c>
      <c r="E602" s="4" t="s">
        <v>1351</v>
      </c>
      <c r="F602" s="4" t="s">
        <v>1352</v>
      </c>
      <c r="G602" s="5" t="n">
        <v>66</v>
      </c>
      <c r="H602" s="5" t="s">
        <v>1353</v>
      </c>
      <c r="I602" s="4" t="s">
        <v>2178</v>
      </c>
      <c r="J602" s="4" t="s">
        <v>131</v>
      </c>
    </row>
    <row r="603" customFormat="false" ht="15" hidden="false" customHeight="false" outlineLevel="0" collapsed="false">
      <c r="A603" s="5" t="n">
        <v>35765</v>
      </c>
      <c r="B603" s="5" t="s">
        <v>78</v>
      </c>
      <c r="C603" s="5" t="s">
        <v>2179</v>
      </c>
      <c r="D603" s="4" t="s">
        <v>34</v>
      </c>
      <c r="E603" s="4" t="s">
        <v>1351</v>
      </c>
      <c r="F603" s="4" t="s">
        <v>1352</v>
      </c>
      <c r="G603" s="5" t="n">
        <v>194</v>
      </c>
      <c r="H603" s="5" t="s">
        <v>1353</v>
      </c>
      <c r="I603" s="4" t="s">
        <v>2180</v>
      </c>
      <c r="J603" s="4" t="s">
        <v>131</v>
      </c>
    </row>
    <row r="604" customFormat="false" ht="15" hidden="false" customHeight="false" outlineLevel="0" collapsed="false">
      <c r="A604" s="5" t="n">
        <v>39274</v>
      </c>
      <c r="B604" s="5" t="s">
        <v>78</v>
      </c>
      <c r="C604" s="5" t="s">
        <v>2181</v>
      </c>
      <c r="D604" s="4" t="s">
        <v>32</v>
      </c>
      <c r="E604" s="4" t="s">
        <v>1351</v>
      </c>
      <c r="F604" s="4" t="s">
        <v>1352</v>
      </c>
      <c r="G604" s="5" t="n">
        <v>79</v>
      </c>
      <c r="H604" s="5" t="s">
        <v>1353</v>
      </c>
      <c r="I604" s="4" t="s">
        <v>2182</v>
      </c>
      <c r="J604" s="4" t="s">
        <v>131</v>
      </c>
    </row>
    <row r="605" customFormat="false" ht="15" hidden="false" customHeight="false" outlineLevel="0" collapsed="false">
      <c r="A605" s="5" t="n">
        <v>43668</v>
      </c>
      <c r="B605" s="5" t="s">
        <v>78</v>
      </c>
      <c r="C605" s="5" t="s">
        <v>2183</v>
      </c>
      <c r="D605" s="4" t="s">
        <v>32</v>
      </c>
      <c r="E605" s="4" t="s">
        <v>1351</v>
      </c>
      <c r="F605" s="4" t="s">
        <v>1352</v>
      </c>
      <c r="G605" s="5" t="n">
        <v>148</v>
      </c>
      <c r="H605" s="5" t="s">
        <v>1353</v>
      </c>
      <c r="I605" s="4" t="s">
        <v>2184</v>
      </c>
      <c r="J605" s="4" t="s">
        <v>131</v>
      </c>
    </row>
    <row r="606" customFormat="false" ht="15" hidden="false" customHeight="false" outlineLevel="0" collapsed="false">
      <c r="A606" s="5" t="n">
        <v>43669</v>
      </c>
      <c r="B606" s="5" t="s">
        <v>78</v>
      </c>
      <c r="C606" s="5" t="s">
        <v>1813</v>
      </c>
      <c r="D606" s="4" t="s">
        <v>32</v>
      </c>
      <c r="E606" s="4" t="s">
        <v>1351</v>
      </c>
      <c r="F606" s="4" t="s">
        <v>1352</v>
      </c>
      <c r="G606" s="5" t="n">
        <v>97</v>
      </c>
      <c r="H606" s="5" t="s">
        <v>1353</v>
      </c>
      <c r="I606" s="4" t="s">
        <v>2185</v>
      </c>
      <c r="J606" s="4" t="s">
        <v>131</v>
      </c>
    </row>
    <row r="607" customFormat="false" ht="15" hidden="false" customHeight="false" outlineLevel="0" collapsed="false">
      <c r="A607" s="5" t="n">
        <v>43670</v>
      </c>
      <c r="B607" s="5" t="s">
        <v>78</v>
      </c>
      <c r="C607" s="5" t="s">
        <v>971</v>
      </c>
      <c r="D607" s="4" t="s">
        <v>32</v>
      </c>
      <c r="E607" s="4" t="s">
        <v>1351</v>
      </c>
      <c r="F607" s="4" t="s">
        <v>1352</v>
      </c>
      <c r="G607" s="5" t="n">
        <v>45</v>
      </c>
      <c r="H607" s="5" t="s">
        <v>1353</v>
      </c>
      <c r="I607" s="4" t="s">
        <v>2186</v>
      </c>
      <c r="J607" s="4" t="s">
        <v>131</v>
      </c>
    </row>
    <row r="608" customFormat="false" ht="15" hidden="false" customHeight="false" outlineLevel="0" collapsed="false">
      <c r="A608" s="5" t="n">
        <v>43672</v>
      </c>
      <c r="B608" s="5" t="s">
        <v>78</v>
      </c>
      <c r="C608" s="5" t="s">
        <v>727</v>
      </c>
      <c r="D608" s="4" t="s">
        <v>20</v>
      </c>
      <c r="E608" s="4" t="s">
        <v>1351</v>
      </c>
      <c r="F608" s="4" t="s">
        <v>1352</v>
      </c>
      <c r="G608" s="5" t="n">
        <v>74</v>
      </c>
      <c r="H608" s="5" t="s">
        <v>1353</v>
      </c>
      <c r="I608" s="4" t="s">
        <v>2187</v>
      </c>
      <c r="J608" s="4" t="s">
        <v>131</v>
      </c>
    </row>
    <row r="609" customFormat="false" ht="15" hidden="false" customHeight="false" outlineLevel="0" collapsed="false">
      <c r="A609" s="5" t="n">
        <v>43673</v>
      </c>
      <c r="B609" s="5" t="s">
        <v>78</v>
      </c>
      <c r="C609" s="5" t="s">
        <v>658</v>
      </c>
      <c r="D609" s="4" t="s">
        <v>20</v>
      </c>
      <c r="E609" s="4" t="s">
        <v>1351</v>
      </c>
      <c r="F609" s="4" t="s">
        <v>1352</v>
      </c>
      <c r="G609" s="5" t="n">
        <v>71</v>
      </c>
      <c r="H609" s="5" t="s">
        <v>1353</v>
      </c>
      <c r="I609" s="4" t="s">
        <v>2188</v>
      </c>
      <c r="J609" s="4" t="s">
        <v>131</v>
      </c>
    </row>
    <row r="610" customFormat="false" ht="15" hidden="false" customHeight="false" outlineLevel="0" collapsed="false">
      <c r="A610" s="5" t="n">
        <v>43674</v>
      </c>
      <c r="B610" s="5" t="s">
        <v>78</v>
      </c>
      <c r="C610" s="5" t="s">
        <v>729</v>
      </c>
      <c r="D610" s="4" t="s">
        <v>20</v>
      </c>
      <c r="E610" s="4" t="s">
        <v>1351</v>
      </c>
      <c r="F610" s="4" t="s">
        <v>1352</v>
      </c>
      <c r="G610" s="5" t="n">
        <v>53</v>
      </c>
      <c r="H610" s="5" t="s">
        <v>1353</v>
      </c>
      <c r="I610" s="4" t="s">
        <v>2189</v>
      </c>
      <c r="J610" s="4" t="s">
        <v>131</v>
      </c>
    </row>
    <row r="611" customFormat="false" ht="15" hidden="false" customHeight="false" outlineLevel="0" collapsed="false">
      <c r="A611" s="5" t="n">
        <v>43675</v>
      </c>
      <c r="B611" s="5" t="s">
        <v>78</v>
      </c>
      <c r="C611" s="5" t="s">
        <v>979</v>
      </c>
      <c r="D611" s="4" t="s">
        <v>20</v>
      </c>
      <c r="E611" s="4" t="s">
        <v>1351</v>
      </c>
      <c r="F611" s="4" t="s">
        <v>1352</v>
      </c>
      <c r="G611" s="5" t="n">
        <v>69</v>
      </c>
      <c r="H611" s="5" t="s">
        <v>1353</v>
      </c>
      <c r="I611" s="4" t="s">
        <v>2190</v>
      </c>
      <c r="J611" s="4" t="s">
        <v>131</v>
      </c>
    </row>
    <row r="612" customFormat="false" ht="15" hidden="false" customHeight="false" outlineLevel="0" collapsed="false">
      <c r="A612" s="5" t="n">
        <v>43676</v>
      </c>
      <c r="B612" s="5" t="s">
        <v>78</v>
      </c>
      <c r="C612" s="5" t="s">
        <v>981</v>
      </c>
      <c r="D612" s="4" t="s">
        <v>20</v>
      </c>
      <c r="E612" s="4" t="s">
        <v>1351</v>
      </c>
      <c r="F612" s="4" t="s">
        <v>1352</v>
      </c>
      <c r="G612" s="5" t="n">
        <v>49</v>
      </c>
      <c r="H612" s="5" t="s">
        <v>1353</v>
      </c>
      <c r="I612" s="4" t="s">
        <v>2191</v>
      </c>
      <c r="J612" s="4" t="s">
        <v>131</v>
      </c>
    </row>
    <row r="613" customFormat="false" ht="15" hidden="false" customHeight="false" outlineLevel="0" collapsed="false">
      <c r="A613" s="5" t="n">
        <v>39768</v>
      </c>
      <c r="B613" s="5" t="s">
        <v>78</v>
      </c>
      <c r="C613" s="5" t="s">
        <v>983</v>
      </c>
      <c r="D613" s="4" t="s">
        <v>24</v>
      </c>
      <c r="E613" s="4" t="s">
        <v>1351</v>
      </c>
      <c r="F613" s="4" t="s">
        <v>1356</v>
      </c>
      <c r="G613" s="5" t="n">
        <v>162</v>
      </c>
      <c r="H613" s="5" t="s">
        <v>1353</v>
      </c>
      <c r="I613" s="4" t="s">
        <v>2081</v>
      </c>
      <c r="J613" s="4" t="s">
        <v>131</v>
      </c>
    </row>
    <row r="614" customFormat="false" ht="15" hidden="false" customHeight="false" outlineLevel="0" collapsed="false">
      <c r="A614" s="5" t="n">
        <v>43677</v>
      </c>
      <c r="B614" s="5" t="s">
        <v>78</v>
      </c>
      <c r="C614" s="5" t="s">
        <v>983</v>
      </c>
      <c r="D614" s="4" t="s">
        <v>20</v>
      </c>
      <c r="E614" s="4" t="s">
        <v>1351</v>
      </c>
      <c r="F614" s="4" t="s">
        <v>1671</v>
      </c>
      <c r="G614" s="5" t="n">
        <v>117</v>
      </c>
      <c r="H614" s="5" t="s">
        <v>1353</v>
      </c>
      <c r="I614" s="4" t="s">
        <v>2192</v>
      </c>
      <c r="J614" s="4" t="s">
        <v>131</v>
      </c>
    </row>
    <row r="615" customFormat="false" ht="15" hidden="false" customHeight="false" outlineLevel="0" collapsed="false">
      <c r="A615" s="5" t="n">
        <v>43678</v>
      </c>
      <c r="B615" s="5" t="s">
        <v>78</v>
      </c>
      <c r="C615" s="5" t="s">
        <v>985</v>
      </c>
      <c r="D615" s="4" t="s">
        <v>20</v>
      </c>
      <c r="E615" s="4" t="s">
        <v>1351</v>
      </c>
      <c r="F615" s="4" t="s">
        <v>1352</v>
      </c>
      <c r="G615" s="5" t="n">
        <v>58</v>
      </c>
      <c r="H615" s="5" t="s">
        <v>1353</v>
      </c>
      <c r="I615" s="4" t="s">
        <v>2193</v>
      </c>
      <c r="J615" s="4" t="s">
        <v>131</v>
      </c>
    </row>
    <row r="616" customFormat="false" ht="15" hidden="false" customHeight="false" outlineLevel="0" collapsed="false">
      <c r="A616" s="5" t="n">
        <v>43679</v>
      </c>
      <c r="B616" s="5" t="s">
        <v>78</v>
      </c>
      <c r="C616" s="5" t="s">
        <v>1940</v>
      </c>
      <c r="D616" s="4" t="s">
        <v>20</v>
      </c>
      <c r="E616" s="4" t="s">
        <v>1351</v>
      </c>
      <c r="F616" s="4" t="s">
        <v>1368</v>
      </c>
      <c r="G616" s="5" t="n">
        <v>48</v>
      </c>
      <c r="H616" s="5" t="s">
        <v>1353</v>
      </c>
      <c r="I616" s="4" t="s">
        <v>2194</v>
      </c>
      <c r="J616" s="4" t="s">
        <v>131</v>
      </c>
    </row>
    <row r="617" customFormat="false" ht="15" hidden="false" customHeight="false" outlineLevel="0" collapsed="false">
      <c r="A617" s="5" t="n">
        <v>41272</v>
      </c>
      <c r="B617" s="5" t="s">
        <v>78</v>
      </c>
      <c r="C617" s="5" t="s">
        <v>2195</v>
      </c>
      <c r="D617" s="4" t="s">
        <v>24</v>
      </c>
      <c r="E617" s="4" t="s">
        <v>1351</v>
      </c>
      <c r="F617" s="4" t="s">
        <v>1368</v>
      </c>
      <c r="G617" s="5" t="n">
        <v>97</v>
      </c>
      <c r="H617" s="5" t="s">
        <v>1353</v>
      </c>
      <c r="I617" s="4" t="s">
        <v>2196</v>
      </c>
      <c r="J617" s="4" t="s">
        <v>131</v>
      </c>
    </row>
    <row r="618" customFormat="false" ht="15" hidden="false" customHeight="false" outlineLevel="0" collapsed="false">
      <c r="A618" s="5" t="n">
        <v>43680</v>
      </c>
      <c r="B618" s="5" t="s">
        <v>78</v>
      </c>
      <c r="C618" s="5" t="s">
        <v>1816</v>
      </c>
      <c r="D618" s="4" t="s">
        <v>18</v>
      </c>
      <c r="E618" s="4" t="s">
        <v>1351</v>
      </c>
      <c r="F618" s="4" t="s">
        <v>1352</v>
      </c>
      <c r="G618" s="5" t="n">
        <v>120</v>
      </c>
      <c r="H618" s="5" t="s">
        <v>1353</v>
      </c>
      <c r="I618" s="4" t="s">
        <v>2197</v>
      </c>
      <c r="J618" s="4" t="s">
        <v>131</v>
      </c>
    </row>
    <row r="619" customFormat="false" ht="15" hidden="false" customHeight="false" outlineLevel="0" collapsed="false">
      <c r="A619" s="5" t="n">
        <v>39986</v>
      </c>
      <c r="B619" s="5" t="s">
        <v>78</v>
      </c>
      <c r="C619" s="5" t="s">
        <v>622</v>
      </c>
      <c r="D619" s="4" t="s">
        <v>18</v>
      </c>
      <c r="E619" s="4" t="s">
        <v>1351</v>
      </c>
      <c r="F619" s="4" t="s">
        <v>1377</v>
      </c>
      <c r="G619" s="5" t="n">
        <v>111</v>
      </c>
      <c r="H619" s="5" t="s">
        <v>1353</v>
      </c>
      <c r="I619" s="4" t="s">
        <v>2198</v>
      </c>
      <c r="J619" s="4" t="s">
        <v>131</v>
      </c>
    </row>
    <row r="620" customFormat="false" ht="15" hidden="false" customHeight="false" outlineLevel="0" collapsed="false">
      <c r="A620" s="5" t="n">
        <v>43681</v>
      </c>
      <c r="B620" s="5" t="s">
        <v>78</v>
      </c>
      <c r="C620" s="5" t="s">
        <v>2199</v>
      </c>
      <c r="D620" s="4" t="s">
        <v>18</v>
      </c>
      <c r="E620" s="4" t="s">
        <v>1351</v>
      </c>
      <c r="F620" s="4" t="s">
        <v>1352</v>
      </c>
      <c r="G620" s="5" t="n">
        <v>110</v>
      </c>
      <c r="H620" s="5" t="s">
        <v>1353</v>
      </c>
      <c r="I620" s="4" t="s">
        <v>2200</v>
      </c>
      <c r="J620" s="4" t="s">
        <v>131</v>
      </c>
    </row>
    <row r="621" customFormat="false" ht="15" hidden="false" customHeight="false" outlineLevel="0" collapsed="false">
      <c r="A621" s="5" t="n">
        <v>23621</v>
      </c>
      <c r="B621" s="5" t="s">
        <v>78</v>
      </c>
      <c r="C621" s="5" t="s">
        <v>908</v>
      </c>
      <c r="D621" s="4" t="s">
        <v>34</v>
      </c>
      <c r="E621" s="4" t="s">
        <v>1351</v>
      </c>
      <c r="F621" s="4" t="s">
        <v>1356</v>
      </c>
      <c r="G621" s="5" t="n">
        <v>158</v>
      </c>
      <c r="H621" s="5" t="s">
        <v>1353</v>
      </c>
      <c r="I621" s="4" t="s">
        <v>2201</v>
      </c>
      <c r="J621" s="4" t="s">
        <v>131</v>
      </c>
    </row>
    <row r="622" customFormat="false" ht="15" hidden="false" customHeight="false" outlineLevel="0" collapsed="false">
      <c r="A622" s="5" t="n">
        <v>43556</v>
      </c>
      <c r="B622" s="5" t="s">
        <v>78</v>
      </c>
      <c r="C622" s="5" t="s">
        <v>861</v>
      </c>
      <c r="D622" s="4" t="s">
        <v>18</v>
      </c>
      <c r="E622" s="4" t="s">
        <v>1351</v>
      </c>
      <c r="F622" s="4" t="s">
        <v>1356</v>
      </c>
      <c r="G622" s="5" t="n">
        <v>43</v>
      </c>
      <c r="H622" s="5" t="s">
        <v>1353</v>
      </c>
      <c r="I622" s="4" t="s">
        <v>2202</v>
      </c>
      <c r="J622" s="4" t="s">
        <v>131</v>
      </c>
    </row>
    <row r="623" customFormat="false" ht="15" hidden="false" customHeight="false" outlineLevel="0" collapsed="false">
      <c r="A623" s="5" t="n">
        <v>41401</v>
      </c>
      <c r="B623" s="5" t="s">
        <v>78</v>
      </c>
      <c r="C623" s="5" t="s">
        <v>290</v>
      </c>
      <c r="D623" s="4" t="s">
        <v>18</v>
      </c>
      <c r="E623" s="4" t="s">
        <v>1351</v>
      </c>
      <c r="F623" s="4" t="s">
        <v>1356</v>
      </c>
      <c r="G623" s="5" t="n">
        <v>74</v>
      </c>
      <c r="H623" s="5" t="s">
        <v>1353</v>
      </c>
      <c r="I623" s="4" t="s">
        <v>2203</v>
      </c>
      <c r="J623" s="4" t="s">
        <v>131</v>
      </c>
    </row>
    <row r="624" customFormat="false" ht="15" hidden="false" customHeight="false" outlineLevel="0" collapsed="false">
      <c r="A624" s="5" t="n">
        <v>41956</v>
      </c>
      <c r="B624" s="5" t="s">
        <v>78</v>
      </c>
      <c r="C624" s="5" t="s">
        <v>737</v>
      </c>
      <c r="D624" s="4" t="s">
        <v>18</v>
      </c>
      <c r="E624" s="4" t="s">
        <v>1351</v>
      </c>
      <c r="F624" s="4" t="s">
        <v>1671</v>
      </c>
      <c r="G624" s="5" t="n">
        <v>153</v>
      </c>
      <c r="H624" s="5" t="s">
        <v>1353</v>
      </c>
      <c r="I624" s="4" t="s">
        <v>2204</v>
      </c>
      <c r="J624" s="4" t="s">
        <v>131</v>
      </c>
    </row>
    <row r="625" customFormat="false" ht="15" hidden="false" customHeight="false" outlineLevel="0" collapsed="false">
      <c r="A625" s="5" t="n">
        <v>41221</v>
      </c>
      <c r="B625" s="5" t="s">
        <v>78</v>
      </c>
      <c r="C625" s="5" t="s">
        <v>1509</v>
      </c>
      <c r="D625" s="4" t="s">
        <v>18</v>
      </c>
      <c r="E625" s="4" t="s">
        <v>1351</v>
      </c>
      <c r="F625" s="4" t="s">
        <v>1377</v>
      </c>
      <c r="G625" s="5" t="n">
        <v>70</v>
      </c>
      <c r="H625" s="5" t="s">
        <v>1353</v>
      </c>
      <c r="I625" s="4" t="s">
        <v>2205</v>
      </c>
      <c r="J625" s="4" t="s">
        <v>131</v>
      </c>
    </row>
    <row r="626" customFormat="false" ht="15" hidden="false" customHeight="false" outlineLevel="0" collapsed="false">
      <c r="A626" s="5" t="n">
        <v>43626</v>
      </c>
      <c r="B626" s="5" t="s">
        <v>78</v>
      </c>
      <c r="C626" s="5" t="s">
        <v>1511</v>
      </c>
      <c r="D626" s="4" t="s">
        <v>24</v>
      </c>
      <c r="E626" s="4" t="s">
        <v>1351</v>
      </c>
      <c r="F626" s="4" t="s">
        <v>1368</v>
      </c>
      <c r="G626" s="5" t="n">
        <v>92</v>
      </c>
      <c r="H626" s="5" t="s">
        <v>1353</v>
      </c>
      <c r="I626" s="4" t="s">
        <v>2206</v>
      </c>
      <c r="J626" s="4" t="s">
        <v>131</v>
      </c>
    </row>
    <row r="627" customFormat="false" ht="15" hidden="false" customHeight="false" outlineLevel="0" collapsed="false">
      <c r="A627" s="5" t="n">
        <v>40331</v>
      </c>
      <c r="B627" s="5" t="s">
        <v>78</v>
      </c>
      <c r="C627" s="5" t="s">
        <v>311</v>
      </c>
      <c r="D627" s="4" t="s">
        <v>34</v>
      </c>
      <c r="E627" s="4" t="s">
        <v>1351</v>
      </c>
      <c r="F627" s="4" t="s">
        <v>1356</v>
      </c>
      <c r="G627" s="5" t="n">
        <v>124</v>
      </c>
      <c r="H627" s="5" t="s">
        <v>1353</v>
      </c>
      <c r="I627" s="4" t="s">
        <v>2207</v>
      </c>
      <c r="J627" s="4" t="s">
        <v>131</v>
      </c>
    </row>
    <row r="628" customFormat="false" ht="15" hidden="false" customHeight="false" outlineLevel="0" collapsed="false">
      <c r="A628" s="5" t="n">
        <v>36157</v>
      </c>
      <c r="B628" s="5" t="s">
        <v>78</v>
      </c>
      <c r="C628" s="5" t="s">
        <v>1209</v>
      </c>
      <c r="D628" s="4" t="s">
        <v>34</v>
      </c>
      <c r="E628" s="4" t="s">
        <v>1351</v>
      </c>
      <c r="F628" s="4" t="s">
        <v>1671</v>
      </c>
      <c r="G628" s="5" t="n">
        <v>78</v>
      </c>
      <c r="H628" s="5" t="s">
        <v>1353</v>
      </c>
      <c r="I628" s="4" t="s">
        <v>2208</v>
      </c>
      <c r="J628" s="4" t="s">
        <v>131</v>
      </c>
    </row>
    <row r="629" customFormat="false" ht="15" hidden="false" customHeight="false" outlineLevel="0" collapsed="false">
      <c r="A629" s="5" t="n">
        <v>36157</v>
      </c>
      <c r="B629" s="5" t="s">
        <v>78</v>
      </c>
      <c r="C629" s="5" t="s">
        <v>1209</v>
      </c>
      <c r="D629" s="4" t="s">
        <v>34</v>
      </c>
      <c r="E629" s="4" t="s">
        <v>1351</v>
      </c>
      <c r="F629" s="4" t="s">
        <v>1377</v>
      </c>
      <c r="G629" s="5" t="n">
        <v>10</v>
      </c>
      <c r="H629" s="5" t="s">
        <v>1419</v>
      </c>
      <c r="I629" s="4" t="s">
        <v>1427</v>
      </c>
      <c r="J629" s="4" t="s">
        <v>133</v>
      </c>
    </row>
    <row r="630" customFormat="false" ht="15" hidden="false" customHeight="false" outlineLevel="0" collapsed="false">
      <c r="A630" s="5" t="n">
        <v>36158</v>
      </c>
      <c r="B630" s="5" t="s">
        <v>78</v>
      </c>
      <c r="C630" s="5" t="s">
        <v>1153</v>
      </c>
      <c r="D630" s="4" t="s">
        <v>34</v>
      </c>
      <c r="E630" s="4" t="s">
        <v>1351</v>
      </c>
      <c r="F630" s="4" t="s">
        <v>1356</v>
      </c>
      <c r="G630" s="5" t="n">
        <v>143</v>
      </c>
      <c r="H630" s="5" t="s">
        <v>1353</v>
      </c>
      <c r="I630" s="4" t="s">
        <v>2209</v>
      </c>
      <c r="J630" s="4" t="s">
        <v>131</v>
      </c>
    </row>
    <row r="631" customFormat="false" ht="15" hidden="false" customHeight="false" outlineLevel="0" collapsed="false">
      <c r="A631" s="5" t="n">
        <v>35401</v>
      </c>
      <c r="B631" s="5" t="s">
        <v>78</v>
      </c>
      <c r="C631" s="5" t="s">
        <v>317</v>
      </c>
      <c r="D631" s="4" t="s">
        <v>34</v>
      </c>
      <c r="E631" s="4" t="s">
        <v>1351</v>
      </c>
      <c r="F631" s="4" t="s">
        <v>1370</v>
      </c>
      <c r="G631" s="5" t="n">
        <v>69</v>
      </c>
      <c r="H631" s="5" t="s">
        <v>1353</v>
      </c>
      <c r="I631" s="4" t="s">
        <v>2210</v>
      </c>
      <c r="J631" s="4" t="s">
        <v>131</v>
      </c>
    </row>
    <row r="632" customFormat="false" ht="15" hidden="false" customHeight="false" outlineLevel="0" collapsed="false">
      <c r="A632" s="5" t="n">
        <v>43237</v>
      </c>
      <c r="B632" s="5" t="s">
        <v>78</v>
      </c>
      <c r="C632" s="5" t="s">
        <v>1177</v>
      </c>
      <c r="D632" s="4" t="s">
        <v>24</v>
      </c>
      <c r="E632" s="4" t="s">
        <v>1351</v>
      </c>
      <c r="F632" s="4" t="s">
        <v>1368</v>
      </c>
      <c r="G632" s="5" t="n">
        <v>133</v>
      </c>
      <c r="H632" s="5" t="s">
        <v>1353</v>
      </c>
      <c r="I632" s="4" t="s">
        <v>2211</v>
      </c>
      <c r="J632" s="4" t="s">
        <v>131</v>
      </c>
    </row>
    <row r="633" customFormat="false" ht="15" hidden="false" customHeight="false" outlineLevel="0" collapsed="false">
      <c r="A633" s="5" t="n">
        <v>40073</v>
      </c>
      <c r="B633" s="5" t="s">
        <v>78</v>
      </c>
      <c r="C633" s="5" t="s">
        <v>2212</v>
      </c>
      <c r="D633" s="4" t="s">
        <v>24</v>
      </c>
      <c r="E633" s="4" t="s">
        <v>1351</v>
      </c>
      <c r="F633" s="4" t="s">
        <v>1368</v>
      </c>
      <c r="G633" s="5" t="n">
        <v>54</v>
      </c>
      <c r="H633" s="5" t="s">
        <v>1353</v>
      </c>
      <c r="I633" s="4" t="s">
        <v>2213</v>
      </c>
      <c r="J633" s="4" t="s">
        <v>131</v>
      </c>
    </row>
    <row r="634" customFormat="false" ht="15" hidden="false" customHeight="false" outlineLevel="0" collapsed="false">
      <c r="A634" s="5" t="n">
        <v>41344</v>
      </c>
      <c r="B634" s="5" t="s">
        <v>78</v>
      </c>
      <c r="C634" s="5" t="s">
        <v>1095</v>
      </c>
      <c r="D634" s="4" t="s">
        <v>24</v>
      </c>
      <c r="E634" s="4" t="s">
        <v>1351</v>
      </c>
      <c r="F634" s="4" t="s">
        <v>1368</v>
      </c>
      <c r="G634" s="5" t="n">
        <v>49</v>
      </c>
      <c r="H634" s="5" t="s">
        <v>1353</v>
      </c>
      <c r="I634" s="4" t="s">
        <v>2214</v>
      </c>
      <c r="J634" s="4" t="s">
        <v>131</v>
      </c>
    </row>
    <row r="635" customFormat="false" ht="15" hidden="false" customHeight="false" outlineLevel="0" collapsed="false">
      <c r="A635" s="5" t="n">
        <v>43694</v>
      </c>
      <c r="B635" s="5" t="s">
        <v>78</v>
      </c>
      <c r="C635" s="5" t="s">
        <v>527</v>
      </c>
      <c r="D635" s="4" t="s">
        <v>22</v>
      </c>
      <c r="E635" s="4" t="s">
        <v>1351</v>
      </c>
      <c r="F635" s="4" t="s">
        <v>1370</v>
      </c>
      <c r="G635" s="5" t="n">
        <v>21</v>
      </c>
      <c r="H635" s="5" t="s">
        <v>1397</v>
      </c>
      <c r="I635" s="4" t="s">
        <v>2215</v>
      </c>
      <c r="J635" s="4" t="s">
        <v>132</v>
      </c>
    </row>
    <row r="636" customFormat="false" ht="15" hidden="false" customHeight="false" outlineLevel="0" collapsed="false">
      <c r="A636" s="5" t="n">
        <v>43696</v>
      </c>
      <c r="B636" s="5" t="s">
        <v>78</v>
      </c>
      <c r="C636" s="5" t="s">
        <v>1185</v>
      </c>
      <c r="D636" s="4" t="s">
        <v>22</v>
      </c>
      <c r="E636" s="4" t="s">
        <v>1351</v>
      </c>
      <c r="F636" s="4" t="s">
        <v>1370</v>
      </c>
      <c r="G636" s="5" t="n">
        <v>32</v>
      </c>
      <c r="H636" s="5" t="s">
        <v>1397</v>
      </c>
      <c r="I636" s="4" t="s">
        <v>2216</v>
      </c>
      <c r="J636" s="4" t="s">
        <v>132</v>
      </c>
    </row>
    <row r="637" customFormat="false" ht="15" hidden="false" customHeight="false" outlineLevel="0" collapsed="false">
      <c r="A637" s="5" t="n">
        <v>41724</v>
      </c>
      <c r="B637" s="5" t="s">
        <v>78</v>
      </c>
      <c r="C637" s="5" t="s">
        <v>1413</v>
      </c>
      <c r="D637" s="4" t="s">
        <v>22</v>
      </c>
      <c r="E637" s="4" t="s">
        <v>1351</v>
      </c>
      <c r="F637" s="4" t="s">
        <v>1352</v>
      </c>
      <c r="G637" s="5" t="n">
        <v>39</v>
      </c>
      <c r="H637" s="5" t="s">
        <v>1397</v>
      </c>
      <c r="I637" s="4" t="s">
        <v>2217</v>
      </c>
      <c r="J637" s="4" t="s">
        <v>132</v>
      </c>
    </row>
    <row r="638" customFormat="false" ht="15" hidden="false" customHeight="false" outlineLevel="0" collapsed="false">
      <c r="A638" s="5" t="n">
        <v>43697</v>
      </c>
      <c r="B638" s="5" t="s">
        <v>78</v>
      </c>
      <c r="C638" s="5" t="s">
        <v>2218</v>
      </c>
      <c r="D638" s="4" t="s">
        <v>22</v>
      </c>
      <c r="E638" s="4" t="s">
        <v>1351</v>
      </c>
      <c r="F638" s="4" t="s">
        <v>1352</v>
      </c>
      <c r="G638" s="5" t="n">
        <v>36</v>
      </c>
      <c r="H638" s="5" t="s">
        <v>1397</v>
      </c>
      <c r="I638" s="4" t="s">
        <v>2219</v>
      </c>
      <c r="J638" s="4" t="s">
        <v>132</v>
      </c>
    </row>
    <row r="639" customFormat="false" ht="15" hidden="false" customHeight="false" outlineLevel="0" collapsed="false">
      <c r="A639" s="5" t="n">
        <v>34152</v>
      </c>
      <c r="B639" s="5" t="s">
        <v>78</v>
      </c>
      <c r="C639" s="5" t="s">
        <v>2220</v>
      </c>
      <c r="D639" s="4" t="s">
        <v>28</v>
      </c>
      <c r="E639" s="4" t="s">
        <v>1351</v>
      </c>
      <c r="F639" s="4" t="s">
        <v>1356</v>
      </c>
      <c r="G639" s="5" t="n">
        <v>82</v>
      </c>
      <c r="H639" s="5" t="s">
        <v>1353</v>
      </c>
      <c r="I639" s="4" t="s">
        <v>2221</v>
      </c>
      <c r="J639" s="4" t="s">
        <v>131</v>
      </c>
    </row>
    <row r="640" customFormat="false" ht="15" hidden="false" customHeight="false" outlineLevel="0" collapsed="false">
      <c r="A640" s="5" t="n">
        <v>12112</v>
      </c>
      <c r="B640" s="5" t="s">
        <v>78</v>
      </c>
      <c r="C640" s="5" t="s">
        <v>2017</v>
      </c>
      <c r="D640" s="4" t="s">
        <v>28</v>
      </c>
      <c r="E640" s="4" t="s">
        <v>1351</v>
      </c>
      <c r="F640" s="4" t="s">
        <v>1356</v>
      </c>
      <c r="G640" s="5" t="n">
        <v>75</v>
      </c>
      <c r="H640" s="5" t="s">
        <v>1353</v>
      </c>
      <c r="I640" s="4" t="s">
        <v>2222</v>
      </c>
      <c r="J640" s="4" t="s">
        <v>131</v>
      </c>
    </row>
    <row r="641" customFormat="false" ht="15" hidden="false" customHeight="false" outlineLevel="0" collapsed="false">
      <c r="A641" s="5" t="n">
        <v>43521</v>
      </c>
      <c r="B641" s="5" t="s">
        <v>78</v>
      </c>
      <c r="C641" s="5" t="s">
        <v>777</v>
      </c>
      <c r="D641" s="4" t="s">
        <v>28</v>
      </c>
      <c r="E641" s="4" t="s">
        <v>1351</v>
      </c>
      <c r="F641" s="4" t="s">
        <v>1352</v>
      </c>
      <c r="G641" s="5" t="n">
        <v>60</v>
      </c>
      <c r="H641" s="5" t="s">
        <v>1353</v>
      </c>
      <c r="I641" s="4" t="s">
        <v>2223</v>
      </c>
      <c r="J641" s="4" t="s">
        <v>131</v>
      </c>
    </row>
    <row r="642" customFormat="false" ht="15" hidden="false" customHeight="false" outlineLevel="0" collapsed="false">
      <c r="A642" s="5" t="n">
        <v>39652</v>
      </c>
      <c r="B642" s="5" t="s">
        <v>78</v>
      </c>
      <c r="C642" s="5" t="s">
        <v>2173</v>
      </c>
      <c r="D642" s="4" t="s">
        <v>28</v>
      </c>
      <c r="E642" s="4" t="s">
        <v>1351</v>
      </c>
      <c r="F642" s="4" t="s">
        <v>1356</v>
      </c>
      <c r="G642" s="5" t="n">
        <v>64</v>
      </c>
      <c r="H642" s="5" t="s">
        <v>1353</v>
      </c>
      <c r="I642" s="4" t="s">
        <v>2224</v>
      </c>
      <c r="J642" s="4" t="s">
        <v>131</v>
      </c>
    </row>
    <row r="643" customFormat="false" ht="15" hidden="false" customHeight="false" outlineLevel="0" collapsed="false">
      <c r="A643" s="5" t="n">
        <v>23857</v>
      </c>
      <c r="B643" s="5" t="s">
        <v>79</v>
      </c>
      <c r="C643" s="5" t="s">
        <v>1531</v>
      </c>
      <c r="D643" s="4" t="s">
        <v>34</v>
      </c>
      <c r="E643" s="4" t="s">
        <v>1351</v>
      </c>
      <c r="F643" s="4" t="s">
        <v>1352</v>
      </c>
      <c r="G643" s="5" t="n">
        <v>108</v>
      </c>
      <c r="H643" s="5" t="s">
        <v>1353</v>
      </c>
      <c r="I643" s="4" t="s">
        <v>2225</v>
      </c>
      <c r="J643" s="4" t="s">
        <v>131</v>
      </c>
    </row>
    <row r="644" customFormat="false" ht="15" hidden="false" customHeight="false" outlineLevel="0" collapsed="false">
      <c r="A644" s="5" t="n">
        <v>23857</v>
      </c>
      <c r="B644" s="5" t="s">
        <v>79</v>
      </c>
      <c r="C644" s="5" t="s">
        <v>2226</v>
      </c>
      <c r="D644" s="4" t="s">
        <v>34</v>
      </c>
      <c r="E644" s="4" t="s">
        <v>1418</v>
      </c>
      <c r="F644" s="4"/>
      <c r="G644" s="5" t="n">
        <v>0</v>
      </c>
      <c r="H644" s="5" t="s">
        <v>1419</v>
      </c>
      <c r="I644" s="4"/>
      <c r="J644" s="4" t="s">
        <v>134</v>
      </c>
    </row>
    <row r="645" customFormat="false" ht="15" hidden="false" customHeight="false" outlineLevel="0" collapsed="false">
      <c r="A645" s="5" t="n">
        <v>39202</v>
      </c>
      <c r="B645" s="5" t="s">
        <v>79</v>
      </c>
      <c r="C645" s="5" t="s">
        <v>202</v>
      </c>
      <c r="D645" s="4" t="s">
        <v>32</v>
      </c>
      <c r="E645" s="4" t="s">
        <v>1351</v>
      </c>
      <c r="F645" s="4" t="s">
        <v>1352</v>
      </c>
      <c r="G645" s="5" t="n">
        <v>76</v>
      </c>
      <c r="H645" s="5" t="s">
        <v>1353</v>
      </c>
      <c r="I645" s="4" t="s">
        <v>2227</v>
      </c>
      <c r="J645" s="4" t="s">
        <v>131</v>
      </c>
    </row>
    <row r="646" customFormat="false" ht="15" hidden="false" customHeight="false" outlineLevel="0" collapsed="false">
      <c r="A646" s="5" t="n">
        <v>42684</v>
      </c>
      <c r="B646" s="5" t="s">
        <v>79</v>
      </c>
      <c r="C646" s="5" t="s">
        <v>2228</v>
      </c>
      <c r="D646" s="4" t="s">
        <v>32</v>
      </c>
      <c r="E646" s="4" t="s">
        <v>1351</v>
      </c>
      <c r="F646" s="4" t="s">
        <v>1352</v>
      </c>
      <c r="G646" s="5" t="n">
        <v>55</v>
      </c>
      <c r="H646" s="5" t="s">
        <v>1353</v>
      </c>
      <c r="I646" s="4" t="s">
        <v>2229</v>
      </c>
      <c r="J646" s="4" t="s">
        <v>131</v>
      </c>
    </row>
    <row r="647" customFormat="false" ht="15" hidden="false" customHeight="false" outlineLevel="0" collapsed="false">
      <c r="A647" s="5" t="n">
        <v>43714</v>
      </c>
      <c r="B647" s="5" t="s">
        <v>79</v>
      </c>
      <c r="C647" s="5" t="s">
        <v>1013</v>
      </c>
      <c r="D647" s="4" t="s">
        <v>34</v>
      </c>
      <c r="E647" s="4" t="s">
        <v>1351</v>
      </c>
      <c r="F647" s="4" t="s">
        <v>1352</v>
      </c>
      <c r="G647" s="5" t="n">
        <v>188</v>
      </c>
      <c r="H647" s="5" t="s">
        <v>1353</v>
      </c>
      <c r="I647" s="4" t="s">
        <v>2230</v>
      </c>
      <c r="J647" s="4" t="s">
        <v>131</v>
      </c>
    </row>
    <row r="648" customFormat="false" ht="15" hidden="false" customHeight="false" outlineLevel="0" collapsed="false">
      <c r="A648" s="5" t="n">
        <v>43715</v>
      </c>
      <c r="B648" s="5" t="s">
        <v>79</v>
      </c>
      <c r="C648" s="5" t="s">
        <v>2231</v>
      </c>
      <c r="D648" s="4" t="s">
        <v>24</v>
      </c>
      <c r="E648" s="4" t="s">
        <v>1351</v>
      </c>
      <c r="F648" s="4" t="s">
        <v>1352</v>
      </c>
      <c r="G648" s="5" t="n">
        <v>123</v>
      </c>
      <c r="H648" s="5" t="s">
        <v>1353</v>
      </c>
      <c r="I648" s="4" t="s">
        <v>2232</v>
      </c>
      <c r="J648" s="4" t="s">
        <v>131</v>
      </c>
    </row>
    <row r="649" customFormat="false" ht="15" hidden="false" customHeight="false" outlineLevel="0" collapsed="false">
      <c r="A649" s="5" t="n">
        <v>43716</v>
      </c>
      <c r="B649" s="5" t="s">
        <v>79</v>
      </c>
      <c r="C649" s="5" t="s">
        <v>1818</v>
      </c>
      <c r="D649" s="4" t="s">
        <v>34</v>
      </c>
      <c r="E649" s="4" t="s">
        <v>1351</v>
      </c>
      <c r="F649" s="4" t="s">
        <v>1352</v>
      </c>
      <c r="G649" s="5" t="n">
        <v>151</v>
      </c>
      <c r="H649" s="5" t="s">
        <v>1353</v>
      </c>
      <c r="I649" s="4" t="s">
        <v>2233</v>
      </c>
      <c r="J649" s="4" t="s">
        <v>131</v>
      </c>
    </row>
    <row r="650" customFormat="false" ht="15" hidden="false" customHeight="false" outlineLevel="0" collapsed="false">
      <c r="A650" s="5" t="n">
        <v>25898</v>
      </c>
      <c r="B650" s="5" t="s">
        <v>79</v>
      </c>
      <c r="C650" s="5" t="s">
        <v>290</v>
      </c>
      <c r="D650" s="4" t="s">
        <v>34</v>
      </c>
      <c r="E650" s="4" t="s">
        <v>1351</v>
      </c>
      <c r="F650" s="4" t="s">
        <v>1352</v>
      </c>
      <c r="G650" s="5" t="n">
        <v>83</v>
      </c>
      <c r="H650" s="5" t="s">
        <v>1353</v>
      </c>
      <c r="I650" s="4" t="s">
        <v>1817</v>
      </c>
      <c r="J650" s="4" t="s">
        <v>131</v>
      </c>
    </row>
    <row r="651" customFormat="false" ht="15" hidden="false" customHeight="false" outlineLevel="0" collapsed="false">
      <c r="A651" s="5" t="n">
        <v>25893</v>
      </c>
      <c r="B651" s="5" t="s">
        <v>79</v>
      </c>
      <c r="C651" s="5" t="s">
        <v>737</v>
      </c>
      <c r="D651" s="4" t="s">
        <v>34</v>
      </c>
      <c r="E651" s="4" t="s">
        <v>1351</v>
      </c>
      <c r="F651" s="4" t="s">
        <v>1352</v>
      </c>
      <c r="G651" s="5" t="n">
        <v>182</v>
      </c>
      <c r="H651" s="5" t="s">
        <v>1353</v>
      </c>
      <c r="I651" s="4" t="s">
        <v>2234</v>
      </c>
      <c r="J651" s="4" t="s">
        <v>131</v>
      </c>
    </row>
    <row r="652" customFormat="false" ht="15" hidden="false" customHeight="false" outlineLevel="0" collapsed="false">
      <c r="A652" s="5" t="n">
        <v>43717</v>
      </c>
      <c r="B652" s="5" t="s">
        <v>79</v>
      </c>
      <c r="C652" s="5" t="s">
        <v>1521</v>
      </c>
      <c r="D652" s="4" t="s">
        <v>34</v>
      </c>
      <c r="E652" s="4" t="s">
        <v>1351</v>
      </c>
      <c r="F652" s="4" t="s">
        <v>1352</v>
      </c>
      <c r="G652" s="5" t="n">
        <v>90</v>
      </c>
      <c r="H652" s="5" t="s">
        <v>1353</v>
      </c>
      <c r="I652" s="4" t="s">
        <v>2235</v>
      </c>
      <c r="J652" s="4" t="s">
        <v>131</v>
      </c>
    </row>
    <row r="653" customFormat="false" ht="15" hidden="false" customHeight="false" outlineLevel="0" collapsed="false">
      <c r="A653" s="5" t="n">
        <v>9219</v>
      </c>
      <c r="B653" s="5" t="s">
        <v>79</v>
      </c>
      <c r="C653" s="5" t="s">
        <v>1521</v>
      </c>
      <c r="D653" s="4" t="s">
        <v>24</v>
      </c>
      <c r="E653" s="4" t="s">
        <v>1351</v>
      </c>
      <c r="F653" s="4" t="s">
        <v>1352</v>
      </c>
      <c r="G653" s="5" t="n">
        <v>96</v>
      </c>
      <c r="H653" s="5" t="s">
        <v>1353</v>
      </c>
      <c r="I653" s="4" t="s">
        <v>2236</v>
      </c>
      <c r="J653" s="4" t="s">
        <v>131</v>
      </c>
    </row>
    <row r="654" customFormat="false" ht="15" hidden="false" customHeight="false" outlineLevel="0" collapsed="false">
      <c r="A654" s="5" t="n">
        <v>40767</v>
      </c>
      <c r="B654" s="5" t="s">
        <v>79</v>
      </c>
      <c r="C654" s="5" t="s">
        <v>2237</v>
      </c>
      <c r="D654" s="4" t="s">
        <v>24</v>
      </c>
      <c r="E654" s="4" t="s">
        <v>1351</v>
      </c>
      <c r="F654" s="4" t="s">
        <v>1356</v>
      </c>
      <c r="G654" s="5" t="n">
        <v>131</v>
      </c>
      <c r="H654" s="5" t="s">
        <v>1353</v>
      </c>
      <c r="I654" s="4" t="s">
        <v>2238</v>
      </c>
      <c r="J654" s="4" t="s">
        <v>131</v>
      </c>
    </row>
    <row r="655" customFormat="false" ht="15" hidden="false" customHeight="false" outlineLevel="0" collapsed="false">
      <c r="A655" s="5" t="n">
        <v>43720</v>
      </c>
      <c r="B655" s="5" t="s">
        <v>79</v>
      </c>
      <c r="C655" s="5" t="s">
        <v>1146</v>
      </c>
      <c r="D655" s="4" t="s">
        <v>34</v>
      </c>
      <c r="E655" s="4" t="s">
        <v>1351</v>
      </c>
      <c r="F655" s="4" t="s">
        <v>1352</v>
      </c>
      <c r="G655" s="5" t="n">
        <v>98</v>
      </c>
      <c r="H655" s="5" t="s">
        <v>1353</v>
      </c>
      <c r="I655" s="4" t="s">
        <v>2239</v>
      </c>
      <c r="J655" s="4" t="s">
        <v>131</v>
      </c>
    </row>
    <row r="656" customFormat="false" ht="15" hidden="false" customHeight="false" outlineLevel="0" collapsed="false">
      <c r="A656" s="5" t="n">
        <v>43718</v>
      </c>
      <c r="B656" s="5" t="s">
        <v>79</v>
      </c>
      <c r="C656" s="5" t="s">
        <v>1541</v>
      </c>
      <c r="D656" s="4" t="s">
        <v>24</v>
      </c>
      <c r="E656" s="4" t="s">
        <v>1351</v>
      </c>
      <c r="F656" s="4" t="s">
        <v>1356</v>
      </c>
      <c r="G656" s="5" t="n">
        <v>105</v>
      </c>
      <c r="H656" s="5" t="s">
        <v>1353</v>
      </c>
      <c r="I656" s="4" t="s">
        <v>2240</v>
      </c>
      <c r="J656" s="4" t="s">
        <v>131</v>
      </c>
    </row>
    <row r="657" customFormat="false" ht="15" hidden="false" customHeight="false" outlineLevel="0" collapsed="false">
      <c r="A657" s="5" t="n">
        <v>43719</v>
      </c>
      <c r="B657" s="5" t="s">
        <v>79</v>
      </c>
      <c r="C657" s="5" t="s">
        <v>1541</v>
      </c>
      <c r="D657" s="4" t="s">
        <v>24</v>
      </c>
      <c r="E657" s="4" t="s">
        <v>1351</v>
      </c>
      <c r="F657" s="4" t="s">
        <v>1356</v>
      </c>
      <c r="G657" s="5" t="n">
        <v>78</v>
      </c>
      <c r="H657" s="5" t="s">
        <v>1353</v>
      </c>
      <c r="I657" s="4" t="s">
        <v>2241</v>
      </c>
      <c r="J657" s="4" t="s">
        <v>131</v>
      </c>
    </row>
    <row r="658" customFormat="false" ht="15" hidden="false" customHeight="false" outlineLevel="0" collapsed="false">
      <c r="A658" s="5" t="n">
        <v>40491</v>
      </c>
      <c r="B658" s="5" t="s">
        <v>79</v>
      </c>
      <c r="C658" s="5" t="s">
        <v>1867</v>
      </c>
      <c r="D658" s="4" t="s">
        <v>20</v>
      </c>
      <c r="E658" s="4" t="s">
        <v>1351</v>
      </c>
      <c r="F658" s="4" t="s">
        <v>1356</v>
      </c>
      <c r="G658" s="5" t="n">
        <v>57</v>
      </c>
      <c r="H658" s="5" t="s">
        <v>1353</v>
      </c>
      <c r="I658" s="4" t="s">
        <v>2242</v>
      </c>
      <c r="J658" s="4" t="s">
        <v>131</v>
      </c>
    </row>
    <row r="659" customFormat="false" ht="15" hidden="false" customHeight="false" outlineLevel="0" collapsed="false">
      <c r="A659" s="5" t="n">
        <v>38873</v>
      </c>
      <c r="B659" s="5" t="s">
        <v>79</v>
      </c>
      <c r="C659" s="5" t="s">
        <v>317</v>
      </c>
      <c r="D659" s="4" t="s">
        <v>20</v>
      </c>
      <c r="E659" s="4" t="s">
        <v>1351</v>
      </c>
      <c r="F659" s="4" t="s">
        <v>1356</v>
      </c>
      <c r="G659" s="5" t="n">
        <v>91</v>
      </c>
      <c r="H659" s="5" t="s">
        <v>1353</v>
      </c>
      <c r="I659" s="4" t="s">
        <v>2243</v>
      </c>
      <c r="J659" s="4" t="s">
        <v>131</v>
      </c>
    </row>
    <row r="660" customFormat="false" ht="15" hidden="false" customHeight="false" outlineLevel="0" collapsed="false">
      <c r="A660" s="5" t="n">
        <v>41340</v>
      </c>
      <c r="B660" s="5" t="s">
        <v>79</v>
      </c>
      <c r="C660" s="5" t="s">
        <v>1708</v>
      </c>
      <c r="D660" s="4" t="s">
        <v>20</v>
      </c>
      <c r="E660" s="4" t="s">
        <v>1351</v>
      </c>
      <c r="F660" s="4" t="s">
        <v>1356</v>
      </c>
      <c r="G660" s="5" t="n">
        <v>127</v>
      </c>
      <c r="H660" s="5" t="s">
        <v>1353</v>
      </c>
      <c r="I660" s="4" t="s">
        <v>2244</v>
      </c>
      <c r="J660" s="4" t="s">
        <v>131</v>
      </c>
    </row>
    <row r="661" customFormat="false" ht="15" hidden="false" customHeight="false" outlineLevel="0" collapsed="false">
      <c r="A661" s="5" t="n">
        <v>40645</v>
      </c>
      <c r="B661" s="5" t="s">
        <v>79</v>
      </c>
      <c r="C661" s="5" t="s">
        <v>513</v>
      </c>
      <c r="D661" s="4" t="s">
        <v>20</v>
      </c>
      <c r="E661" s="4" t="s">
        <v>1351</v>
      </c>
      <c r="F661" s="4" t="s">
        <v>1356</v>
      </c>
      <c r="G661" s="5" t="n">
        <v>60</v>
      </c>
      <c r="H661" s="5" t="s">
        <v>1353</v>
      </c>
      <c r="I661" s="4" t="s">
        <v>2245</v>
      </c>
      <c r="J661" s="4" t="s">
        <v>131</v>
      </c>
    </row>
    <row r="662" customFormat="false" ht="15" hidden="false" customHeight="false" outlineLevel="0" collapsed="false">
      <c r="A662" s="5" t="n">
        <v>43673</v>
      </c>
      <c r="B662" s="5" t="s">
        <v>79</v>
      </c>
      <c r="C662" s="5" t="s">
        <v>744</v>
      </c>
      <c r="D662" s="4" t="s">
        <v>20</v>
      </c>
      <c r="E662" s="4" t="s">
        <v>1351</v>
      </c>
      <c r="F662" s="4" t="s">
        <v>1356</v>
      </c>
      <c r="G662" s="5" t="n">
        <v>55</v>
      </c>
      <c r="H662" s="5" t="s">
        <v>1353</v>
      </c>
      <c r="I662" s="4" t="s">
        <v>2246</v>
      </c>
      <c r="J662" s="4" t="s">
        <v>131</v>
      </c>
    </row>
    <row r="663" customFormat="false" ht="15" hidden="false" customHeight="false" outlineLevel="0" collapsed="false">
      <c r="A663" s="5" t="n">
        <v>43721</v>
      </c>
      <c r="B663" s="5" t="s">
        <v>79</v>
      </c>
      <c r="C663" s="5" t="s">
        <v>744</v>
      </c>
      <c r="D663" s="4" t="s">
        <v>34</v>
      </c>
      <c r="E663" s="4" t="s">
        <v>1351</v>
      </c>
      <c r="F663" s="4" t="s">
        <v>1352</v>
      </c>
      <c r="G663" s="5" t="n">
        <v>115</v>
      </c>
      <c r="H663" s="5" t="s">
        <v>1353</v>
      </c>
      <c r="I663" s="4" t="s">
        <v>2239</v>
      </c>
      <c r="J663" s="4" t="s">
        <v>131</v>
      </c>
    </row>
    <row r="664" customFormat="false" ht="15" hidden="false" customHeight="false" outlineLevel="0" collapsed="false">
      <c r="A664" s="5" t="n">
        <v>43722</v>
      </c>
      <c r="B664" s="5" t="s">
        <v>79</v>
      </c>
      <c r="C664" s="5" t="s">
        <v>1038</v>
      </c>
      <c r="D664" s="4" t="s">
        <v>20</v>
      </c>
      <c r="E664" s="4" t="s">
        <v>1351</v>
      </c>
      <c r="F664" s="4" t="s">
        <v>1356</v>
      </c>
      <c r="G664" s="5" t="n">
        <v>98</v>
      </c>
      <c r="H664" s="5" t="s">
        <v>1353</v>
      </c>
      <c r="I664" s="4" t="s">
        <v>2247</v>
      </c>
      <c r="J664" s="4" t="s">
        <v>131</v>
      </c>
    </row>
    <row r="665" customFormat="false" ht="15" hidden="false" customHeight="false" outlineLevel="0" collapsed="false">
      <c r="A665" s="5" t="n">
        <v>43363</v>
      </c>
      <c r="B665" s="5" t="s">
        <v>79</v>
      </c>
      <c r="C665" s="5" t="s">
        <v>1038</v>
      </c>
      <c r="D665" s="4" t="s">
        <v>34</v>
      </c>
      <c r="E665" s="4" t="s">
        <v>1351</v>
      </c>
      <c r="F665" s="4" t="s">
        <v>1368</v>
      </c>
      <c r="G665" s="5" t="n">
        <v>120</v>
      </c>
      <c r="H665" s="5" t="s">
        <v>1353</v>
      </c>
      <c r="I665" s="4" t="s">
        <v>2248</v>
      </c>
      <c r="J665" s="4" t="s">
        <v>131</v>
      </c>
    </row>
    <row r="666" customFormat="false" ht="15" hidden="false" customHeight="false" outlineLevel="0" collapsed="false">
      <c r="A666" s="5" t="n">
        <v>35048</v>
      </c>
      <c r="B666" s="5" t="s">
        <v>79</v>
      </c>
      <c r="C666" s="5" t="s">
        <v>1158</v>
      </c>
      <c r="D666" s="4" t="s">
        <v>20</v>
      </c>
      <c r="E666" s="4" t="s">
        <v>1351</v>
      </c>
      <c r="F666" s="4" t="s">
        <v>1356</v>
      </c>
      <c r="G666" s="5" t="n">
        <v>58</v>
      </c>
      <c r="H666" s="5" t="s">
        <v>1353</v>
      </c>
      <c r="I666" s="4" t="s">
        <v>2249</v>
      </c>
      <c r="J666" s="4" t="s">
        <v>131</v>
      </c>
    </row>
    <row r="667" customFormat="false" ht="15" hidden="false" customHeight="false" outlineLevel="0" collapsed="false">
      <c r="A667" s="5" t="n">
        <v>40492</v>
      </c>
      <c r="B667" s="5" t="s">
        <v>79</v>
      </c>
      <c r="C667" s="5" t="s">
        <v>2250</v>
      </c>
      <c r="D667" s="4" t="s">
        <v>20</v>
      </c>
      <c r="E667" s="4" t="s">
        <v>1351</v>
      </c>
      <c r="F667" s="4" t="s">
        <v>1356</v>
      </c>
      <c r="G667" s="5" t="n">
        <v>71</v>
      </c>
      <c r="H667" s="5" t="s">
        <v>1353</v>
      </c>
      <c r="I667" s="4" t="s">
        <v>2251</v>
      </c>
      <c r="J667" s="4" t="s">
        <v>131</v>
      </c>
    </row>
    <row r="668" customFormat="false" ht="15" hidden="false" customHeight="false" outlineLevel="0" collapsed="false">
      <c r="A668" s="5" t="n">
        <v>38882</v>
      </c>
      <c r="B668" s="5" t="s">
        <v>79</v>
      </c>
      <c r="C668" s="5" t="s">
        <v>1606</v>
      </c>
      <c r="D668" s="4" t="s">
        <v>20</v>
      </c>
      <c r="E668" s="4" t="s">
        <v>1351</v>
      </c>
      <c r="F668" s="4" t="s">
        <v>1356</v>
      </c>
      <c r="G668" s="5" t="n">
        <v>77</v>
      </c>
      <c r="H668" s="5" t="s">
        <v>1353</v>
      </c>
      <c r="I668" s="4" t="s">
        <v>2252</v>
      </c>
      <c r="J668" s="4" t="s">
        <v>131</v>
      </c>
    </row>
    <row r="669" customFormat="false" ht="15" hidden="false" customHeight="false" outlineLevel="0" collapsed="false">
      <c r="A669" s="5" t="n">
        <v>40493</v>
      </c>
      <c r="B669" s="5" t="s">
        <v>79</v>
      </c>
      <c r="C669" s="5" t="s">
        <v>1162</v>
      </c>
      <c r="D669" s="4" t="s">
        <v>20</v>
      </c>
      <c r="E669" s="4" t="s">
        <v>1351</v>
      </c>
      <c r="F669" s="4" t="s">
        <v>1356</v>
      </c>
      <c r="G669" s="5" t="n">
        <v>98</v>
      </c>
      <c r="H669" s="5" t="s">
        <v>1353</v>
      </c>
      <c r="I669" s="4" t="s">
        <v>2253</v>
      </c>
      <c r="J669" s="4" t="s">
        <v>131</v>
      </c>
    </row>
    <row r="670" customFormat="false" ht="15" hidden="false" customHeight="false" outlineLevel="0" collapsed="false">
      <c r="A670" s="5" t="n">
        <v>43661</v>
      </c>
      <c r="B670" s="5" t="s">
        <v>79</v>
      </c>
      <c r="C670" s="5" t="s">
        <v>1608</v>
      </c>
      <c r="D670" s="4" t="s">
        <v>34</v>
      </c>
      <c r="E670" s="4" t="s">
        <v>1351</v>
      </c>
      <c r="F670" s="4" t="s">
        <v>1368</v>
      </c>
      <c r="G670" s="5" t="n">
        <v>110</v>
      </c>
      <c r="H670" s="5" t="s">
        <v>1353</v>
      </c>
      <c r="I670" s="4" t="s">
        <v>2254</v>
      </c>
      <c r="J670" s="4" t="s">
        <v>131</v>
      </c>
    </row>
    <row r="671" customFormat="false" ht="15" hidden="false" customHeight="false" outlineLevel="0" collapsed="false">
      <c r="A671" s="5" t="n">
        <v>43723</v>
      </c>
      <c r="B671" s="5" t="s">
        <v>79</v>
      </c>
      <c r="C671" s="5" t="s">
        <v>663</v>
      </c>
      <c r="D671" s="4" t="s">
        <v>34</v>
      </c>
      <c r="E671" s="4" t="s">
        <v>1351</v>
      </c>
      <c r="F671" s="4" t="s">
        <v>1352</v>
      </c>
      <c r="G671" s="5" t="n">
        <v>156</v>
      </c>
      <c r="H671" s="5" t="s">
        <v>1353</v>
      </c>
      <c r="I671" s="4" t="s">
        <v>2255</v>
      </c>
      <c r="J671" s="4" t="s">
        <v>131</v>
      </c>
    </row>
    <row r="672" customFormat="false" ht="15" hidden="false" customHeight="false" outlineLevel="0" collapsed="false">
      <c r="A672" s="5" t="n">
        <v>43724</v>
      </c>
      <c r="B672" s="5" t="s">
        <v>79</v>
      </c>
      <c r="C672" s="5" t="s">
        <v>1985</v>
      </c>
      <c r="D672" s="4" t="s">
        <v>34</v>
      </c>
      <c r="E672" s="4" t="s">
        <v>1351</v>
      </c>
      <c r="F672" s="4" t="s">
        <v>1352</v>
      </c>
      <c r="G672" s="5" t="n">
        <v>120</v>
      </c>
      <c r="H672" s="5" t="s">
        <v>1353</v>
      </c>
      <c r="I672" s="4" t="s">
        <v>2256</v>
      </c>
      <c r="J672" s="4" t="s">
        <v>131</v>
      </c>
    </row>
    <row r="673" customFormat="false" ht="15" hidden="false" customHeight="false" outlineLevel="0" collapsed="false">
      <c r="A673" s="5" t="n">
        <v>43725</v>
      </c>
      <c r="B673" s="5" t="s">
        <v>79</v>
      </c>
      <c r="C673" s="5" t="s">
        <v>1297</v>
      </c>
      <c r="D673" s="4" t="s">
        <v>34</v>
      </c>
      <c r="E673" s="4" t="s">
        <v>1351</v>
      </c>
      <c r="F673" s="4" t="s">
        <v>1352</v>
      </c>
      <c r="G673" s="5" t="n">
        <v>111</v>
      </c>
      <c r="H673" s="5" t="s">
        <v>1353</v>
      </c>
      <c r="I673" s="4" t="s">
        <v>2257</v>
      </c>
      <c r="J673" s="4" t="s">
        <v>131</v>
      </c>
    </row>
    <row r="674" customFormat="false" ht="15" hidden="false" customHeight="false" outlineLevel="0" collapsed="false">
      <c r="A674" s="5" t="n">
        <v>37059</v>
      </c>
      <c r="B674" s="5" t="s">
        <v>79</v>
      </c>
      <c r="C674" s="5" t="s">
        <v>914</v>
      </c>
      <c r="D674" s="4" t="s">
        <v>34</v>
      </c>
      <c r="E674" s="4" t="s">
        <v>1351</v>
      </c>
      <c r="F674" s="4" t="s">
        <v>1352</v>
      </c>
      <c r="G674" s="5" t="n">
        <v>72</v>
      </c>
      <c r="H674" s="5" t="s">
        <v>1353</v>
      </c>
      <c r="I674" s="4" t="s">
        <v>2258</v>
      </c>
      <c r="J674" s="4" t="s">
        <v>131</v>
      </c>
    </row>
    <row r="675" customFormat="false" ht="15" hidden="false" customHeight="false" outlineLevel="0" collapsed="false">
      <c r="A675" s="5" t="n">
        <v>43726</v>
      </c>
      <c r="B675" s="5" t="s">
        <v>79</v>
      </c>
      <c r="C675" s="5" t="s">
        <v>1993</v>
      </c>
      <c r="D675" s="4" t="s">
        <v>18</v>
      </c>
      <c r="E675" s="4" t="s">
        <v>1351</v>
      </c>
      <c r="F675" s="4" t="s">
        <v>1671</v>
      </c>
      <c r="G675" s="5" t="n">
        <v>122</v>
      </c>
      <c r="H675" s="5" t="s">
        <v>1353</v>
      </c>
      <c r="I675" s="4" t="s">
        <v>2259</v>
      </c>
      <c r="J675" s="4" t="s">
        <v>131</v>
      </c>
    </row>
    <row r="676" customFormat="false" ht="15" hidden="false" customHeight="false" outlineLevel="0" collapsed="false">
      <c r="A676" s="5" t="n">
        <v>43727</v>
      </c>
      <c r="B676" s="5" t="s">
        <v>79</v>
      </c>
      <c r="C676" s="5" t="s">
        <v>1821</v>
      </c>
      <c r="D676" s="4" t="s">
        <v>18</v>
      </c>
      <c r="E676" s="4" t="s">
        <v>1351</v>
      </c>
      <c r="F676" s="4" t="s">
        <v>1671</v>
      </c>
      <c r="G676" s="5" t="n">
        <v>119</v>
      </c>
      <c r="H676" s="5" t="s">
        <v>1353</v>
      </c>
      <c r="I676" s="4" t="s">
        <v>2260</v>
      </c>
      <c r="J676" s="4" t="s">
        <v>131</v>
      </c>
    </row>
    <row r="677" customFormat="false" ht="15" hidden="false" customHeight="false" outlineLevel="0" collapsed="false">
      <c r="A677" s="5" t="n">
        <v>43728</v>
      </c>
      <c r="B677" s="5" t="s">
        <v>79</v>
      </c>
      <c r="C677" s="5" t="s">
        <v>2261</v>
      </c>
      <c r="D677" s="4" t="s">
        <v>18</v>
      </c>
      <c r="E677" s="4" t="s">
        <v>1351</v>
      </c>
      <c r="F677" s="4" t="s">
        <v>1671</v>
      </c>
      <c r="G677" s="5" t="n">
        <v>176</v>
      </c>
      <c r="H677" s="5" t="s">
        <v>1353</v>
      </c>
      <c r="I677" s="4" t="s">
        <v>2262</v>
      </c>
      <c r="J677" s="4" t="s">
        <v>131</v>
      </c>
    </row>
    <row r="678" customFormat="false" ht="15" hidden="false" customHeight="false" outlineLevel="0" collapsed="false">
      <c r="A678" s="5" t="n">
        <v>36169</v>
      </c>
      <c r="B678" s="5" t="s">
        <v>79</v>
      </c>
      <c r="C678" s="5" t="s">
        <v>2263</v>
      </c>
      <c r="D678" s="4" t="s">
        <v>18</v>
      </c>
      <c r="E678" s="4" t="s">
        <v>1351</v>
      </c>
      <c r="F678" s="4" t="s">
        <v>1671</v>
      </c>
      <c r="G678" s="5" t="n">
        <v>134</v>
      </c>
      <c r="H678" s="5" t="s">
        <v>1353</v>
      </c>
      <c r="I678" s="4" t="s">
        <v>2264</v>
      </c>
      <c r="J678" s="4" t="s">
        <v>131</v>
      </c>
    </row>
    <row r="679" customFormat="false" ht="15" hidden="false" customHeight="false" outlineLevel="0" collapsed="false">
      <c r="A679" s="5" t="n">
        <v>37004</v>
      </c>
      <c r="B679" s="5" t="s">
        <v>79</v>
      </c>
      <c r="C679" s="5" t="s">
        <v>562</v>
      </c>
      <c r="D679" s="4" t="s">
        <v>32</v>
      </c>
      <c r="E679" s="4" t="s">
        <v>1351</v>
      </c>
      <c r="F679" s="4" t="s">
        <v>1356</v>
      </c>
      <c r="G679" s="5" t="n">
        <v>34</v>
      </c>
      <c r="H679" s="5" t="s">
        <v>1397</v>
      </c>
      <c r="I679" s="4" t="s">
        <v>2265</v>
      </c>
      <c r="J679" s="4" t="s">
        <v>132</v>
      </c>
    </row>
    <row r="680" customFormat="false" ht="15" hidden="false" customHeight="false" outlineLevel="0" collapsed="false">
      <c r="A680" s="5" t="n">
        <v>38022</v>
      </c>
      <c r="B680" s="5" t="s">
        <v>79</v>
      </c>
      <c r="C680" s="5" t="s">
        <v>1650</v>
      </c>
      <c r="D680" s="4" t="s">
        <v>32</v>
      </c>
      <c r="E680" s="4" t="s">
        <v>1351</v>
      </c>
      <c r="F680" s="4" t="s">
        <v>1356</v>
      </c>
      <c r="G680" s="5" t="n">
        <v>34</v>
      </c>
      <c r="H680" s="5" t="s">
        <v>1397</v>
      </c>
      <c r="I680" s="4" t="s">
        <v>2266</v>
      </c>
      <c r="J680" s="4" t="s">
        <v>132</v>
      </c>
    </row>
    <row r="681" customFormat="false" ht="15" hidden="false" customHeight="false" outlineLevel="0" collapsed="false">
      <c r="A681" s="5" t="n">
        <v>43729</v>
      </c>
      <c r="B681" s="5" t="s">
        <v>79</v>
      </c>
      <c r="C681" s="5" t="s">
        <v>1059</v>
      </c>
      <c r="D681" s="4" t="s">
        <v>32</v>
      </c>
      <c r="E681" s="4" t="s">
        <v>1351</v>
      </c>
      <c r="F681" s="4" t="s">
        <v>1377</v>
      </c>
      <c r="G681" s="5" t="n">
        <v>10</v>
      </c>
      <c r="H681" s="5" t="s">
        <v>1419</v>
      </c>
      <c r="I681" s="4" t="s">
        <v>1427</v>
      </c>
      <c r="J681" s="4" t="s">
        <v>133</v>
      </c>
    </row>
    <row r="682" customFormat="false" ht="15" hidden="false" customHeight="false" outlineLevel="0" collapsed="false">
      <c r="A682" s="5" t="n">
        <v>43729</v>
      </c>
      <c r="B682" s="5" t="s">
        <v>79</v>
      </c>
      <c r="C682" s="5" t="s">
        <v>2161</v>
      </c>
      <c r="D682" s="4" t="s">
        <v>32</v>
      </c>
      <c r="E682" s="4" t="s">
        <v>1351</v>
      </c>
      <c r="F682" s="4" t="s">
        <v>1356</v>
      </c>
      <c r="G682" s="5" t="n">
        <v>34</v>
      </c>
      <c r="H682" s="5" t="s">
        <v>1397</v>
      </c>
      <c r="I682" s="4" t="s">
        <v>2267</v>
      </c>
      <c r="J682" s="4" t="s">
        <v>132</v>
      </c>
    </row>
    <row r="683" customFormat="false" ht="15" hidden="false" customHeight="false" outlineLevel="0" collapsed="false">
      <c r="A683" s="5" t="n">
        <v>38017</v>
      </c>
      <c r="B683" s="5" t="s">
        <v>79</v>
      </c>
      <c r="C683" s="5" t="s">
        <v>565</v>
      </c>
      <c r="D683" s="4" t="s">
        <v>32</v>
      </c>
      <c r="E683" s="4" t="s">
        <v>1351</v>
      </c>
      <c r="F683" s="4" t="s">
        <v>1356</v>
      </c>
      <c r="G683" s="5" t="n">
        <v>39</v>
      </c>
      <c r="H683" s="5" t="s">
        <v>1397</v>
      </c>
      <c r="I683" s="4" t="s">
        <v>2268</v>
      </c>
      <c r="J683" s="4" t="s">
        <v>132</v>
      </c>
    </row>
    <row r="684" customFormat="false" ht="15" hidden="false" customHeight="false" outlineLevel="0" collapsed="false">
      <c r="A684" s="5" t="n">
        <v>28640</v>
      </c>
      <c r="B684" s="5" t="s">
        <v>79</v>
      </c>
      <c r="C684" s="5" t="s">
        <v>1774</v>
      </c>
      <c r="D684" s="4" t="s">
        <v>32</v>
      </c>
      <c r="E684" s="4" t="s">
        <v>1351</v>
      </c>
      <c r="F684" s="4" t="s">
        <v>1356</v>
      </c>
      <c r="G684" s="5" t="n">
        <v>34</v>
      </c>
      <c r="H684" s="5" t="s">
        <v>1397</v>
      </c>
      <c r="I684" s="4" t="s">
        <v>2269</v>
      </c>
      <c r="J684" s="4" t="s">
        <v>132</v>
      </c>
    </row>
    <row r="685" customFormat="false" ht="15" hidden="false" customHeight="false" outlineLevel="0" collapsed="false">
      <c r="A685" s="5" t="n">
        <v>7015</v>
      </c>
      <c r="B685" s="5" t="s">
        <v>79</v>
      </c>
      <c r="C685" s="5" t="s">
        <v>1890</v>
      </c>
      <c r="D685" s="4" t="s">
        <v>32</v>
      </c>
      <c r="E685" s="4" t="s">
        <v>1351</v>
      </c>
      <c r="F685" s="4" t="s">
        <v>1356</v>
      </c>
      <c r="G685" s="5" t="n">
        <v>34</v>
      </c>
      <c r="H685" s="5" t="s">
        <v>1397</v>
      </c>
      <c r="I685" s="4" t="s">
        <v>2270</v>
      </c>
      <c r="J685" s="4" t="s">
        <v>132</v>
      </c>
    </row>
    <row r="686" customFormat="false" ht="15" hidden="false" customHeight="false" outlineLevel="0" collapsed="false">
      <c r="A686" s="5" t="n">
        <v>43730</v>
      </c>
      <c r="B686" s="5" t="s">
        <v>79</v>
      </c>
      <c r="C686" s="5" t="s">
        <v>629</v>
      </c>
      <c r="D686" s="4" t="s">
        <v>30</v>
      </c>
      <c r="E686" s="4" t="s">
        <v>1351</v>
      </c>
      <c r="F686" s="4" t="s">
        <v>1352</v>
      </c>
      <c r="G686" s="5" t="n">
        <v>86</v>
      </c>
      <c r="H686" s="5" t="s">
        <v>1353</v>
      </c>
      <c r="I686" s="4" t="s">
        <v>2271</v>
      </c>
      <c r="J686" s="4" t="s">
        <v>131</v>
      </c>
    </row>
    <row r="687" customFormat="false" ht="15" hidden="false" customHeight="false" outlineLevel="0" collapsed="false">
      <c r="A687" s="5" t="n">
        <v>43731</v>
      </c>
      <c r="B687" s="5" t="s">
        <v>79</v>
      </c>
      <c r="C687" s="5" t="s">
        <v>2272</v>
      </c>
      <c r="D687" s="4" t="s">
        <v>30</v>
      </c>
      <c r="E687" s="4" t="s">
        <v>1351</v>
      </c>
      <c r="F687" s="4" t="s">
        <v>1352</v>
      </c>
      <c r="G687" s="5" t="n">
        <v>81</v>
      </c>
      <c r="H687" s="5" t="s">
        <v>1353</v>
      </c>
      <c r="I687" s="4" t="s">
        <v>2273</v>
      </c>
      <c r="J687" s="4" t="s">
        <v>131</v>
      </c>
    </row>
    <row r="688" customFormat="false" ht="15" hidden="false" customHeight="false" outlineLevel="0" collapsed="false">
      <c r="A688" s="5" t="n">
        <v>43732</v>
      </c>
      <c r="B688" s="5" t="s">
        <v>79</v>
      </c>
      <c r="C688" s="5" t="s">
        <v>446</v>
      </c>
      <c r="D688" s="4" t="s">
        <v>30</v>
      </c>
      <c r="E688" s="4" t="s">
        <v>1351</v>
      </c>
      <c r="F688" s="4" t="s">
        <v>1352</v>
      </c>
      <c r="G688" s="5" t="n">
        <v>65</v>
      </c>
      <c r="H688" s="5" t="s">
        <v>1353</v>
      </c>
      <c r="I688" s="4" t="s">
        <v>2274</v>
      </c>
      <c r="J688" s="4" t="s">
        <v>131</v>
      </c>
    </row>
    <row r="689" customFormat="false" ht="15" hidden="false" customHeight="false" outlineLevel="0" collapsed="false">
      <c r="A689" s="5" t="n">
        <v>43733</v>
      </c>
      <c r="B689" s="5" t="s">
        <v>79</v>
      </c>
      <c r="C689" s="5" t="s">
        <v>2275</v>
      </c>
      <c r="D689" s="4" t="s">
        <v>30</v>
      </c>
      <c r="E689" s="4" t="s">
        <v>1351</v>
      </c>
      <c r="F689" s="4" t="s">
        <v>1356</v>
      </c>
      <c r="G689" s="5" t="n">
        <v>117</v>
      </c>
      <c r="H689" s="5" t="s">
        <v>1353</v>
      </c>
      <c r="I689" s="4" t="s">
        <v>2276</v>
      </c>
      <c r="J689" s="4" t="s">
        <v>131</v>
      </c>
    </row>
    <row r="690" customFormat="false" ht="15" hidden="false" customHeight="false" outlineLevel="0" collapsed="false">
      <c r="A690" s="5" t="n">
        <v>43734</v>
      </c>
      <c r="B690" s="5" t="s">
        <v>79</v>
      </c>
      <c r="C690" s="5" t="s">
        <v>1076</v>
      </c>
      <c r="D690" s="4" t="s">
        <v>30</v>
      </c>
      <c r="E690" s="4" t="s">
        <v>1351</v>
      </c>
      <c r="F690" s="4" t="s">
        <v>1352</v>
      </c>
      <c r="G690" s="5" t="n">
        <v>42</v>
      </c>
      <c r="H690" s="5" t="s">
        <v>1353</v>
      </c>
      <c r="I690" s="4" t="s">
        <v>2277</v>
      </c>
      <c r="J690" s="4" t="s">
        <v>131</v>
      </c>
    </row>
    <row r="691" customFormat="false" ht="15" hidden="false" customHeight="false" outlineLevel="0" collapsed="false">
      <c r="A691" s="5" t="n">
        <v>43735</v>
      </c>
      <c r="B691" s="5" t="s">
        <v>79</v>
      </c>
      <c r="C691" s="5" t="s">
        <v>934</v>
      </c>
      <c r="D691" s="4" t="s">
        <v>30</v>
      </c>
      <c r="E691" s="4" t="s">
        <v>1351</v>
      </c>
      <c r="F691" s="4" t="s">
        <v>1352</v>
      </c>
      <c r="G691" s="5" t="n">
        <v>30</v>
      </c>
      <c r="H691" s="5" t="s">
        <v>1397</v>
      </c>
      <c r="I691" s="4" t="s">
        <v>2278</v>
      </c>
      <c r="J691" s="4" t="s">
        <v>132</v>
      </c>
    </row>
    <row r="692" customFormat="false" ht="15" hidden="false" customHeight="false" outlineLevel="0" collapsed="false">
      <c r="A692" s="5" t="n">
        <v>12895</v>
      </c>
      <c r="B692" s="5" t="s">
        <v>79</v>
      </c>
      <c r="C692" s="5" t="s">
        <v>2279</v>
      </c>
      <c r="D692" s="4" t="s">
        <v>28</v>
      </c>
      <c r="E692" s="4" t="s">
        <v>1351</v>
      </c>
      <c r="F692" s="4" t="s">
        <v>1356</v>
      </c>
      <c r="G692" s="5" t="n">
        <v>88</v>
      </c>
      <c r="H692" s="5" t="s">
        <v>1353</v>
      </c>
      <c r="I692" s="4" t="s">
        <v>2280</v>
      </c>
      <c r="J692" s="4" t="s">
        <v>131</v>
      </c>
    </row>
    <row r="693" customFormat="false" ht="15" hidden="false" customHeight="false" outlineLevel="0" collapsed="false">
      <c r="A693" s="5" t="n">
        <v>23212</v>
      </c>
      <c r="B693" s="5" t="s">
        <v>79</v>
      </c>
      <c r="C693" s="5" t="s">
        <v>2281</v>
      </c>
      <c r="D693" s="4" t="s">
        <v>28</v>
      </c>
      <c r="E693" s="4" t="s">
        <v>1351</v>
      </c>
      <c r="F693" s="4" t="s">
        <v>1352</v>
      </c>
      <c r="G693" s="5" t="n">
        <v>86</v>
      </c>
      <c r="H693" s="5" t="s">
        <v>1353</v>
      </c>
      <c r="I693" s="4" t="s">
        <v>2282</v>
      </c>
      <c r="J693" s="4" t="s">
        <v>131</v>
      </c>
    </row>
    <row r="694" customFormat="false" ht="15" hidden="false" customHeight="false" outlineLevel="0" collapsed="false">
      <c r="A694" s="5" t="n">
        <v>38365</v>
      </c>
      <c r="B694" s="5" t="s">
        <v>79</v>
      </c>
      <c r="C694" s="5" t="s">
        <v>706</v>
      </c>
      <c r="D694" s="4" t="s">
        <v>28</v>
      </c>
      <c r="E694" s="4" t="s">
        <v>1351</v>
      </c>
      <c r="F694" s="4" t="s">
        <v>1352</v>
      </c>
      <c r="G694" s="5" t="n">
        <v>46</v>
      </c>
      <c r="H694" s="5" t="s">
        <v>1353</v>
      </c>
      <c r="I694" s="4" t="s">
        <v>2283</v>
      </c>
      <c r="J694" s="4" t="s">
        <v>131</v>
      </c>
    </row>
    <row r="695" customFormat="false" ht="15" hidden="false" customHeight="false" outlineLevel="0" collapsed="false">
      <c r="A695" s="5" t="n">
        <v>43450</v>
      </c>
      <c r="B695" s="5" t="s">
        <v>79</v>
      </c>
      <c r="C695" s="5" t="s">
        <v>1793</v>
      </c>
      <c r="D695" s="4" t="s">
        <v>28</v>
      </c>
      <c r="E695" s="4" t="s">
        <v>1351</v>
      </c>
      <c r="F695" s="4" t="s">
        <v>1356</v>
      </c>
      <c r="G695" s="5" t="n">
        <v>40</v>
      </c>
      <c r="H695" s="5" t="s">
        <v>1353</v>
      </c>
      <c r="I695" s="4" t="s">
        <v>2284</v>
      </c>
      <c r="J695" s="4" t="s">
        <v>131</v>
      </c>
    </row>
    <row r="696" customFormat="false" ht="15" hidden="false" customHeight="false" outlineLevel="0" collapsed="false">
      <c r="A696" s="5" t="n">
        <v>41650</v>
      </c>
      <c r="B696" s="5" t="s">
        <v>79</v>
      </c>
      <c r="C696" s="5" t="s">
        <v>725</v>
      </c>
      <c r="D696" s="4" t="s">
        <v>22</v>
      </c>
      <c r="E696" s="4" t="s">
        <v>1351</v>
      </c>
      <c r="F696" s="4" t="s">
        <v>1377</v>
      </c>
      <c r="G696" s="5" t="n">
        <v>19</v>
      </c>
      <c r="H696" s="5" t="s">
        <v>1419</v>
      </c>
      <c r="I696" s="4" t="s">
        <v>2285</v>
      </c>
      <c r="J696" s="4" t="s">
        <v>133</v>
      </c>
    </row>
    <row r="697" customFormat="false" ht="15" hidden="false" customHeight="false" outlineLevel="0" collapsed="false">
      <c r="A697" s="5" t="n">
        <v>39116</v>
      </c>
      <c r="B697" s="5" t="s">
        <v>79</v>
      </c>
      <c r="C697" s="5" t="s">
        <v>1413</v>
      </c>
      <c r="D697" s="4" t="s">
        <v>28</v>
      </c>
      <c r="E697" s="4" t="s">
        <v>1351</v>
      </c>
      <c r="F697" s="4" t="s">
        <v>1356</v>
      </c>
      <c r="G697" s="5" t="n">
        <v>66</v>
      </c>
      <c r="H697" s="5" t="s">
        <v>1353</v>
      </c>
      <c r="I697" s="4" t="s">
        <v>2286</v>
      </c>
      <c r="J697" s="4" t="s">
        <v>131</v>
      </c>
    </row>
    <row r="698" customFormat="false" ht="15" hidden="false" customHeight="false" outlineLevel="0" collapsed="false">
      <c r="A698" s="5" t="n">
        <v>29111</v>
      </c>
      <c r="B698" s="5" t="s">
        <v>80</v>
      </c>
      <c r="C698" s="5" t="s">
        <v>2287</v>
      </c>
      <c r="D698" s="4" t="s">
        <v>34</v>
      </c>
      <c r="E698" s="4" t="s">
        <v>1351</v>
      </c>
      <c r="F698" s="4" t="s">
        <v>1356</v>
      </c>
      <c r="G698" s="5" t="n">
        <v>151</v>
      </c>
      <c r="H698" s="5" t="s">
        <v>1353</v>
      </c>
      <c r="I698" s="4" t="s">
        <v>2288</v>
      </c>
      <c r="J698" s="4" t="s">
        <v>131</v>
      </c>
    </row>
    <row r="699" customFormat="false" ht="15" hidden="false" customHeight="false" outlineLevel="0" collapsed="false">
      <c r="A699" s="5" t="n">
        <v>29111</v>
      </c>
      <c r="B699" s="5" t="s">
        <v>80</v>
      </c>
      <c r="C699" s="5" t="s">
        <v>2287</v>
      </c>
      <c r="D699" s="4" t="s">
        <v>34</v>
      </c>
      <c r="E699" s="4" t="s">
        <v>1418</v>
      </c>
      <c r="F699" s="4"/>
      <c r="G699" s="5" t="n">
        <v>0</v>
      </c>
      <c r="H699" s="5" t="s">
        <v>1419</v>
      </c>
      <c r="I699" s="4"/>
      <c r="J699" s="4" t="s">
        <v>134</v>
      </c>
    </row>
    <row r="700" customFormat="false" ht="15" hidden="false" customHeight="false" outlineLevel="0" collapsed="false">
      <c r="A700" s="5" t="n">
        <v>43752</v>
      </c>
      <c r="B700" s="5" t="s">
        <v>80</v>
      </c>
      <c r="C700" s="5" t="s">
        <v>2289</v>
      </c>
      <c r="D700" s="4" t="s">
        <v>20</v>
      </c>
      <c r="E700" s="4" t="s">
        <v>1351</v>
      </c>
      <c r="F700" s="4" t="s">
        <v>1352</v>
      </c>
      <c r="G700" s="5" t="n">
        <v>79</v>
      </c>
      <c r="H700" s="5" t="s">
        <v>1353</v>
      </c>
      <c r="I700" s="4" t="s">
        <v>2290</v>
      </c>
      <c r="J700" s="4" t="s">
        <v>131</v>
      </c>
    </row>
    <row r="701" customFormat="false" ht="15" hidden="false" customHeight="false" outlineLevel="0" collapsed="false">
      <c r="A701" s="5" t="n">
        <v>43753</v>
      </c>
      <c r="B701" s="5" t="s">
        <v>80</v>
      </c>
      <c r="C701" s="5" t="s">
        <v>971</v>
      </c>
      <c r="D701" s="4" t="s">
        <v>20</v>
      </c>
      <c r="E701" s="4" t="s">
        <v>1351</v>
      </c>
      <c r="F701" s="4" t="s">
        <v>1352</v>
      </c>
      <c r="G701" s="5" t="n">
        <v>60</v>
      </c>
      <c r="H701" s="5" t="s">
        <v>1353</v>
      </c>
      <c r="I701" s="4" t="s">
        <v>2291</v>
      </c>
      <c r="J701" s="4" t="s">
        <v>131</v>
      </c>
    </row>
    <row r="702" customFormat="false" ht="15" hidden="false" customHeight="false" outlineLevel="0" collapsed="false">
      <c r="A702" s="5" t="n">
        <v>43754</v>
      </c>
      <c r="B702" s="5" t="s">
        <v>80</v>
      </c>
      <c r="C702" s="5" t="s">
        <v>971</v>
      </c>
      <c r="D702" s="4" t="s">
        <v>20</v>
      </c>
      <c r="E702" s="4" t="s">
        <v>1351</v>
      </c>
      <c r="F702" s="4" t="s">
        <v>1352</v>
      </c>
      <c r="G702" s="5" t="n">
        <v>93</v>
      </c>
      <c r="H702" s="5" t="s">
        <v>1353</v>
      </c>
      <c r="I702" s="4" t="s">
        <v>2119</v>
      </c>
      <c r="J702" s="4" t="s">
        <v>131</v>
      </c>
    </row>
    <row r="703" customFormat="false" ht="15" hidden="false" customHeight="false" outlineLevel="0" collapsed="false">
      <c r="A703" s="5" t="n">
        <v>42059</v>
      </c>
      <c r="B703" s="5" t="s">
        <v>80</v>
      </c>
      <c r="C703" s="5" t="s">
        <v>658</v>
      </c>
      <c r="D703" s="4" t="s">
        <v>20</v>
      </c>
      <c r="E703" s="4" t="s">
        <v>1351</v>
      </c>
      <c r="F703" s="4" t="s">
        <v>1671</v>
      </c>
      <c r="G703" s="5" t="n">
        <v>68</v>
      </c>
      <c r="H703" s="5" t="s">
        <v>1353</v>
      </c>
      <c r="I703" s="4" t="s">
        <v>2292</v>
      </c>
      <c r="J703" s="4" t="s">
        <v>131</v>
      </c>
    </row>
    <row r="704" customFormat="false" ht="15" hidden="false" customHeight="false" outlineLevel="0" collapsed="false">
      <c r="A704" s="5" t="n">
        <v>39499</v>
      </c>
      <c r="B704" s="5" t="s">
        <v>80</v>
      </c>
      <c r="C704" s="5" t="s">
        <v>2293</v>
      </c>
      <c r="D704" s="4" t="s">
        <v>20</v>
      </c>
      <c r="E704" s="4" t="s">
        <v>1351</v>
      </c>
      <c r="F704" s="4" t="s">
        <v>1671</v>
      </c>
      <c r="G704" s="5" t="n">
        <v>81</v>
      </c>
      <c r="H704" s="5" t="s">
        <v>1353</v>
      </c>
      <c r="I704" s="4" t="s">
        <v>2294</v>
      </c>
      <c r="J704" s="4" t="s">
        <v>131</v>
      </c>
    </row>
    <row r="705" customFormat="false" ht="15" hidden="false" customHeight="false" outlineLevel="0" collapsed="false">
      <c r="A705" s="5" t="n">
        <v>40640</v>
      </c>
      <c r="B705" s="5" t="s">
        <v>80</v>
      </c>
      <c r="C705" s="5" t="s">
        <v>979</v>
      </c>
      <c r="D705" s="4" t="s">
        <v>20</v>
      </c>
      <c r="E705" s="4" t="s">
        <v>1351</v>
      </c>
      <c r="F705" s="4" t="s">
        <v>1671</v>
      </c>
      <c r="G705" s="5" t="n">
        <v>64</v>
      </c>
      <c r="H705" s="5" t="s">
        <v>1353</v>
      </c>
      <c r="I705" s="4" t="s">
        <v>2295</v>
      </c>
      <c r="J705" s="4" t="s">
        <v>131</v>
      </c>
    </row>
    <row r="706" customFormat="false" ht="15" hidden="false" customHeight="false" outlineLevel="0" collapsed="false">
      <c r="A706" s="5" t="n">
        <v>41393</v>
      </c>
      <c r="B706" s="5" t="s">
        <v>80</v>
      </c>
      <c r="C706" s="5" t="s">
        <v>2296</v>
      </c>
      <c r="D706" s="4" t="s">
        <v>20</v>
      </c>
      <c r="E706" s="4" t="s">
        <v>1351</v>
      </c>
      <c r="F706" s="4" t="s">
        <v>1352</v>
      </c>
      <c r="G706" s="5" t="n">
        <v>104</v>
      </c>
      <c r="H706" s="5" t="s">
        <v>1353</v>
      </c>
      <c r="I706" s="4" t="s">
        <v>2297</v>
      </c>
      <c r="J706" s="4" t="s">
        <v>131</v>
      </c>
    </row>
    <row r="707" customFormat="false" ht="15" hidden="false" customHeight="false" outlineLevel="0" collapsed="false">
      <c r="A707" s="5" t="n">
        <v>41450</v>
      </c>
      <c r="B707" s="5" t="s">
        <v>80</v>
      </c>
      <c r="C707" s="5" t="s">
        <v>1942</v>
      </c>
      <c r="D707" s="4" t="s">
        <v>20</v>
      </c>
      <c r="E707" s="4" t="s">
        <v>1351</v>
      </c>
      <c r="F707" s="4" t="s">
        <v>1352</v>
      </c>
      <c r="G707" s="5" t="n">
        <v>79</v>
      </c>
      <c r="H707" s="5" t="s">
        <v>1353</v>
      </c>
      <c r="I707" s="4" t="s">
        <v>1874</v>
      </c>
      <c r="J707" s="4" t="s">
        <v>131</v>
      </c>
    </row>
    <row r="708" customFormat="false" ht="15" hidden="false" customHeight="false" outlineLevel="0" collapsed="false">
      <c r="A708" s="5" t="n">
        <v>40611</v>
      </c>
      <c r="B708" s="5" t="s">
        <v>80</v>
      </c>
      <c r="C708" s="5" t="s">
        <v>294</v>
      </c>
      <c r="D708" s="4" t="s">
        <v>34</v>
      </c>
      <c r="E708" s="4" t="s">
        <v>1351</v>
      </c>
      <c r="F708" s="4" t="s">
        <v>1356</v>
      </c>
      <c r="G708" s="5" t="n">
        <v>84</v>
      </c>
      <c r="H708" s="5" t="s">
        <v>1353</v>
      </c>
      <c r="I708" s="4" t="s">
        <v>2298</v>
      </c>
      <c r="J708" s="4" t="s">
        <v>131</v>
      </c>
    </row>
    <row r="709" customFormat="false" ht="15" hidden="false" customHeight="false" outlineLevel="0" collapsed="false">
      <c r="A709" s="5" t="n">
        <v>36764</v>
      </c>
      <c r="B709" s="5" t="s">
        <v>80</v>
      </c>
      <c r="C709" s="5" t="s">
        <v>297</v>
      </c>
      <c r="D709" s="4" t="s">
        <v>34</v>
      </c>
      <c r="E709" s="4" t="s">
        <v>1351</v>
      </c>
      <c r="F709" s="4" t="s">
        <v>1356</v>
      </c>
      <c r="G709" s="5" t="n">
        <v>104</v>
      </c>
      <c r="H709" s="5" t="s">
        <v>1353</v>
      </c>
      <c r="I709" s="4" t="s">
        <v>2299</v>
      </c>
      <c r="J709" s="4" t="s">
        <v>131</v>
      </c>
    </row>
    <row r="710" customFormat="false" ht="15" hidden="false" customHeight="false" outlineLevel="0" collapsed="false">
      <c r="A710" s="5" t="n">
        <v>29106</v>
      </c>
      <c r="B710" s="5" t="s">
        <v>80</v>
      </c>
      <c r="C710" s="5" t="s">
        <v>306</v>
      </c>
      <c r="D710" s="4" t="s">
        <v>34</v>
      </c>
      <c r="E710" s="4" t="s">
        <v>1351</v>
      </c>
      <c r="F710" s="4" t="s">
        <v>1356</v>
      </c>
      <c r="G710" s="5" t="n">
        <v>94</v>
      </c>
      <c r="H710" s="5" t="s">
        <v>1353</v>
      </c>
      <c r="I710" s="4" t="s">
        <v>2300</v>
      </c>
      <c r="J710" s="4" t="s">
        <v>131</v>
      </c>
    </row>
    <row r="711" customFormat="false" ht="15" hidden="false" customHeight="false" outlineLevel="0" collapsed="false">
      <c r="A711" s="5" t="n">
        <v>42180</v>
      </c>
      <c r="B711" s="5" t="s">
        <v>80</v>
      </c>
      <c r="C711" s="5" t="s">
        <v>1608</v>
      </c>
      <c r="D711" s="4" t="s">
        <v>34</v>
      </c>
      <c r="E711" s="4" t="s">
        <v>1351</v>
      </c>
      <c r="F711" s="4" t="s">
        <v>1370</v>
      </c>
      <c r="G711" s="5" t="n">
        <v>76</v>
      </c>
      <c r="H711" s="5" t="s">
        <v>1353</v>
      </c>
      <c r="I711" s="4" t="s">
        <v>2301</v>
      </c>
      <c r="J711" s="4" t="s">
        <v>131</v>
      </c>
    </row>
    <row r="712" customFormat="false" ht="15" hidden="false" customHeight="false" outlineLevel="0" collapsed="false">
      <c r="A712" s="5" t="n">
        <v>42180</v>
      </c>
      <c r="B712" s="5" t="s">
        <v>80</v>
      </c>
      <c r="C712" s="5" t="s">
        <v>1608</v>
      </c>
      <c r="D712" s="4" t="s">
        <v>34</v>
      </c>
      <c r="E712" s="4" t="s">
        <v>1351</v>
      </c>
      <c r="F712" s="4" t="s">
        <v>1377</v>
      </c>
      <c r="G712" s="5" t="n">
        <v>10</v>
      </c>
      <c r="H712" s="5" t="s">
        <v>1419</v>
      </c>
      <c r="I712" s="4" t="s">
        <v>1427</v>
      </c>
      <c r="J712" s="4" t="s">
        <v>133</v>
      </c>
    </row>
    <row r="713" customFormat="false" ht="15" hidden="false" customHeight="false" outlineLevel="0" collapsed="false">
      <c r="A713" s="5" t="n">
        <v>42826</v>
      </c>
      <c r="B713" s="5" t="s">
        <v>80</v>
      </c>
      <c r="C713" s="5" t="s">
        <v>1880</v>
      </c>
      <c r="D713" s="4" t="s">
        <v>22</v>
      </c>
      <c r="E713" s="4" t="s">
        <v>1351</v>
      </c>
      <c r="F713" s="4" t="s">
        <v>1356</v>
      </c>
      <c r="G713" s="5" t="n">
        <v>64</v>
      </c>
      <c r="H713" s="5" t="s">
        <v>1353</v>
      </c>
      <c r="I713" s="4" t="s">
        <v>2302</v>
      </c>
      <c r="J713" s="4" t="s">
        <v>131</v>
      </c>
    </row>
    <row r="714" customFormat="false" ht="15" hidden="false" customHeight="false" outlineLevel="0" collapsed="false">
      <c r="A714" s="5" t="n">
        <v>41239</v>
      </c>
      <c r="B714" s="5" t="s">
        <v>80</v>
      </c>
      <c r="C714" s="5" t="s">
        <v>1642</v>
      </c>
      <c r="D714" s="4" t="s">
        <v>22</v>
      </c>
      <c r="E714" s="4" t="s">
        <v>1351</v>
      </c>
      <c r="F714" s="4" t="s">
        <v>1356</v>
      </c>
      <c r="G714" s="5" t="n">
        <v>39</v>
      </c>
      <c r="H714" s="5" t="s">
        <v>1397</v>
      </c>
      <c r="I714" s="4" t="s">
        <v>2303</v>
      </c>
      <c r="J714" s="4" t="s">
        <v>132</v>
      </c>
    </row>
    <row r="715" customFormat="false" ht="15" hidden="false" customHeight="false" outlineLevel="0" collapsed="false">
      <c r="A715" s="5" t="n">
        <v>41920</v>
      </c>
      <c r="B715" s="5" t="s">
        <v>80</v>
      </c>
      <c r="C715" s="5" t="s">
        <v>1449</v>
      </c>
      <c r="D715" s="4" t="s">
        <v>22</v>
      </c>
      <c r="E715" s="4" t="s">
        <v>1351</v>
      </c>
      <c r="F715" s="4" t="s">
        <v>1356</v>
      </c>
      <c r="G715" s="5" t="n">
        <v>50</v>
      </c>
      <c r="H715" s="5" t="s">
        <v>1353</v>
      </c>
      <c r="I715" s="4" t="s">
        <v>2304</v>
      </c>
      <c r="J715" s="4" t="s">
        <v>131</v>
      </c>
    </row>
    <row r="716" customFormat="false" ht="15" hidden="false" customHeight="false" outlineLevel="0" collapsed="false">
      <c r="A716" s="5" t="n">
        <v>41238</v>
      </c>
      <c r="B716" s="5" t="s">
        <v>80</v>
      </c>
      <c r="C716" s="5" t="s">
        <v>1644</v>
      </c>
      <c r="D716" s="4" t="s">
        <v>22</v>
      </c>
      <c r="E716" s="4" t="s">
        <v>1351</v>
      </c>
      <c r="F716" s="4" t="s">
        <v>1356</v>
      </c>
      <c r="G716" s="5" t="n">
        <v>48</v>
      </c>
      <c r="H716" s="5" t="s">
        <v>1353</v>
      </c>
      <c r="I716" s="4" t="s">
        <v>2305</v>
      </c>
      <c r="J716" s="4" t="s">
        <v>131</v>
      </c>
    </row>
    <row r="717" customFormat="false" ht="15" hidden="false" customHeight="false" outlineLevel="0" collapsed="false">
      <c r="A717" s="5" t="n">
        <v>43715</v>
      </c>
      <c r="B717" s="5" t="s">
        <v>80</v>
      </c>
      <c r="C717" s="5" t="s">
        <v>1085</v>
      </c>
      <c r="D717" s="4" t="s">
        <v>24</v>
      </c>
      <c r="E717" s="4" t="s">
        <v>1351</v>
      </c>
      <c r="F717" s="4" t="s">
        <v>1368</v>
      </c>
      <c r="G717" s="5" t="n">
        <v>83</v>
      </c>
      <c r="H717" s="5" t="s">
        <v>1353</v>
      </c>
      <c r="I717" s="4" t="s">
        <v>2306</v>
      </c>
      <c r="J717" s="4" t="s">
        <v>131</v>
      </c>
    </row>
    <row r="718" customFormat="false" ht="15" hidden="false" customHeight="false" outlineLevel="0" collapsed="false">
      <c r="A718" s="5" t="n">
        <v>43229</v>
      </c>
      <c r="B718" s="5" t="s">
        <v>80</v>
      </c>
      <c r="C718" s="5" t="s">
        <v>1314</v>
      </c>
      <c r="D718" s="4" t="s">
        <v>24</v>
      </c>
      <c r="E718" s="4" t="s">
        <v>1351</v>
      </c>
      <c r="F718" s="4" t="s">
        <v>1368</v>
      </c>
      <c r="G718" s="5" t="n">
        <v>72</v>
      </c>
      <c r="H718" s="5" t="s">
        <v>1353</v>
      </c>
      <c r="I718" s="4" t="s">
        <v>2307</v>
      </c>
      <c r="J718" s="4" t="s">
        <v>131</v>
      </c>
    </row>
    <row r="719" customFormat="false" ht="15" hidden="false" customHeight="false" outlineLevel="0" collapsed="false">
      <c r="A719" s="5" t="n">
        <v>39518</v>
      </c>
      <c r="B719" s="5" t="s">
        <v>80</v>
      </c>
      <c r="C719" s="5" t="s">
        <v>351</v>
      </c>
      <c r="D719" s="4" t="s">
        <v>24</v>
      </c>
      <c r="E719" s="4" t="s">
        <v>1351</v>
      </c>
      <c r="F719" s="4" t="s">
        <v>1368</v>
      </c>
      <c r="G719" s="5" t="n">
        <v>80</v>
      </c>
      <c r="H719" s="5" t="s">
        <v>1353</v>
      </c>
      <c r="I719" s="4" t="s">
        <v>2308</v>
      </c>
      <c r="J719" s="4" t="s">
        <v>131</v>
      </c>
    </row>
    <row r="720" customFormat="false" ht="15" hidden="false" customHeight="false" outlineLevel="0" collapsed="false">
      <c r="A720" s="5" t="n">
        <v>43758</v>
      </c>
      <c r="B720" s="5" t="s">
        <v>80</v>
      </c>
      <c r="C720" s="5" t="s">
        <v>1551</v>
      </c>
      <c r="D720" s="4" t="s">
        <v>32</v>
      </c>
      <c r="E720" s="4" t="s">
        <v>1351</v>
      </c>
      <c r="F720" s="4" t="s">
        <v>1352</v>
      </c>
      <c r="G720" s="5" t="n">
        <v>66</v>
      </c>
      <c r="H720" s="5" t="s">
        <v>1353</v>
      </c>
      <c r="I720" s="4" t="s">
        <v>2309</v>
      </c>
      <c r="J720" s="4" t="s">
        <v>131</v>
      </c>
    </row>
    <row r="721" customFormat="false" ht="15" hidden="false" customHeight="false" outlineLevel="0" collapsed="false">
      <c r="A721" s="5" t="n">
        <v>39202</v>
      </c>
      <c r="B721" s="5" t="s">
        <v>80</v>
      </c>
      <c r="C721" s="5" t="s">
        <v>355</v>
      </c>
      <c r="D721" s="4" t="s">
        <v>32</v>
      </c>
      <c r="E721" s="4" t="s">
        <v>1351</v>
      </c>
      <c r="F721" s="4" t="s">
        <v>1356</v>
      </c>
      <c r="G721" s="5" t="n">
        <v>40</v>
      </c>
      <c r="H721" s="5" t="s">
        <v>1353</v>
      </c>
      <c r="I721" s="4" t="s">
        <v>2310</v>
      </c>
      <c r="J721" s="4" t="s">
        <v>131</v>
      </c>
    </row>
    <row r="722" customFormat="false" ht="15" hidden="false" customHeight="false" outlineLevel="0" collapsed="false">
      <c r="A722" s="5" t="n">
        <v>36860</v>
      </c>
      <c r="B722" s="5" t="s">
        <v>80</v>
      </c>
      <c r="C722" s="5" t="s">
        <v>361</v>
      </c>
      <c r="D722" s="4" t="s">
        <v>32</v>
      </c>
      <c r="E722" s="4" t="s">
        <v>1351</v>
      </c>
      <c r="F722" s="4" t="s">
        <v>1356</v>
      </c>
      <c r="G722" s="5" t="n">
        <v>56</v>
      </c>
      <c r="H722" s="5" t="s">
        <v>1353</v>
      </c>
      <c r="I722" s="4" t="s">
        <v>2311</v>
      </c>
      <c r="J722" s="4" t="s">
        <v>131</v>
      </c>
    </row>
    <row r="723" customFormat="false" ht="15" hidden="false" customHeight="false" outlineLevel="0" collapsed="false">
      <c r="A723" s="5" t="n">
        <v>41466</v>
      </c>
      <c r="B723" s="5" t="s">
        <v>80</v>
      </c>
      <c r="C723" s="5" t="s">
        <v>1999</v>
      </c>
      <c r="D723" s="4" t="s">
        <v>32</v>
      </c>
      <c r="E723" s="4" t="s">
        <v>1351</v>
      </c>
      <c r="F723" s="4" t="s">
        <v>1377</v>
      </c>
      <c r="G723" s="5" t="n">
        <v>39</v>
      </c>
      <c r="H723" s="5" t="s">
        <v>1397</v>
      </c>
      <c r="I723" s="4" t="s">
        <v>2312</v>
      </c>
      <c r="J723" s="4" t="s">
        <v>132</v>
      </c>
    </row>
    <row r="724" customFormat="false" ht="15" hidden="false" customHeight="false" outlineLevel="0" collapsed="false">
      <c r="A724" s="5" t="n">
        <v>35173</v>
      </c>
      <c r="B724" s="5" t="s">
        <v>80</v>
      </c>
      <c r="C724" s="5" t="s">
        <v>2313</v>
      </c>
      <c r="D724" s="4" t="s">
        <v>32</v>
      </c>
      <c r="E724" s="4" t="s">
        <v>1351</v>
      </c>
      <c r="F724" s="4" t="s">
        <v>1356</v>
      </c>
      <c r="G724" s="5" t="n">
        <v>14</v>
      </c>
      <c r="H724" s="5" t="s">
        <v>1419</v>
      </c>
      <c r="I724" s="4" t="s">
        <v>1727</v>
      </c>
      <c r="J724" s="4" t="s">
        <v>133</v>
      </c>
    </row>
    <row r="725" customFormat="false" ht="15" hidden="false" customHeight="false" outlineLevel="0" collapsed="false">
      <c r="A725" s="5" t="n">
        <v>43761</v>
      </c>
      <c r="B725" s="5" t="s">
        <v>80</v>
      </c>
      <c r="C725" s="5" t="s">
        <v>2314</v>
      </c>
      <c r="D725" s="4" t="s">
        <v>18</v>
      </c>
      <c r="E725" s="4" t="s">
        <v>1351</v>
      </c>
      <c r="F725" s="4" t="s">
        <v>1356</v>
      </c>
      <c r="G725" s="5" t="n">
        <v>117</v>
      </c>
      <c r="H725" s="5" t="s">
        <v>1353</v>
      </c>
      <c r="I725" s="4" t="s">
        <v>2315</v>
      </c>
      <c r="J725" s="4" t="s">
        <v>131</v>
      </c>
    </row>
    <row r="726" customFormat="false" ht="15" hidden="false" customHeight="false" outlineLevel="0" collapsed="false">
      <c r="A726" s="5" t="n">
        <v>43764</v>
      </c>
      <c r="B726" s="5" t="s">
        <v>80</v>
      </c>
      <c r="C726" s="5" t="s">
        <v>2316</v>
      </c>
      <c r="D726" s="4" t="s">
        <v>18</v>
      </c>
      <c r="E726" s="4" t="s">
        <v>1351</v>
      </c>
      <c r="F726" s="4" t="s">
        <v>1356</v>
      </c>
      <c r="G726" s="5" t="n">
        <v>81</v>
      </c>
      <c r="H726" s="5" t="s">
        <v>1353</v>
      </c>
      <c r="I726" s="4" t="s">
        <v>2317</v>
      </c>
      <c r="J726" s="4" t="s">
        <v>131</v>
      </c>
    </row>
    <row r="727" customFormat="false" ht="15" hidden="false" customHeight="false" outlineLevel="0" collapsed="false">
      <c r="A727" s="5" t="n">
        <v>40091</v>
      </c>
      <c r="B727" s="5" t="s">
        <v>80</v>
      </c>
      <c r="C727" s="5" t="s">
        <v>2318</v>
      </c>
      <c r="D727" s="4" t="s">
        <v>18</v>
      </c>
      <c r="E727" s="4" t="s">
        <v>1351</v>
      </c>
      <c r="F727" s="4" t="s">
        <v>1377</v>
      </c>
      <c r="G727" s="5" t="n">
        <v>82</v>
      </c>
      <c r="H727" s="5" t="s">
        <v>1353</v>
      </c>
      <c r="I727" s="4" t="s">
        <v>2319</v>
      </c>
      <c r="J727" s="4" t="s">
        <v>131</v>
      </c>
    </row>
    <row r="728" customFormat="false" ht="15" hidden="false" customHeight="false" outlineLevel="0" collapsed="false">
      <c r="A728" s="5" t="n">
        <v>43766</v>
      </c>
      <c r="B728" s="5" t="s">
        <v>80</v>
      </c>
      <c r="C728" s="5" t="s">
        <v>1101</v>
      </c>
      <c r="D728" s="4" t="s">
        <v>18</v>
      </c>
      <c r="E728" s="4" t="s">
        <v>1351</v>
      </c>
      <c r="F728" s="4" t="s">
        <v>1356</v>
      </c>
      <c r="G728" s="5" t="n">
        <v>101</v>
      </c>
      <c r="H728" s="5" t="s">
        <v>1353</v>
      </c>
      <c r="I728" s="4" t="s">
        <v>2320</v>
      </c>
      <c r="J728" s="4" t="s">
        <v>131</v>
      </c>
    </row>
    <row r="729" customFormat="false" ht="15" hidden="false" customHeight="false" outlineLevel="0" collapsed="false">
      <c r="A729" s="5" t="n">
        <v>39322</v>
      </c>
      <c r="B729" s="5" t="s">
        <v>80</v>
      </c>
      <c r="C729" s="5" t="s">
        <v>2321</v>
      </c>
      <c r="D729" s="4" t="s">
        <v>18</v>
      </c>
      <c r="E729" s="4" t="s">
        <v>1351</v>
      </c>
      <c r="F729" s="4" t="s">
        <v>1356</v>
      </c>
      <c r="G729" s="5" t="n">
        <v>62</v>
      </c>
      <c r="H729" s="5" t="s">
        <v>1353</v>
      </c>
      <c r="I729" s="4" t="s">
        <v>2322</v>
      </c>
      <c r="J729" s="4" t="s">
        <v>131</v>
      </c>
    </row>
    <row r="730" customFormat="false" ht="15" hidden="false" customHeight="false" outlineLevel="0" collapsed="false">
      <c r="A730" s="5" t="n">
        <v>43768</v>
      </c>
      <c r="B730" s="5" t="s">
        <v>80</v>
      </c>
      <c r="C730" s="5" t="s">
        <v>1103</v>
      </c>
      <c r="D730" s="4" t="s">
        <v>18</v>
      </c>
      <c r="E730" s="4" t="s">
        <v>1351</v>
      </c>
      <c r="F730" s="4" t="s">
        <v>1356</v>
      </c>
      <c r="G730" s="5" t="n">
        <v>107</v>
      </c>
      <c r="H730" s="5" t="s">
        <v>1353</v>
      </c>
      <c r="I730" s="4" t="s">
        <v>2323</v>
      </c>
      <c r="J730" s="4" t="s">
        <v>131</v>
      </c>
    </row>
    <row r="731" customFormat="false" ht="15" hidden="false" customHeight="false" outlineLevel="0" collapsed="false">
      <c r="A731" s="5" t="n">
        <v>43769</v>
      </c>
      <c r="B731" s="5" t="s">
        <v>80</v>
      </c>
      <c r="C731" s="5" t="s">
        <v>753</v>
      </c>
      <c r="D731" s="4" t="s">
        <v>18</v>
      </c>
      <c r="E731" s="4" t="s">
        <v>1351</v>
      </c>
      <c r="F731" s="4" t="s">
        <v>1356</v>
      </c>
      <c r="G731" s="5" t="n">
        <v>64</v>
      </c>
      <c r="H731" s="5" t="s">
        <v>1353</v>
      </c>
      <c r="I731" s="4" t="s">
        <v>2324</v>
      </c>
      <c r="J731" s="4" t="s">
        <v>131</v>
      </c>
    </row>
    <row r="732" customFormat="false" ht="15" hidden="false" customHeight="false" outlineLevel="0" collapsed="false">
      <c r="A732" s="5" t="n">
        <v>43104</v>
      </c>
      <c r="B732" s="5" t="s">
        <v>80</v>
      </c>
      <c r="C732" s="5" t="s">
        <v>2005</v>
      </c>
      <c r="D732" s="4" t="s">
        <v>18</v>
      </c>
      <c r="E732" s="4" t="s">
        <v>1351</v>
      </c>
      <c r="F732" s="4" t="s">
        <v>1356</v>
      </c>
      <c r="G732" s="5" t="n">
        <v>49</v>
      </c>
      <c r="H732" s="5" t="s">
        <v>1353</v>
      </c>
      <c r="I732" s="4" t="s">
        <v>2325</v>
      </c>
      <c r="J732" s="4" t="s">
        <v>131</v>
      </c>
    </row>
    <row r="733" customFormat="false" ht="15" hidden="false" customHeight="false" outlineLevel="0" collapsed="false">
      <c r="A733" s="5" t="n">
        <v>43770</v>
      </c>
      <c r="B733" s="5" t="s">
        <v>80</v>
      </c>
      <c r="C733" s="5" t="s">
        <v>1076</v>
      </c>
      <c r="D733" s="4" t="s">
        <v>30</v>
      </c>
      <c r="E733" s="4" t="s">
        <v>1351</v>
      </c>
      <c r="F733" s="4" t="s">
        <v>1352</v>
      </c>
      <c r="G733" s="5" t="n">
        <v>56</v>
      </c>
      <c r="H733" s="5" t="s">
        <v>1353</v>
      </c>
      <c r="I733" s="4" t="s">
        <v>2326</v>
      </c>
      <c r="J733" s="4" t="s">
        <v>131</v>
      </c>
    </row>
    <row r="734" customFormat="false" ht="15" hidden="false" customHeight="false" outlineLevel="0" collapsed="false">
      <c r="A734" s="5" t="n">
        <v>43771</v>
      </c>
      <c r="B734" s="5" t="s">
        <v>80</v>
      </c>
      <c r="C734" s="5" t="s">
        <v>934</v>
      </c>
      <c r="D734" s="4" t="s">
        <v>30</v>
      </c>
      <c r="E734" s="4" t="s">
        <v>1351</v>
      </c>
      <c r="F734" s="4" t="s">
        <v>1352</v>
      </c>
      <c r="G734" s="5" t="n">
        <v>63</v>
      </c>
      <c r="H734" s="5" t="s">
        <v>1353</v>
      </c>
      <c r="I734" s="4" t="s">
        <v>2327</v>
      </c>
      <c r="J734" s="4" t="s">
        <v>131</v>
      </c>
    </row>
    <row r="735" customFormat="false" ht="15" hidden="false" customHeight="false" outlineLevel="0" collapsed="false">
      <c r="A735" s="5" t="n">
        <v>43772</v>
      </c>
      <c r="B735" s="5" t="s">
        <v>80</v>
      </c>
      <c r="C735" s="5" t="s">
        <v>937</v>
      </c>
      <c r="D735" s="4" t="s">
        <v>30</v>
      </c>
      <c r="E735" s="4" t="s">
        <v>1351</v>
      </c>
      <c r="F735" s="4" t="s">
        <v>1352</v>
      </c>
      <c r="G735" s="5" t="n">
        <v>47</v>
      </c>
      <c r="H735" s="5" t="s">
        <v>1353</v>
      </c>
      <c r="I735" s="4" t="s">
        <v>2328</v>
      </c>
      <c r="J735" s="4" t="s">
        <v>131</v>
      </c>
    </row>
    <row r="736" customFormat="false" ht="15" hidden="false" customHeight="false" outlineLevel="0" collapsed="false">
      <c r="A736" s="5" t="n">
        <v>43773</v>
      </c>
      <c r="B736" s="5" t="s">
        <v>80</v>
      </c>
      <c r="C736" s="5" t="s">
        <v>937</v>
      </c>
      <c r="D736" s="4" t="s">
        <v>30</v>
      </c>
      <c r="E736" s="4" t="s">
        <v>1351</v>
      </c>
      <c r="F736" s="4" t="s">
        <v>1352</v>
      </c>
      <c r="G736" s="5" t="n">
        <v>46</v>
      </c>
      <c r="H736" s="5" t="s">
        <v>1353</v>
      </c>
      <c r="I736" s="4" t="s">
        <v>2329</v>
      </c>
      <c r="J736" s="4" t="s">
        <v>131</v>
      </c>
    </row>
    <row r="737" customFormat="false" ht="15" hidden="false" customHeight="false" outlineLevel="0" collapsed="false">
      <c r="A737" s="5" t="n">
        <v>43541</v>
      </c>
      <c r="B737" s="5" t="s">
        <v>80</v>
      </c>
      <c r="C737" s="5" t="s">
        <v>517</v>
      </c>
      <c r="D737" s="4" t="s">
        <v>30</v>
      </c>
      <c r="E737" s="4" t="s">
        <v>1351</v>
      </c>
      <c r="F737" s="4" t="s">
        <v>1356</v>
      </c>
      <c r="G737" s="5" t="n">
        <v>57</v>
      </c>
      <c r="H737" s="5" t="s">
        <v>1353</v>
      </c>
      <c r="I737" s="4" t="s">
        <v>2330</v>
      </c>
      <c r="J737" s="4" t="s">
        <v>131</v>
      </c>
    </row>
    <row r="738" customFormat="false" ht="15" hidden="false" customHeight="false" outlineLevel="0" collapsed="false">
      <c r="A738" s="5" t="n">
        <v>43774</v>
      </c>
      <c r="B738" s="5" t="s">
        <v>80</v>
      </c>
      <c r="C738" s="5" t="s">
        <v>521</v>
      </c>
      <c r="D738" s="4" t="s">
        <v>30</v>
      </c>
      <c r="E738" s="4" t="s">
        <v>1351</v>
      </c>
      <c r="F738" s="4" t="s">
        <v>1356</v>
      </c>
      <c r="G738" s="5" t="n">
        <v>67</v>
      </c>
      <c r="H738" s="5" t="s">
        <v>1353</v>
      </c>
      <c r="I738" s="4" t="s">
        <v>2331</v>
      </c>
      <c r="J738" s="4" t="s">
        <v>131</v>
      </c>
    </row>
    <row r="739" customFormat="false" ht="15" hidden="false" customHeight="false" outlineLevel="0" collapsed="false">
      <c r="A739" s="5" t="n">
        <v>41221</v>
      </c>
      <c r="B739" s="5" t="s">
        <v>80</v>
      </c>
      <c r="C739" s="5" t="s">
        <v>458</v>
      </c>
      <c r="D739" s="4" t="s">
        <v>18</v>
      </c>
      <c r="E739" s="4" t="s">
        <v>1351</v>
      </c>
      <c r="F739" s="4" t="s">
        <v>1377</v>
      </c>
      <c r="G739" s="5" t="n">
        <v>60</v>
      </c>
      <c r="H739" s="5" t="s">
        <v>1353</v>
      </c>
      <c r="I739" s="4" t="s">
        <v>2332</v>
      </c>
      <c r="J739" s="4" t="s">
        <v>131</v>
      </c>
    </row>
    <row r="740" customFormat="false" ht="15" hidden="false" customHeight="false" outlineLevel="0" collapsed="false">
      <c r="A740" s="5" t="n">
        <v>12895</v>
      </c>
      <c r="B740" s="5" t="s">
        <v>80</v>
      </c>
      <c r="C740" s="5" t="s">
        <v>1001</v>
      </c>
      <c r="D740" s="4" t="s">
        <v>28</v>
      </c>
      <c r="E740" s="4" t="s">
        <v>1351</v>
      </c>
      <c r="F740" s="4" t="s">
        <v>1352</v>
      </c>
      <c r="G740" s="5" t="n">
        <v>59</v>
      </c>
      <c r="H740" s="5" t="s">
        <v>1353</v>
      </c>
      <c r="I740" s="4" t="s">
        <v>2333</v>
      </c>
      <c r="J740" s="4" t="s">
        <v>131</v>
      </c>
    </row>
    <row r="741" customFormat="false" ht="15" hidden="false" customHeight="false" outlineLevel="0" collapsed="false">
      <c r="A741" s="5" t="n">
        <v>34152</v>
      </c>
      <c r="B741" s="5" t="s">
        <v>80</v>
      </c>
      <c r="C741" s="5" t="s">
        <v>1413</v>
      </c>
      <c r="D741" s="4" t="s">
        <v>28</v>
      </c>
      <c r="E741" s="4" t="s">
        <v>1351</v>
      </c>
      <c r="F741" s="4" t="s">
        <v>1356</v>
      </c>
      <c r="G741" s="5" t="n">
        <v>59</v>
      </c>
      <c r="H741" s="5" t="s">
        <v>1353</v>
      </c>
      <c r="I741" s="4" t="s">
        <v>2334</v>
      </c>
      <c r="J741" s="4" t="s">
        <v>131</v>
      </c>
    </row>
    <row r="742" customFormat="false" ht="15" hidden="false" customHeight="false" outlineLevel="0" collapsed="false">
      <c r="A742" s="5" t="n">
        <v>8251</v>
      </c>
      <c r="B742" s="5" t="s">
        <v>80</v>
      </c>
      <c r="C742" s="5" t="s">
        <v>2218</v>
      </c>
      <c r="D742" s="4" t="s">
        <v>28</v>
      </c>
      <c r="E742" s="4" t="s">
        <v>1351</v>
      </c>
      <c r="F742" s="4" t="s">
        <v>1356</v>
      </c>
      <c r="G742" s="5" t="n">
        <v>69</v>
      </c>
      <c r="H742" s="5" t="s">
        <v>1353</v>
      </c>
      <c r="I742" s="4" t="s">
        <v>2335</v>
      </c>
      <c r="J742" s="4" t="s">
        <v>131</v>
      </c>
    </row>
    <row r="743" customFormat="false" ht="15" hidden="false" customHeight="false" outlineLevel="0" collapsed="false">
      <c r="A743" s="5" t="n">
        <v>39652</v>
      </c>
      <c r="B743" s="5" t="s">
        <v>80</v>
      </c>
      <c r="C743" s="5" t="s">
        <v>2336</v>
      </c>
      <c r="D743" s="4" t="s">
        <v>28</v>
      </c>
      <c r="E743" s="4" t="s">
        <v>1351</v>
      </c>
      <c r="F743" s="4" t="s">
        <v>1356</v>
      </c>
      <c r="G743" s="5" t="n">
        <v>73</v>
      </c>
      <c r="H743" s="5" t="s">
        <v>1353</v>
      </c>
      <c r="I743" s="4" t="s">
        <v>2337</v>
      </c>
      <c r="J743" s="4" t="s">
        <v>131</v>
      </c>
    </row>
    <row r="744" customFormat="false" ht="15" hidden="false" customHeight="false" outlineLevel="0" collapsed="false">
      <c r="A744" s="5" t="n">
        <v>35287</v>
      </c>
      <c r="B744" s="5" t="s">
        <v>80</v>
      </c>
      <c r="C744" s="5" t="s">
        <v>2338</v>
      </c>
      <c r="D744" s="4" t="s">
        <v>28</v>
      </c>
      <c r="E744" s="4" t="s">
        <v>1351</v>
      </c>
      <c r="F744" s="4" t="s">
        <v>1356</v>
      </c>
      <c r="G744" s="5" t="n">
        <v>89</v>
      </c>
      <c r="H744" s="5" t="s">
        <v>1353</v>
      </c>
      <c r="I744" s="4" t="s">
        <v>2339</v>
      </c>
      <c r="J744" s="4" t="s">
        <v>131</v>
      </c>
    </row>
    <row r="745" customFormat="false" ht="15" hidden="false" customHeight="false" outlineLevel="0" collapsed="false">
      <c r="A745" s="5" t="n">
        <v>26245</v>
      </c>
      <c r="B745" s="5" t="s">
        <v>81</v>
      </c>
      <c r="C745" s="5" t="s">
        <v>492</v>
      </c>
      <c r="D745" s="4" t="s">
        <v>34</v>
      </c>
      <c r="E745" s="4" t="s">
        <v>1351</v>
      </c>
      <c r="F745" s="4" t="s">
        <v>1352</v>
      </c>
      <c r="G745" s="5" t="n">
        <v>79</v>
      </c>
      <c r="H745" s="5" t="s">
        <v>1353</v>
      </c>
      <c r="I745" s="4" t="s">
        <v>2340</v>
      </c>
      <c r="J745" s="4" t="s">
        <v>131</v>
      </c>
    </row>
    <row r="746" customFormat="false" ht="15" hidden="false" customHeight="false" outlineLevel="0" collapsed="false">
      <c r="A746" s="5" t="n">
        <v>41322</v>
      </c>
      <c r="B746" s="5" t="s">
        <v>81</v>
      </c>
      <c r="C746" s="5" t="s">
        <v>2341</v>
      </c>
      <c r="D746" s="4" t="s">
        <v>24</v>
      </c>
      <c r="E746" s="4" t="s">
        <v>1351</v>
      </c>
      <c r="F746" s="4" t="s">
        <v>1356</v>
      </c>
      <c r="G746" s="5" t="n">
        <v>126</v>
      </c>
      <c r="H746" s="5" t="s">
        <v>1353</v>
      </c>
      <c r="I746" s="4" t="s">
        <v>2342</v>
      </c>
      <c r="J746" s="4" t="s">
        <v>131</v>
      </c>
    </row>
    <row r="747" customFormat="false" ht="15" hidden="false" customHeight="false" outlineLevel="0" collapsed="false">
      <c r="A747" s="5" t="n">
        <v>43789</v>
      </c>
      <c r="B747" s="5" t="s">
        <v>81</v>
      </c>
      <c r="C747" s="5" t="s">
        <v>2085</v>
      </c>
      <c r="D747" s="4" t="s">
        <v>24</v>
      </c>
      <c r="E747" s="4" t="s">
        <v>1351</v>
      </c>
      <c r="F747" s="4" t="s">
        <v>1368</v>
      </c>
      <c r="G747" s="5" t="n">
        <v>69</v>
      </c>
      <c r="H747" s="5" t="s">
        <v>1353</v>
      </c>
      <c r="I747" s="4" t="s">
        <v>2343</v>
      </c>
      <c r="J747" s="4" t="s">
        <v>131</v>
      </c>
    </row>
    <row r="748" customFormat="false" ht="15" hidden="false" customHeight="false" outlineLevel="0" collapsed="false">
      <c r="A748" s="5" t="n">
        <v>43790</v>
      </c>
      <c r="B748" s="5" t="s">
        <v>81</v>
      </c>
      <c r="C748" s="5" t="s">
        <v>2087</v>
      </c>
      <c r="D748" s="4" t="s">
        <v>24</v>
      </c>
      <c r="E748" s="4" t="s">
        <v>1351</v>
      </c>
      <c r="F748" s="4" t="s">
        <v>1352</v>
      </c>
      <c r="G748" s="5" t="n">
        <v>79</v>
      </c>
      <c r="H748" s="5" t="s">
        <v>1353</v>
      </c>
      <c r="I748" s="4" t="s">
        <v>2344</v>
      </c>
      <c r="J748" s="4" t="s">
        <v>131</v>
      </c>
    </row>
    <row r="749" customFormat="false" ht="15" hidden="false" customHeight="false" outlineLevel="0" collapsed="false">
      <c r="A749" s="5" t="n">
        <v>43793</v>
      </c>
      <c r="B749" s="5" t="s">
        <v>81</v>
      </c>
      <c r="C749" s="5" t="s">
        <v>861</v>
      </c>
      <c r="D749" s="4" t="s">
        <v>34</v>
      </c>
      <c r="E749" s="4" t="s">
        <v>1351</v>
      </c>
      <c r="F749" s="4" t="s">
        <v>1352</v>
      </c>
      <c r="G749" s="5" t="n">
        <v>95</v>
      </c>
      <c r="H749" s="5" t="s">
        <v>1353</v>
      </c>
      <c r="I749" s="4" t="s">
        <v>2345</v>
      </c>
      <c r="J749" s="4" t="s">
        <v>131</v>
      </c>
    </row>
    <row r="750" customFormat="false" ht="15" hidden="false" customHeight="false" outlineLevel="0" collapsed="false">
      <c r="A750" s="5" t="n">
        <v>43794</v>
      </c>
      <c r="B750" s="5" t="s">
        <v>81</v>
      </c>
      <c r="C750" s="5" t="s">
        <v>740</v>
      </c>
      <c r="D750" s="4" t="s">
        <v>34</v>
      </c>
      <c r="E750" s="4" t="s">
        <v>1351</v>
      </c>
      <c r="F750" s="4" t="s">
        <v>1352</v>
      </c>
      <c r="G750" s="5" t="n">
        <v>81</v>
      </c>
      <c r="H750" s="5" t="s">
        <v>1353</v>
      </c>
      <c r="I750" s="4" t="s">
        <v>2346</v>
      </c>
      <c r="J750" s="4" t="s">
        <v>131</v>
      </c>
    </row>
    <row r="751" customFormat="false" ht="15" hidden="false" customHeight="false" outlineLevel="0" collapsed="false">
      <c r="A751" s="5" t="n">
        <v>42760</v>
      </c>
      <c r="B751" s="5" t="s">
        <v>81</v>
      </c>
      <c r="C751" s="5" t="s">
        <v>306</v>
      </c>
      <c r="D751" s="4" t="s">
        <v>34</v>
      </c>
      <c r="E751" s="4" t="s">
        <v>1351</v>
      </c>
      <c r="F751" s="4" t="s">
        <v>1352</v>
      </c>
      <c r="G751" s="5" t="n">
        <v>90</v>
      </c>
      <c r="H751" s="5" t="s">
        <v>1353</v>
      </c>
      <c r="I751" s="4" t="s">
        <v>2347</v>
      </c>
      <c r="J751" s="4" t="s">
        <v>131</v>
      </c>
    </row>
    <row r="752" customFormat="false" ht="15" hidden="false" customHeight="false" outlineLevel="0" collapsed="false">
      <c r="A752" s="5" t="n">
        <v>43795</v>
      </c>
      <c r="B752" s="5" t="s">
        <v>81</v>
      </c>
      <c r="C752" s="5" t="s">
        <v>874</v>
      </c>
      <c r="D752" s="4" t="s">
        <v>34</v>
      </c>
      <c r="E752" s="4" t="s">
        <v>1351</v>
      </c>
      <c r="F752" s="4" t="s">
        <v>1352</v>
      </c>
      <c r="G752" s="5" t="n">
        <v>121</v>
      </c>
      <c r="H752" s="5" t="s">
        <v>1353</v>
      </c>
      <c r="I752" s="4" t="s">
        <v>2348</v>
      </c>
      <c r="J752" s="4" t="s">
        <v>131</v>
      </c>
    </row>
    <row r="753" customFormat="false" ht="15" hidden="false" customHeight="false" outlineLevel="0" collapsed="false">
      <c r="A753" s="5" t="n">
        <v>43796</v>
      </c>
      <c r="B753" s="5" t="s">
        <v>81</v>
      </c>
      <c r="C753" s="5" t="s">
        <v>1025</v>
      </c>
      <c r="D753" s="4" t="s">
        <v>34</v>
      </c>
      <c r="E753" s="4" t="s">
        <v>1351</v>
      </c>
      <c r="F753" s="4" t="s">
        <v>1352</v>
      </c>
      <c r="G753" s="5" t="n">
        <v>75</v>
      </c>
      <c r="H753" s="5" t="s">
        <v>1353</v>
      </c>
      <c r="I753" s="4" t="s">
        <v>2349</v>
      </c>
      <c r="J753" s="4" t="s">
        <v>131</v>
      </c>
    </row>
    <row r="754" customFormat="false" ht="15" hidden="false" customHeight="false" outlineLevel="0" collapsed="false">
      <c r="A754" s="5" t="n">
        <v>43797</v>
      </c>
      <c r="B754" s="5" t="s">
        <v>81</v>
      </c>
      <c r="C754" s="5" t="s">
        <v>1541</v>
      </c>
      <c r="D754" s="4" t="s">
        <v>34</v>
      </c>
      <c r="E754" s="4" t="s">
        <v>1351</v>
      </c>
      <c r="F754" s="4" t="s">
        <v>1352</v>
      </c>
      <c r="G754" s="5" t="n">
        <v>91</v>
      </c>
      <c r="H754" s="5" t="s">
        <v>1353</v>
      </c>
      <c r="I754" s="4" t="s">
        <v>1501</v>
      </c>
      <c r="J754" s="4" t="s">
        <v>131</v>
      </c>
    </row>
    <row r="755" customFormat="false" ht="15" hidden="false" customHeight="false" outlineLevel="0" collapsed="false">
      <c r="A755" s="5" t="n">
        <v>43798</v>
      </c>
      <c r="B755" s="5" t="s">
        <v>81</v>
      </c>
      <c r="C755" s="5" t="s">
        <v>1866</v>
      </c>
      <c r="D755" s="4" t="s">
        <v>34</v>
      </c>
      <c r="E755" s="4" t="s">
        <v>1351</v>
      </c>
      <c r="F755" s="4" t="s">
        <v>1352</v>
      </c>
      <c r="G755" s="5" t="n">
        <v>83</v>
      </c>
      <c r="H755" s="5" t="s">
        <v>1353</v>
      </c>
      <c r="I755" s="4" t="s">
        <v>1815</v>
      </c>
      <c r="J755" s="4" t="s">
        <v>131</v>
      </c>
    </row>
    <row r="756" customFormat="false" ht="15" hidden="false" customHeight="false" outlineLevel="0" collapsed="false">
      <c r="A756" s="5" t="n">
        <v>43799</v>
      </c>
      <c r="B756" s="5" t="s">
        <v>81</v>
      </c>
      <c r="C756" s="5" t="s">
        <v>317</v>
      </c>
      <c r="D756" s="4" t="s">
        <v>34</v>
      </c>
      <c r="E756" s="4" t="s">
        <v>1351</v>
      </c>
      <c r="F756" s="4" t="s">
        <v>1352</v>
      </c>
      <c r="G756" s="5" t="n">
        <v>83</v>
      </c>
      <c r="H756" s="5" t="s">
        <v>1353</v>
      </c>
      <c r="I756" s="4" t="s">
        <v>1815</v>
      </c>
      <c r="J756" s="4" t="s">
        <v>131</v>
      </c>
    </row>
    <row r="757" customFormat="false" ht="15" hidden="false" customHeight="false" outlineLevel="0" collapsed="false">
      <c r="A757" s="5" t="n">
        <v>43800</v>
      </c>
      <c r="B757" s="5" t="s">
        <v>81</v>
      </c>
      <c r="C757" s="5" t="s">
        <v>2250</v>
      </c>
      <c r="D757" s="4" t="s">
        <v>34</v>
      </c>
      <c r="E757" s="4" t="s">
        <v>1351</v>
      </c>
      <c r="F757" s="4" t="s">
        <v>1352</v>
      </c>
      <c r="G757" s="5" t="n">
        <v>160</v>
      </c>
      <c r="H757" s="5" t="s">
        <v>1353</v>
      </c>
      <c r="I757" s="4" t="s">
        <v>2075</v>
      </c>
      <c r="J757" s="4" t="s">
        <v>131</v>
      </c>
    </row>
    <row r="758" customFormat="false" ht="15" hidden="false" customHeight="false" outlineLevel="0" collapsed="false">
      <c r="A758" s="5" t="n">
        <v>43801</v>
      </c>
      <c r="B758" s="5" t="s">
        <v>81</v>
      </c>
      <c r="C758" s="5" t="s">
        <v>1610</v>
      </c>
      <c r="D758" s="4" t="s">
        <v>34</v>
      </c>
      <c r="E758" s="4" t="s">
        <v>1351</v>
      </c>
      <c r="F758" s="4" t="s">
        <v>1352</v>
      </c>
      <c r="G758" s="5" t="n">
        <v>119</v>
      </c>
      <c r="H758" s="5" t="s">
        <v>1353</v>
      </c>
      <c r="I758" s="4" t="s">
        <v>2350</v>
      </c>
      <c r="J758" s="4" t="s">
        <v>131</v>
      </c>
    </row>
    <row r="759" customFormat="false" ht="15" hidden="false" customHeight="false" outlineLevel="0" collapsed="false">
      <c r="A759" s="5" t="n">
        <v>40776</v>
      </c>
      <c r="B759" s="5" t="s">
        <v>81</v>
      </c>
      <c r="C759" s="5" t="s">
        <v>439</v>
      </c>
      <c r="D759" s="4" t="s">
        <v>20</v>
      </c>
      <c r="E759" s="4" t="s">
        <v>1351</v>
      </c>
      <c r="F759" s="4" t="s">
        <v>1377</v>
      </c>
      <c r="G759" s="5" t="n">
        <v>39</v>
      </c>
      <c r="H759" s="5" t="s">
        <v>1397</v>
      </c>
      <c r="I759" s="4" t="s">
        <v>2351</v>
      </c>
      <c r="J759" s="4" t="s">
        <v>132</v>
      </c>
    </row>
    <row r="760" customFormat="false" ht="15" hidden="false" customHeight="false" outlineLevel="0" collapsed="false">
      <c r="A760" s="5" t="n">
        <v>42060</v>
      </c>
      <c r="B760" s="5" t="s">
        <v>81</v>
      </c>
      <c r="C760" s="5" t="s">
        <v>439</v>
      </c>
      <c r="D760" s="4" t="s">
        <v>20</v>
      </c>
      <c r="E760" s="4" t="s">
        <v>1351</v>
      </c>
      <c r="F760" s="4" t="s">
        <v>1368</v>
      </c>
      <c r="G760" s="5" t="n">
        <v>36</v>
      </c>
      <c r="H760" s="5" t="s">
        <v>1397</v>
      </c>
      <c r="I760" s="4" t="s">
        <v>2352</v>
      </c>
      <c r="J760" s="4" t="s">
        <v>132</v>
      </c>
    </row>
    <row r="761" customFormat="false" ht="15" hidden="false" customHeight="false" outlineLevel="0" collapsed="false">
      <c r="A761" s="5" t="n">
        <v>40775</v>
      </c>
      <c r="B761" s="5" t="s">
        <v>81</v>
      </c>
      <c r="C761" s="5" t="s">
        <v>799</v>
      </c>
      <c r="D761" s="4" t="s">
        <v>20</v>
      </c>
      <c r="E761" s="4" t="s">
        <v>1351</v>
      </c>
      <c r="F761" s="4" t="s">
        <v>1368</v>
      </c>
      <c r="G761" s="5" t="n">
        <v>42</v>
      </c>
      <c r="H761" s="5" t="s">
        <v>1353</v>
      </c>
      <c r="I761" s="4" t="s">
        <v>2353</v>
      </c>
      <c r="J761" s="4" t="s">
        <v>131</v>
      </c>
    </row>
    <row r="762" customFormat="false" ht="15" hidden="false" customHeight="false" outlineLevel="0" collapsed="false">
      <c r="A762" s="5" t="n">
        <v>41263</v>
      </c>
      <c r="B762" s="5" t="s">
        <v>81</v>
      </c>
      <c r="C762" s="5" t="s">
        <v>443</v>
      </c>
      <c r="D762" s="4" t="s">
        <v>20</v>
      </c>
      <c r="E762" s="4" t="s">
        <v>1351</v>
      </c>
      <c r="F762" s="4" t="s">
        <v>1356</v>
      </c>
      <c r="G762" s="5" t="n">
        <v>55</v>
      </c>
      <c r="H762" s="5" t="s">
        <v>1353</v>
      </c>
      <c r="I762" s="4" t="s">
        <v>2354</v>
      </c>
      <c r="J762" s="4" t="s">
        <v>131</v>
      </c>
    </row>
    <row r="763" customFormat="false" ht="15" hidden="false" customHeight="false" outlineLevel="0" collapsed="false">
      <c r="A763" s="5" t="n">
        <v>42059</v>
      </c>
      <c r="B763" s="5" t="s">
        <v>81</v>
      </c>
      <c r="C763" s="5" t="s">
        <v>921</v>
      </c>
      <c r="D763" s="4" t="s">
        <v>20</v>
      </c>
      <c r="E763" s="4" t="s">
        <v>1351</v>
      </c>
      <c r="F763" s="4" t="s">
        <v>1368</v>
      </c>
      <c r="G763" s="5" t="n">
        <v>40</v>
      </c>
      <c r="H763" s="5" t="s">
        <v>1353</v>
      </c>
      <c r="I763" s="4" t="s">
        <v>2355</v>
      </c>
      <c r="J763" s="4" t="s">
        <v>131</v>
      </c>
    </row>
    <row r="764" customFormat="false" ht="15" hidden="false" customHeight="false" outlineLevel="0" collapsed="false">
      <c r="A764" s="5" t="n">
        <v>43802</v>
      </c>
      <c r="B764" s="5" t="s">
        <v>81</v>
      </c>
      <c r="C764" s="5" t="s">
        <v>1640</v>
      </c>
      <c r="D764" s="4" t="s">
        <v>20</v>
      </c>
      <c r="E764" s="4" t="s">
        <v>1351</v>
      </c>
      <c r="F764" s="4" t="s">
        <v>1368</v>
      </c>
      <c r="G764" s="5" t="n">
        <v>61</v>
      </c>
      <c r="H764" s="5" t="s">
        <v>1353</v>
      </c>
      <c r="I764" s="4" t="s">
        <v>2356</v>
      </c>
      <c r="J764" s="4" t="s">
        <v>131</v>
      </c>
    </row>
    <row r="765" customFormat="false" ht="15" hidden="false" customHeight="false" outlineLevel="0" collapsed="false">
      <c r="A765" s="5" t="n">
        <v>37848</v>
      </c>
      <c r="B765" s="5" t="s">
        <v>81</v>
      </c>
      <c r="C765" s="5" t="s">
        <v>1640</v>
      </c>
      <c r="D765" s="4" t="s">
        <v>20</v>
      </c>
      <c r="E765" s="4" t="s">
        <v>1351</v>
      </c>
      <c r="F765" s="4" t="s">
        <v>1368</v>
      </c>
      <c r="G765" s="5" t="n">
        <v>57</v>
      </c>
      <c r="H765" s="5" t="s">
        <v>1353</v>
      </c>
      <c r="I765" s="4" t="s">
        <v>2357</v>
      </c>
      <c r="J765" s="4" t="s">
        <v>131</v>
      </c>
    </row>
    <row r="766" customFormat="false" ht="15" hidden="false" customHeight="false" outlineLevel="0" collapsed="false">
      <c r="A766" s="5" t="n">
        <v>43803</v>
      </c>
      <c r="B766" s="5" t="s">
        <v>81</v>
      </c>
      <c r="C766" s="5" t="s">
        <v>1168</v>
      </c>
      <c r="D766" s="4" t="s">
        <v>20</v>
      </c>
      <c r="E766" s="4" t="s">
        <v>1351</v>
      </c>
      <c r="F766" s="4" t="s">
        <v>1356</v>
      </c>
      <c r="G766" s="5" t="n">
        <v>48</v>
      </c>
      <c r="H766" s="5" t="s">
        <v>1353</v>
      </c>
      <c r="I766" s="4" t="s">
        <v>2358</v>
      </c>
      <c r="J766" s="4" t="s">
        <v>131</v>
      </c>
    </row>
    <row r="767" customFormat="false" ht="15" hidden="false" customHeight="false" outlineLevel="0" collapsed="false">
      <c r="A767" s="5" t="n">
        <v>43806</v>
      </c>
      <c r="B767" s="5" t="s">
        <v>81</v>
      </c>
      <c r="C767" s="5" t="s">
        <v>361</v>
      </c>
      <c r="D767" s="4" t="s">
        <v>34</v>
      </c>
      <c r="E767" s="4" t="s">
        <v>1351</v>
      </c>
      <c r="F767" s="4" t="s">
        <v>1352</v>
      </c>
      <c r="G767" s="5" t="n">
        <v>82</v>
      </c>
      <c r="H767" s="5" t="s">
        <v>1353</v>
      </c>
      <c r="I767" s="4" t="s">
        <v>2359</v>
      </c>
      <c r="J767" s="4" t="s">
        <v>131</v>
      </c>
    </row>
    <row r="768" customFormat="false" ht="15" hidden="false" customHeight="false" outlineLevel="0" collapsed="false">
      <c r="A768" s="5" t="n">
        <v>43806</v>
      </c>
      <c r="B768" s="5" t="s">
        <v>81</v>
      </c>
      <c r="C768" s="5" t="s">
        <v>361</v>
      </c>
      <c r="D768" s="4" t="s">
        <v>34</v>
      </c>
      <c r="E768" s="4" t="s">
        <v>1418</v>
      </c>
      <c r="F768" s="4"/>
      <c r="G768" s="5" t="n">
        <v>0</v>
      </c>
      <c r="H768" s="5" t="s">
        <v>1419</v>
      </c>
      <c r="I768" s="4"/>
      <c r="J768" s="4" t="s">
        <v>134</v>
      </c>
    </row>
    <row r="769" customFormat="false" ht="15" hidden="false" customHeight="false" outlineLevel="0" collapsed="false">
      <c r="A769" s="5" t="n">
        <v>43808</v>
      </c>
      <c r="B769" s="5" t="s">
        <v>81</v>
      </c>
      <c r="C769" s="5" t="s">
        <v>2314</v>
      </c>
      <c r="D769" s="4" t="s">
        <v>34</v>
      </c>
      <c r="E769" s="4" t="s">
        <v>1351</v>
      </c>
      <c r="F769" s="4" t="s">
        <v>1352</v>
      </c>
      <c r="G769" s="5" t="n">
        <v>119</v>
      </c>
      <c r="H769" s="5" t="s">
        <v>1353</v>
      </c>
      <c r="I769" s="4" t="s">
        <v>2360</v>
      </c>
      <c r="J769" s="4" t="s">
        <v>131</v>
      </c>
    </row>
    <row r="770" customFormat="false" ht="15" hidden="false" customHeight="false" outlineLevel="0" collapsed="false">
      <c r="A770" s="5" t="n">
        <v>43809</v>
      </c>
      <c r="B770" s="5" t="s">
        <v>81</v>
      </c>
      <c r="C770" s="5" t="s">
        <v>2361</v>
      </c>
      <c r="D770" s="4" t="s">
        <v>34</v>
      </c>
      <c r="E770" s="4" t="s">
        <v>1351</v>
      </c>
      <c r="F770" s="4" t="s">
        <v>1352</v>
      </c>
      <c r="G770" s="5" t="n">
        <v>99</v>
      </c>
      <c r="H770" s="5" t="s">
        <v>1353</v>
      </c>
      <c r="I770" s="4" t="s">
        <v>2362</v>
      </c>
      <c r="J770" s="4" t="s">
        <v>131</v>
      </c>
    </row>
    <row r="771" customFormat="false" ht="15" hidden="false" customHeight="false" outlineLevel="0" collapsed="false">
      <c r="A771" s="5" t="n">
        <v>25509</v>
      </c>
      <c r="B771" s="5" t="s">
        <v>81</v>
      </c>
      <c r="C771" s="5" t="s">
        <v>2363</v>
      </c>
      <c r="D771" s="4" t="s">
        <v>34</v>
      </c>
      <c r="E771" s="4" t="s">
        <v>1351</v>
      </c>
      <c r="F771" s="4" t="s">
        <v>1368</v>
      </c>
      <c r="G771" s="5" t="n">
        <v>363</v>
      </c>
      <c r="H771" s="5" t="s">
        <v>1353</v>
      </c>
      <c r="I771" s="4" t="s">
        <v>2364</v>
      </c>
      <c r="J771" s="4" t="s">
        <v>131</v>
      </c>
    </row>
    <row r="772" customFormat="false" ht="15" hidden="false" customHeight="false" outlineLevel="0" collapsed="false">
      <c r="A772" s="5" t="n">
        <v>25509</v>
      </c>
      <c r="B772" s="5" t="s">
        <v>81</v>
      </c>
      <c r="C772" s="5" t="s">
        <v>2316</v>
      </c>
      <c r="D772" s="4" t="s">
        <v>34</v>
      </c>
      <c r="E772" s="4" t="s">
        <v>1351</v>
      </c>
      <c r="F772" s="4" t="s">
        <v>1671</v>
      </c>
      <c r="G772" s="5" t="n">
        <v>59</v>
      </c>
      <c r="H772" s="5" t="s">
        <v>1353</v>
      </c>
      <c r="I772" s="4" t="s">
        <v>2365</v>
      </c>
      <c r="J772" s="4" t="s">
        <v>131</v>
      </c>
    </row>
    <row r="773" customFormat="false" ht="15" hidden="false" customHeight="false" outlineLevel="0" collapsed="false">
      <c r="A773" s="5" t="n">
        <v>23592</v>
      </c>
      <c r="B773" s="5" t="s">
        <v>81</v>
      </c>
      <c r="C773" s="5" t="s">
        <v>2366</v>
      </c>
      <c r="D773" s="4" t="s">
        <v>34</v>
      </c>
      <c r="E773" s="4" t="s">
        <v>1351</v>
      </c>
      <c r="F773" s="4" t="s">
        <v>1671</v>
      </c>
      <c r="G773" s="5" t="n">
        <v>101</v>
      </c>
      <c r="H773" s="5" t="s">
        <v>1353</v>
      </c>
      <c r="I773" s="4" t="s">
        <v>2367</v>
      </c>
      <c r="J773" s="4" t="s">
        <v>131</v>
      </c>
    </row>
    <row r="774" customFormat="false" ht="15" hidden="false" customHeight="false" outlineLevel="0" collapsed="false">
      <c r="A774" s="5" t="n">
        <v>23592</v>
      </c>
      <c r="B774" s="5" t="s">
        <v>81</v>
      </c>
      <c r="C774" s="5" t="s">
        <v>2366</v>
      </c>
      <c r="D774" s="4" t="s">
        <v>34</v>
      </c>
      <c r="E774" s="4" t="s">
        <v>1351</v>
      </c>
      <c r="F774" s="4" t="s">
        <v>1377</v>
      </c>
      <c r="G774" s="5" t="n">
        <v>10</v>
      </c>
      <c r="H774" s="5" t="s">
        <v>1419</v>
      </c>
      <c r="I774" s="4" t="s">
        <v>1427</v>
      </c>
      <c r="J774" s="4" t="s">
        <v>133</v>
      </c>
    </row>
    <row r="775" customFormat="false" ht="15" hidden="false" customHeight="false" outlineLevel="0" collapsed="false">
      <c r="A775" s="5" t="n">
        <v>28730</v>
      </c>
      <c r="B775" s="5" t="s">
        <v>81</v>
      </c>
      <c r="C775" s="5" t="s">
        <v>2321</v>
      </c>
      <c r="D775" s="4" t="s">
        <v>34</v>
      </c>
      <c r="E775" s="4" t="s">
        <v>1351</v>
      </c>
      <c r="F775" s="4" t="s">
        <v>1671</v>
      </c>
      <c r="G775" s="5" t="n">
        <v>82</v>
      </c>
      <c r="H775" s="5" t="s">
        <v>1353</v>
      </c>
      <c r="I775" s="4" t="s">
        <v>2368</v>
      </c>
      <c r="J775" s="4" t="s">
        <v>131</v>
      </c>
    </row>
    <row r="776" customFormat="false" ht="15" hidden="false" customHeight="false" outlineLevel="0" collapsed="false">
      <c r="A776" s="5" t="n">
        <v>34459</v>
      </c>
      <c r="B776" s="5" t="s">
        <v>81</v>
      </c>
      <c r="C776" s="5" t="s">
        <v>645</v>
      </c>
      <c r="D776" s="4" t="s">
        <v>28</v>
      </c>
      <c r="E776" s="4" t="s">
        <v>1351</v>
      </c>
      <c r="F776" s="4" t="s">
        <v>1356</v>
      </c>
      <c r="G776" s="5" t="n">
        <v>50</v>
      </c>
      <c r="H776" s="5" t="s">
        <v>1353</v>
      </c>
      <c r="I776" s="4" t="s">
        <v>2369</v>
      </c>
      <c r="J776" s="4" t="s">
        <v>131</v>
      </c>
    </row>
    <row r="777" customFormat="false" ht="15" hidden="false" customHeight="false" outlineLevel="0" collapsed="false">
      <c r="A777" s="5" t="n">
        <v>43810</v>
      </c>
      <c r="B777" s="5" t="s">
        <v>81</v>
      </c>
      <c r="C777" s="5" t="s">
        <v>1185</v>
      </c>
      <c r="D777" s="4" t="s">
        <v>30</v>
      </c>
      <c r="E777" s="4" t="s">
        <v>1351</v>
      </c>
      <c r="F777" s="4" t="s">
        <v>1356</v>
      </c>
      <c r="G777" s="5" t="n">
        <v>77</v>
      </c>
      <c r="H777" s="5" t="s">
        <v>1353</v>
      </c>
      <c r="I777" s="4" t="s">
        <v>2370</v>
      </c>
      <c r="J777" s="4" t="s">
        <v>131</v>
      </c>
    </row>
    <row r="778" customFormat="false" ht="15" hidden="false" customHeight="false" outlineLevel="0" collapsed="false">
      <c r="A778" s="5" t="n">
        <v>43811</v>
      </c>
      <c r="B778" s="5" t="s">
        <v>81</v>
      </c>
      <c r="C778" s="5" t="s">
        <v>1413</v>
      </c>
      <c r="D778" s="4" t="s">
        <v>30</v>
      </c>
      <c r="E778" s="4" t="s">
        <v>1351</v>
      </c>
      <c r="F778" s="4" t="s">
        <v>1356</v>
      </c>
      <c r="G778" s="5" t="n">
        <v>83</v>
      </c>
      <c r="H778" s="5" t="s">
        <v>1353</v>
      </c>
      <c r="I778" s="4" t="s">
        <v>2371</v>
      </c>
      <c r="J778" s="4" t="s">
        <v>131</v>
      </c>
    </row>
    <row r="779" customFormat="false" ht="15" hidden="false" customHeight="false" outlineLevel="0" collapsed="false">
      <c r="A779" s="5" t="n">
        <v>43812</v>
      </c>
      <c r="B779" s="5" t="s">
        <v>81</v>
      </c>
      <c r="C779" s="5" t="s">
        <v>1188</v>
      </c>
      <c r="D779" s="4" t="s">
        <v>30</v>
      </c>
      <c r="E779" s="4" t="s">
        <v>1351</v>
      </c>
      <c r="F779" s="4" t="s">
        <v>1356</v>
      </c>
      <c r="G779" s="5" t="n">
        <v>16</v>
      </c>
      <c r="H779" s="5" t="s">
        <v>1419</v>
      </c>
      <c r="I779" s="4" t="s">
        <v>943</v>
      </c>
      <c r="J779" s="4" t="s">
        <v>133</v>
      </c>
    </row>
    <row r="780" customFormat="false" ht="15" hidden="false" customHeight="false" outlineLevel="0" collapsed="false">
      <c r="A780" s="5" t="n">
        <v>41047</v>
      </c>
      <c r="B780" s="5" t="s">
        <v>82</v>
      </c>
      <c r="C780" s="5" t="s">
        <v>2372</v>
      </c>
      <c r="D780" s="4" t="s">
        <v>32</v>
      </c>
      <c r="E780" s="4" t="s">
        <v>1351</v>
      </c>
      <c r="F780" s="4" t="s">
        <v>1356</v>
      </c>
      <c r="G780" s="5" t="n">
        <v>54</v>
      </c>
      <c r="H780" s="5" t="s">
        <v>1353</v>
      </c>
      <c r="I780" s="4" t="s">
        <v>2373</v>
      </c>
      <c r="J780" s="4" t="s">
        <v>131</v>
      </c>
    </row>
    <row r="781" customFormat="false" ht="15" hidden="false" customHeight="false" outlineLevel="0" collapsed="false">
      <c r="A781" s="5" t="n">
        <v>43195</v>
      </c>
      <c r="B781" s="5" t="s">
        <v>82</v>
      </c>
      <c r="C781" s="5" t="s">
        <v>1483</v>
      </c>
      <c r="D781" s="4" t="s">
        <v>32</v>
      </c>
      <c r="E781" s="4" t="s">
        <v>1351</v>
      </c>
      <c r="F781" s="4" t="s">
        <v>1352</v>
      </c>
      <c r="G781" s="5" t="n">
        <v>59</v>
      </c>
      <c r="H781" s="5" t="s">
        <v>1353</v>
      </c>
      <c r="I781" s="4" t="s">
        <v>2374</v>
      </c>
      <c r="J781" s="4" t="s">
        <v>131</v>
      </c>
    </row>
    <row r="782" customFormat="false" ht="15" hidden="false" customHeight="false" outlineLevel="0" collapsed="false">
      <c r="A782" s="5" t="n">
        <v>43194</v>
      </c>
      <c r="B782" s="5" t="s">
        <v>82</v>
      </c>
      <c r="C782" s="5" t="s">
        <v>2375</v>
      </c>
      <c r="D782" s="4" t="s">
        <v>32</v>
      </c>
      <c r="E782" s="4" t="s">
        <v>1351</v>
      </c>
      <c r="F782" s="4" t="s">
        <v>1352</v>
      </c>
      <c r="G782" s="5" t="n">
        <v>47</v>
      </c>
      <c r="H782" s="5" t="s">
        <v>1353</v>
      </c>
      <c r="I782" s="4" t="s">
        <v>2376</v>
      </c>
      <c r="J782" s="4" t="s">
        <v>131</v>
      </c>
    </row>
    <row r="783" customFormat="false" ht="15" hidden="false" customHeight="false" outlineLevel="0" collapsed="false">
      <c r="A783" s="5" t="n">
        <v>41363</v>
      </c>
      <c r="B783" s="5" t="s">
        <v>82</v>
      </c>
      <c r="C783" s="5" t="s">
        <v>2377</v>
      </c>
      <c r="D783" s="4" t="s">
        <v>32</v>
      </c>
      <c r="E783" s="4" t="s">
        <v>1351</v>
      </c>
      <c r="F783" s="4" t="s">
        <v>1352</v>
      </c>
      <c r="G783" s="5" t="n">
        <v>39</v>
      </c>
      <c r="H783" s="5" t="s">
        <v>1397</v>
      </c>
      <c r="I783" s="4" t="s">
        <v>2378</v>
      </c>
      <c r="J783" s="4" t="s">
        <v>132</v>
      </c>
    </row>
    <row r="784" customFormat="false" ht="15" hidden="false" customHeight="false" outlineLevel="0" collapsed="false">
      <c r="A784" s="5" t="n">
        <v>43764</v>
      </c>
      <c r="B784" s="5" t="s">
        <v>82</v>
      </c>
      <c r="C784" s="5" t="s">
        <v>1054</v>
      </c>
      <c r="D784" s="4" t="s">
        <v>18</v>
      </c>
      <c r="E784" s="4" t="s">
        <v>1351</v>
      </c>
      <c r="F784" s="4" t="s">
        <v>1352</v>
      </c>
      <c r="G784" s="5" t="n">
        <v>172</v>
      </c>
      <c r="H784" s="5" t="s">
        <v>1353</v>
      </c>
      <c r="I784" s="4" t="s">
        <v>2379</v>
      </c>
      <c r="J784" s="4" t="s">
        <v>131</v>
      </c>
    </row>
    <row r="785" customFormat="false" ht="15" hidden="false" customHeight="false" outlineLevel="0" collapsed="false">
      <c r="A785" s="5" t="n">
        <v>41285</v>
      </c>
      <c r="B785" s="5" t="s">
        <v>82</v>
      </c>
      <c r="C785" s="5" t="s">
        <v>1057</v>
      </c>
      <c r="D785" s="4" t="s">
        <v>18</v>
      </c>
      <c r="E785" s="4" t="s">
        <v>1351</v>
      </c>
      <c r="F785" s="4" t="s">
        <v>1352</v>
      </c>
      <c r="G785" s="5" t="n">
        <v>127</v>
      </c>
      <c r="H785" s="5" t="s">
        <v>1353</v>
      </c>
      <c r="I785" s="4" t="s">
        <v>2380</v>
      </c>
      <c r="J785" s="4" t="s">
        <v>131</v>
      </c>
    </row>
    <row r="786" customFormat="false" ht="15" hidden="false" customHeight="false" outlineLevel="0" collapsed="false">
      <c r="A786" s="5" t="n">
        <v>39322</v>
      </c>
      <c r="B786" s="5" t="s">
        <v>82</v>
      </c>
      <c r="C786" s="5" t="s">
        <v>1824</v>
      </c>
      <c r="D786" s="4" t="s">
        <v>18</v>
      </c>
      <c r="E786" s="4" t="s">
        <v>1351</v>
      </c>
      <c r="F786" s="4" t="s">
        <v>1356</v>
      </c>
      <c r="G786" s="5" t="n">
        <v>78</v>
      </c>
      <c r="H786" s="5" t="s">
        <v>1353</v>
      </c>
      <c r="I786" s="4" t="s">
        <v>2381</v>
      </c>
      <c r="J786" s="4" t="s">
        <v>131</v>
      </c>
    </row>
    <row r="787" customFormat="false" ht="15" hidden="false" customHeight="false" outlineLevel="0" collapsed="false">
      <c r="A787" s="5" t="n">
        <v>40217</v>
      </c>
      <c r="B787" s="5" t="s">
        <v>82</v>
      </c>
      <c r="C787" s="5" t="s">
        <v>2263</v>
      </c>
      <c r="D787" s="4" t="s">
        <v>18</v>
      </c>
      <c r="E787" s="4" t="s">
        <v>1351</v>
      </c>
      <c r="F787" s="4" t="s">
        <v>1671</v>
      </c>
      <c r="G787" s="5" t="n">
        <v>86</v>
      </c>
      <c r="H787" s="5" t="s">
        <v>1353</v>
      </c>
      <c r="I787" s="4" t="s">
        <v>2382</v>
      </c>
      <c r="J787" s="4" t="s">
        <v>131</v>
      </c>
    </row>
    <row r="788" customFormat="false" ht="15" hidden="false" customHeight="false" outlineLevel="0" collapsed="false">
      <c r="A788" s="5" t="n">
        <v>43815</v>
      </c>
      <c r="B788" s="5" t="s">
        <v>82</v>
      </c>
      <c r="C788" s="5" t="s">
        <v>2383</v>
      </c>
      <c r="D788" s="4" t="s">
        <v>18</v>
      </c>
      <c r="E788" s="4" t="s">
        <v>1351</v>
      </c>
      <c r="F788" s="4" t="s">
        <v>1352</v>
      </c>
      <c r="G788" s="5" t="n">
        <v>77</v>
      </c>
      <c r="H788" s="5" t="s">
        <v>1353</v>
      </c>
      <c r="I788" s="4" t="s">
        <v>2384</v>
      </c>
      <c r="J788" s="4" t="s">
        <v>131</v>
      </c>
    </row>
    <row r="789" customFormat="false" ht="15" hidden="false" customHeight="false" outlineLevel="0" collapsed="false">
      <c r="A789" s="5" t="n">
        <v>39425</v>
      </c>
      <c r="B789" s="5" t="s">
        <v>83</v>
      </c>
      <c r="C789" s="5" t="s">
        <v>2385</v>
      </c>
      <c r="D789" s="4" t="s">
        <v>34</v>
      </c>
      <c r="E789" s="4" t="s">
        <v>1351</v>
      </c>
      <c r="F789" s="4" t="s">
        <v>1352</v>
      </c>
      <c r="G789" s="5" t="n">
        <v>117</v>
      </c>
      <c r="H789" s="5" t="s">
        <v>1353</v>
      </c>
      <c r="I789" s="4" t="s">
        <v>2255</v>
      </c>
      <c r="J789" s="4" t="s">
        <v>131</v>
      </c>
    </row>
    <row r="790" customFormat="false" ht="15" hidden="false" customHeight="false" outlineLevel="0" collapsed="false">
      <c r="A790" s="5" t="n">
        <v>39421</v>
      </c>
      <c r="B790" s="5" t="s">
        <v>83</v>
      </c>
      <c r="C790" s="5" t="s">
        <v>1916</v>
      </c>
      <c r="D790" s="4" t="s">
        <v>34</v>
      </c>
      <c r="E790" s="4" t="s">
        <v>1351</v>
      </c>
      <c r="F790" s="4" t="s">
        <v>1352</v>
      </c>
      <c r="G790" s="5" t="n">
        <v>92</v>
      </c>
      <c r="H790" s="5" t="s">
        <v>1353</v>
      </c>
      <c r="I790" s="4" t="s">
        <v>1632</v>
      </c>
      <c r="J790" s="4" t="s">
        <v>131</v>
      </c>
    </row>
    <row r="791" customFormat="false" ht="15" hidden="false" customHeight="false" outlineLevel="0" collapsed="false">
      <c r="A791" s="5" t="n">
        <v>39421</v>
      </c>
      <c r="B791" s="5" t="s">
        <v>83</v>
      </c>
      <c r="C791" s="5" t="s">
        <v>183</v>
      </c>
      <c r="D791" s="4" t="s">
        <v>34</v>
      </c>
      <c r="E791" s="4" t="s">
        <v>1351</v>
      </c>
      <c r="F791" s="4" t="s">
        <v>1356</v>
      </c>
      <c r="G791" s="5" t="n">
        <v>46</v>
      </c>
      <c r="H791" s="5" t="s">
        <v>1353</v>
      </c>
      <c r="I791" s="4" t="s">
        <v>2386</v>
      </c>
      <c r="J791" s="4" t="s">
        <v>131</v>
      </c>
    </row>
    <row r="792" customFormat="false" ht="15" hidden="false" customHeight="false" outlineLevel="0" collapsed="false">
      <c r="A792" s="5" t="n">
        <v>39425</v>
      </c>
      <c r="B792" s="5" t="s">
        <v>83</v>
      </c>
      <c r="C792" s="5" t="s">
        <v>2387</v>
      </c>
      <c r="D792" s="4" t="s">
        <v>34</v>
      </c>
      <c r="E792" s="4" t="s">
        <v>1351</v>
      </c>
      <c r="F792" s="4" t="s">
        <v>1356</v>
      </c>
      <c r="G792" s="5" t="n">
        <v>89</v>
      </c>
      <c r="H792" s="5" t="s">
        <v>1353</v>
      </c>
      <c r="I792" s="4" t="s">
        <v>2388</v>
      </c>
      <c r="J792" s="4" t="s">
        <v>131</v>
      </c>
    </row>
    <row r="793" customFormat="false" ht="15" hidden="false" customHeight="false" outlineLevel="0" collapsed="false">
      <c r="A793" s="5" t="n">
        <v>31655</v>
      </c>
      <c r="B793" s="5" t="s">
        <v>83</v>
      </c>
      <c r="C793" s="5" t="s">
        <v>1633</v>
      </c>
      <c r="D793" s="4" t="s">
        <v>34</v>
      </c>
      <c r="E793" s="4" t="s">
        <v>1351</v>
      </c>
      <c r="F793" s="4" t="s">
        <v>1352</v>
      </c>
      <c r="G793" s="5" t="n">
        <v>89</v>
      </c>
      <c r="H793" s="5" t="s">
        <v>1353</v>
      </c>
      <c r="I793" s="4" t="s">
        <v>1817</v>
      </c>
      <c r="J793" s="4" t="s">
        <v>131</v>
      </c>
    </row>
    <row r="794" customFormat="false" ht="15" hidden="false" customHeight="false" outlineLevel="0" collapsed="false">
      <c r="A794" s="5" t="n">
        <v>43824</v>
      </c>
      <c r="B794" s="5" t="s">
        <v>83</v>
      </c>
      <c r="C794" s="5" t="s">
        <v>2389</v>
      </c>
      <c r="D794" s="4" t="s">
        <v>34</v>
      </c>
      <c r="E794" s="4" t="s">
        <v>1351</v>
      </c>
      <c r="F794" s="4" t="s">
        <v>1352</v>
      </c>
      <c r="G794" s="5" t="n">
        <v>106</v>
      </c>
      <c r="H794" s="5" t="s">
        <v>1353</v>
      </c>
      <c r="I794" s="4" t="s">
        <v>2255</v>
      </c>
      <c r="J794" s="4" t="s">
        <v>131</v>
      </c>
    </row>
    <row r="795" customFormat="false" ht="15" hidden="false" customHeight="false" outlineLevel="0" collapsed="false">
      <c r="A795" s="5" t="n">
        <v>40638</v>
      </c>
      <c r="B795" s="5" t="s">
        <v>83</v>
      </c>
      <c r="C795" s="5" t="s">
        <v>2390</v>
      </c>
      <c r="D795" s="4" t="s">
        <v>24</v>
      </c>
      <c r="E795" s="4" t="s">
        <v>1351</v>
      </c>
      <c r="F795" s="4" t="s">
        <v>1352</v>
      </c>
      <c r="G795" s="5" t="n">
        <v>102</v>
      </c>
      <c r="H795" s="5" t="s">
        <v>1353</v>
      </c>
      <c r="I795" s="4" t="s">
        <v>2391</v>
      </c>
      <c r="J795" s="4" t="s">
        <v>131</v>
      </c>
    </row>
    <row r="796" customFormat="false" ht="15" hidden="false" customHeight="false" outlineLevel="0" collapsed="false">
      <c r="A796" s="5" t="n">
        <v>43828</v>
      </c>
      <c r="B796" s="5" t="s">
        <v>83</v>
      </c>
      <c r="C796" s="5" t="s">
        <v>1443</v>
      </c>
      <c r="D796" s="4" t="s">
        <v>24</v>
      </c>
      <c r="E796" s="4" t="s">
        <v>1351</v>
      </c>
      <c r="F796" s="4" t="s">
        <v>1356</v>
      </c>
      <c r="G796" s="5" t="n">
        <v>132</v>
      </c>
      <c r="H796" s="5" t="s">
        <v>1353</v>
      </c>
      <c r="I796" s="4" t="s">
        <v>2392</v>
      </c>
      <c r="J796" s="4" t="s">
        <v>131</v>
      </c>
    </row>
    <row r="797" customFormat="false" ht="15" hidden="false" customHeight="false" outlineLevel="0" collapsed="false">
      <c r="A797" s="5" t="n">
        <v>43836</v>
      </c>
      <c r="B797" s="5" t="s">
        <v>83</v>
      </c>
      <c r="C797" s="5" t="s">
        <v>1933</v>
      </c>
      <c r="D797" s="4" t="s">
        <v>34</v>
      </c>
      <c r="E797" s="4" t="s">
        <v>1351</v>
      </c>
      <c r="F797" s="4" t="s">
        <v>1352</v>
      </c>
      <c r="G797" s="5" t="n">
        <v>145</v>
      </c>
      <c r="H797" s="5" t="s">
        <v>1353</v>
      </c>
      <c r="I797" s="4" t="s">
        <v>2347</v>
      </c>
      <c r="J797" s="4" t="s">
        <v>131</v>
      </c>
    </row>
    <row r="798" customFormat="false" ht="15" hidden="false" customHeight="false" outlineLevel="0" collapsed="false">
      <c r="A798" s="5" t="n">
        <v>43837</v>
      </c>
      <c r="B798" s="5" t="s">
        <v>83</v>
      </c>
      <c r="C798" s="5" t="s">
        <v>1762</v>
      </c>
      <c r="D798" s="4" t="s">
        <v>34</v>
      </c>
      <c r="E798" s="4" t="s">
        <v>1351</v>
      </c>
      <c r="F798" s="4" t="s">
        <v>1352</v>
      </c>
      <c r="G798" s="5" t="n">
        <v>85</v>
      </c>
      <c r="H798" s="5" t="s">
        <v>1353</v>
      </c>
      <c r="I798" s="4" t="s">
        <v>1501</v>
      </c>
      <c r="J798" s="4" t="s">
        <v>131</v>
      </c>
    </row>
    <row r="799" customFormat="false" ht="15" hidden="false" customHeight="false" outlineLevel="0" collapsed="false">
      <c r="A799" s="5" t="n">
        <v>36084</v>
      </c>
      <c r="B799" s="5" t="s">
        <v>83</v>
      </c>
      <c r="C799" s="5" t="s">
        <v>1079</v>
      </c>
      <c r="D799" s="4" t="s">
        <v>34</v>
      </c>
      <c r="E799" s="4" t="s">
        <v>1351</v>
      </c>
      <c r="F799" s="4" t="s">
        <v>1352</v>
      </c>
      <c r="G799" s="5" t="n">
        <v>76</v>
      </c>
      <c r="H799" s="5" t="s">
        <v>1353</v>
      </c>
      <c r="I799" s="4" t="s">
        <v>2393</v>
      </c>
      <c r="J799" s="4" t="s">
        <v>131</v>
      </c>
    </row>
    <row r="800" customFormat="false" ht="15" hidden="false" customHeight="false" outlineLevel="0" collapsed="false">
      <c r="A800" s="5" t="n">
        <v>43828</v>
      </c>
      <c r="B800" s="5" t="s">
        <v>83</v>
      </c>
      <c r="C800" s="5" t="s">
        <v>1469</v>
      </c>
      <c r="D800" s="4" t="s">
        <v>24</v>
      </c>
      <c r="E800" s="4" t="s">
        <v>1351</v>
      </c>
      <c r="F800" s="4" t="s">
        <v>1368</v>
      </c>
      <c r="G800" s="5" t="n">
        <v>76</v>
      </c>
      <c r="H800" s="5" t="s">
        <v>1353</v>
      </c>
      <c r="I800" s="4" t="s">
        <v>2394</v>
      </c>
      <c r="J800" s="4" t="s">
        <v>131</v>
      </c>
    </row>
    <row r="801" customFormat="false" ht="15" hidden="false" customHeight="false" outlineLevel="0" collapsed="false">
      <c r="A801" s="5" t="n">
        <v>43847</v>
      </c>
      <c r="B801" s="5" t="s">
        <v>83</v>
      </c>
      <c r="C801" s="5" t="s">
        <v>1521</v>
      </c>
      <c r="D801" s="4" t="s">
        <v>34</v>
      </c>
      <c r="E801" s="4" t="s">
        <v>1351</v>
      </c>
      <c r="F801" s="4" t="s">
        <v>1352</v>
      </c>
      <c r="G801" s="5" t="n">
        <v>99</v>
      </c>
      <c r="H801" s="5" t="s">
        <v>1353</v>
      </c>
      <c r="I801" s="4" t="s">
        <v>1815</v>
      </c>
      <c r="J801" s="4" t="s">
        <v>131</v>
      </c>
    </row>
    <row r="802" customFormat="false" ht="15" hidden="false" customHeight="false" outlineLevel="0" collapsed="false">
      <c r="A802" s="5" t="n">
        <v>43848</v>
      </c>
      <c r="B802" s="5" t="s">
        <v>83</v>
      </c>
      <c r="C802" s="5" t="s">
        <v>1149</v>
      </c>
      <c r="D802" s="4" t="s">
        <v>34</v>
      </c>
      <c r="E802" s="4" t="s">
        <v>1351</v>
      </c>
      <c r="F802" s="4" t="s">
        <v>1352</v>
      </c>
      <c r="G802" s="5" t="n">
        <v>108</v>
      </c>
      <c r="H802" s="5" t="s">
        <v>1353</v>
      </c>
      <c r="I802" s="4" t="s">
        <v>2239</v>
      </c>
      <c r="J802" s="4" t="s">
        <v>131</v>
      </c>
    </row>
    <row r="803" customFormat="false" ht="15" hidden="false" customHeight="false" outlineLevel="0" collapsed="false">
      <c r="A803" s="5" t="n">
        <v>43850</v>
      </c>
      <c r="B803" s="5" t="s">
        <v>83</v>
      </c>
      <c r="C803" s="5" t="s">
        <v>1864</v>
      </c>
      <c r="D803" s="4" t="s">
        <v>34</v>
      </c>
      <c r="E803" s="4" t="s">
        <v>1351</v>
      </c>
      <c r="F803" s="4" t="s">
        <v>1352</v>
      </c>
      <c r="G803" s="5" t="n">
        <v>105</v>
      </c>
      <c r="H803" s="5" t="s">
        <v>1353</v>
      </c>
      <c r="I803" s="4" t="s">
        <v>2395</v>
      </c>
      <c r="J803" s="4" t="s">
        <v>131</v>
      </c>
    </row>
    <row r="804" customFormat="false" ht="15" hidden="false" customHeight="false" outlineLevel="0" collapsed="false">
      <c r="A804" s="5" t="n">
        <v>39397</v>
      </c>
      <c r="B804" s="5" t="s">
        <v>83</v>
      </c>
      <c r="C804" s="5" t="s">
        <v>1543</v>
      </c>
      <c r="D804" s="4" t="s">
        <v>34</v>
      </c>
      <c r="E804" s="4" t="s">
        <v>1351</v>
      </c>
      <c r="F804" s="4" t="s">
        <v>1352</v>
      </c>
      <c r="G804" s="5" t="n">
        <v>114</v>
      </c>
      <c r="H804" s="5" t="s">
        <v>1353</v>
      </c>
      <c r="I804" s="4" t="s">
        <v>1817</v>
      </c>
      <c r="J804" s="4" t="s">
        <v>131</v>
      </c>
    </row>
    <row r="805" customFormat="false" ht="15" hidden="false" customHeight="false" outlineLevel="0" collapsed="false">
      <c r="A805" s="5" t="n">
        <v>43853</v>
      </c>
      <c r="B805" s="5" t="s">
        <v>83</v>
      </c>
      <c r="C805" s="5" t="s">
        <v>1158</v>
      </c>
      <c r="D805" s="4" t="s">
        <v>22</v>
      </c>
      <c r="E805" s="4" t="s">
        <v>1351</v>
      </c>
      <c r="F805" s="4" t="s">
        <v>1370</v>
      </c>
      <c r="G805" s="5" t="n">
        <v>34</v>
      </c>
      <c r="H805" s="5" t="s">
        <v>1397</v>
      </c>
      <c r="I805" s="4" t="s">
        <v>2396</v>
      </c>
      <c r="J805" s="4" t="s">
        <v>132</v>
      </c>
    </row>
    <row r="806" customFormat="false" ht="15" hidden="false" customHeight="false" outlineLevel="0" collapsed="false">
      <c r="A806" s="5" t="n">
        <v>43414</v>
      </c>
      <c r="B806" s="5" t="s">
        <v>83</v>
      </c>
      <c r="C806" s="5" t="s">
        <v>2397</v>
      </c>
      <c r="D806" s="4" t="s">
        <v>22</v>
      </c>
      <c r="E806" s="4" t="s">
        <v>1351</v>
      </c>
      <c r="F806" s="4" t="s">
        <v>1368</v>
      </c>
      <c r="G806" s="5" t="n">
        <v>29</v>
      </c>
      <c r="H806" s="5" t="s">
        <v>1397</v>
      </c>
      <c r="I806" s="4" t="s">
        <v>2398</v>
      </c>
      <c r="J806" s="4" t="s">
        <v>132</v>
      </c>
    </row>
    <row r="807" customFormat="false" ht="15" hidden="false" customHeight="false" outlineLevel="0" collapsed="false">
      <c r="A807" s="5" t="n">
        <v>41047</v>
      </c>
      <c r="B807" s="5" t="s">
        <v>83</v>
      </c>
      <c r="C807" s="5" t="s">
        <v>766</v>
      </c>
      <c r="D807" s="4" t="s">
        <v>32</v>
      </c>
      <c r="E807" s="4" t="s">
        <v>1351</v>
      </c>
      <c r="F807" s="4" t="s">
        <v>1356</v>
      </c>
      <c r="G807" s="5" t="n">
        <v>47</v>
      </c>
      <c r="H807" s="5" t="s">
        <v>1353</v>
      </c>
      <c r="I807" s="4" t="s">
        <v>2399</v>
      </c>
      <c r="J807" s="4" t="s">
        <v>131</v>
      </c>
    </row>
    <row r="808" customFormat="false" ht="15" hidden="false" customHeight="false" outlineLevel="0" collapsed="false">
      <c r="A808" s="5" t="n">
        <v>41952</v>
      </c>
      <c r="B808" s="5" t="s">
        <v>83</v>
      </c>
      <c r="C808" s="5" t="s">
        <v>878</v>
      </c>
      <c r="D808" s="4" t="s">
        <v>32</v>
      </c>
      <c r="E808" s="4" t="s">
        <v>1351</v>
      </c>
      <c r="F808" s="4" t="s">
        <v>1352</v>
      </c>
      <c r="G808" s="5" t="n">
        <v>70</v>
      </c>
      <c r="H808" s="5" t="s">
        <v>1353</v>
      </c>
      <c r="I808" s="4" t="s">
        <v>2400</v>
      </c>
      <c r="J808" s="4" t="s">
        <v>131</v>
      </c>
    </row>
    <row r="809" customFormat="false" ht="15" hidden="false" customHeight="false" outlineLevel="0" collapsed="false">
      <c r="A809" s="5" t="n">
        <v>43856</v>
      </c>
      <c r="B809" s="5" t="s">
        <v>83</v>
      </c>
      <c r="C809" s="5" t="s">
        <v>2401</v>
      </c>
      <c r="D809" s="4" t="s">
        <v>30</v>
      </c>
      <c r="E809" s="4" t="s">
        <v>1351</v>
      </c>
      <c r="F809" s="4" t="s">
        <v>1356</v>
      </c>
      <c r="G809" s="5" t="n">
        <v>97</v>
      </c>
      <c r="H809" s="5" t="s">
        <v>1353</v>
      </c>
      <c r="I809" s="4" t="s">
        <v>2402</v>
      </c>
      <c r="J809" s="4" t="s">
        <v>131</v>
      </c>
    </row>
    <row r="810" customFormat="false" ht="15" hidden="false" customHeight="false" outlineLevel="0" collapsed="false">
      <c r="A810" s="5" t="n">
        <v>43858</v>
      </c>
      <c r="B810" s="5" t="s">
        <v>83</v>
      </c>
      <c r="C810" s="5" t="s">
        <v>2403</v>
      </c>
      <c r="D810" s="4" t="s">
        <v>28</v>
      </c>
      <c r="E810" s="4" t="s">
        <v>1351</v>
      </c>
      <c r="F810" s="4" t="s">
        <v>1352</v>
      </c>
      <c r="G810" s="5" t="n">
        <v>73</v>
      </c>
      <c r="H810" s="5" t="s">
        <v>1353</v>
      </c>
      <c r="I810" s="4" t="s">
        <v>2404</v>
      </c>
      <c r="J810" s="4" t="s">
        <v>131</v>
      </c>
    </row>
    <row r="811" customFormat="false" ht="15" hidden="false" customHeight="false" outlineLevel="0" collapsed="false">
      <c r="A811" s="5" t="n">
        <v>3948</v>
      </c>
      <c r="B811" s="5" t="s">
        <v>83</v>
      </c>
      <c r="C811" s="5" t="s">
        <v>1571</v>
      </c>
      <c r="D811" s="4" t="s">
        <v>28</v>
      </c>
      <c r="E811" s="4" t="s">
        <v>1351</v>
      </c>
      <c r="F811" s="4" t="s">
        <v>1352</v>
      </c>
      <c r="G811" s="5" t="n">
        <v>77</v>
      </c>
      <c r="H811" s="5" t="s">
        <v>1353</v>
      </c>
      <c r="I811" s="4" t="s">
        <v>2405</v>
      </c>
      <c r="J811" s="4" t="s">
        <v>131</v>
      </c>
    </row>
    <row r="812" customFormat="false" ht="15" hidden="false" customHeight="false" outlineLevel="0" collapsed="false">
      <c r="A812" s="5" t="n">
        <v>43859</v>
      </c>
      <c r="B812" s="5" t="s">
        <v>83</v>
      </c>
      <c r="C812" s="5" t="s">
        <v>2406</v>
      </c>
      <c r="D812" s="4" t="s">
        <v>18</v>
      </c>
      <c r="E812" s="4" t="s">
        <v>1351</v>
      </c>
      <c r="F812" s="4" t="s">
        <v>1352</v>
      </c>
      <c r="G812" s="5" t="n">
        <v>97</v>
      </c>
      <c r="H812" s="5" t="s">
        <v>1353</v>
      </c>
      <c r="I812" s="4" t="s">
        <v>2407</v>
      </c>
      <c r="J812" s="4" t="s">
        <v>131</v>
      </c>
    </row>
    <row r="813" customFormat="false" ht="15" hidden="false" customHeight="false" outlineLevel="0" collapsed="false">
      <c r="A813" s="5" t="n">
        <v>43860</v>
      </c>
      <c r="B813" s="5" t="s">
        <v>83</v>
      </c>
      <c r="C813" s="5" t="s">
        <v>2408</v>
      </c>
      <c r="D813" s="4" t="s">
        <v>18</v>
      </c>
      <c r="E813" s="4" t="s">
        <v>1351</v>
      </c>
      <c r="F813" s="4" t="s">
        <v>1356</v>
      </c>
      <c r="G813" s="5" t="n">
        <v>110</v>
      </c>
      <c r="H813" s="5" t="s">
        <v>1353</v>
      </c>
      <c r="I813" s="4" t="s">
        <v>2409</v>
      </c>
      <c r="J813" s="4" t="s">
        <v>131</v>
      </c>
    </row>
    <row r="814" customFormat="false" ht="15" hidden="false" customHeight="false" outlineLevel="0" collapsed="false">
      <c r="A814" s="5" t="n">
        <v>34459</v>
      </c>
      <c r="B814" s="5" t="s">
        <v>83</v>
      </c>
      <c r="C814" s="5" t="s">
        <v>1728</v>
      </c>
      <c r="D814" s="4" t="s">
        <v>28</v>
      </c>
      <c r="E814" s="4" t="s">
        <v>1351</v>
      </c>
      <c r="F814" s="4" t="s">
        <v>1356</v>
      </c>
      <c r="G814" s="5" t="n">
        <v>64</v>
      </c>
      <c r="H814" s="5" t="s">
        <v>1353</v>
      </c>
      <c r="I814" s="4" t="s">
        <v>2410</v>
      </c>
      <c r="J814" s="4" t="s">
        <v>131</v>
      </c>
    </row>
    <row r="815" customFormat="false" ht="15" hidden="false" customHeight="false" outlineLevel="0" collapsed="false">
      <c r="A815" s="5" t="n">
        <v>41344</v>
      </c>
      <c r="B815" s="5" t="s">
        <v>84</v>
      </c>
      <c r="C815" s="5" t="s">
        <v>1228</v>
      </c>
      <c r="D815" s="4" t="s">
        <v>24</v>
      </c>
      <c r="E815" s="4" t="s">
        <v>1351</v>
      </c>
      <c r="F815" s="4" t="s">
        <v>1352</v>
      </c>
      <c r="G815" s="5" t="n">
        <v>85</v>
      </c>
      <c r="H815" s="5" t="s">
        <v>1353</v>
      </c>
      <c r="I815" s="4" t="s">
        <v>2411</v>
      </c>
      <c r="J815" s="4" t="s">
        <v>131</v>
      </c>
    </row>
    <row r="816" customFormat="false" ht="15" hidden="false" customHeight="false" outlineLevel="0" collapsed="false">
      <c r="A816" s="5" t="n">
        <v>43869</v>
      </c>
      <c r="B816" s="5" t="s">
        <v>84</v>
      </c>
      <c r="C816" s="5" t="s">
        <v>1578</v>
      </c>
      <c r="D816" s="4" t="s">
        <v>24</v>
      </c>
      <c r="E816" s="4" t="s">
        <v>1351</v>
      </c>
      <c r="F816" s="4" t="s">
        <v>1356</v>
      </c>
      <c r="G816" s="5" t="n">
        <v>143</v>
      </c>
      <c r="H816" s="5" t="s">
        <v>1353</v>
      </c>
      <c r="I816" s="4" t="s">
        <v>2412</v>
      </c>
      <c r="J816" s="4" t="s">
        <v>131</v>
      </c>
    </row>
    <row r="817" customFormat="false" ht="15" hidden="false" customHeight="false" outlineLevel="0" collapsed="false">
      <c r="A817" s="5" t="n">
        <v>43870</v>
      </c>
      <c r="B817" s="5" t="s">
        <v>84</v>
      </c>
      <c r="C817" s="5" t="s">
        <v>1391</v>
      </c>
      <c r="D817" s="4" t="s">
        <v>24</v>
      </c>
      <c r="E817" s="4" t="s">
        <v>1351</v>
      </c>
      <c r="F817" s="4" t="s">
        <v>1352</v>
      </c>
      <c r="G817" s="5" t="n">
        <v>13</v>
      </c>
      <c r="H817" s="5" t="s">
        <v>1419</v>
      </c>
      <c r="I817" s="4" t="s">
        <v>2413</v>
      </c>
      <c r="J817" s="4" t="s">
        <v>133</v>
      </c>
    </row>
    <row r="818" customFormat="false" ht="15" hidden="false" customHeight="false" outlineLevel="0" collapsed="false">
      <c r="A818" s="5" t="n">
        <v>43871</v>
      </c>
      <c r="B818" s="5" t="s">
        <v>84</v>
      </c>
      <c r="C818" s="5" t="s">
        <v>1393</v>
      </c>
      <c r="D818" s="4" t="s">
        <v>24</v>
      </c>
      <c r="E818" s="4" t="s">
        <v>1351</v>
      </c>
      <c r="F818" s="4" t="s">
        <v>1352</v>
      </c>
      <c r="G818" s="5" t="n">
        <v>87</v>
      </c>
      <c r="H818" s="5" t="s">
        <v>1353</v>
      </c>
      <c r="I818" s="4" t="s">
        <v>2414</v>
      </c>
      <c r="J818" s="4" t="s">
        <v>131</v>
      </c>
    </row>
    <row r="819" customFormat="false" ht="15" hidden="false" customHeight="false" outlineLevel="0" collapsed="false">
      <c r="A819" s="5" t="n">
        <v>43872</v>
      </c>
      <c r="B819" s="5" t="s">
        <v>84</v>
      </c>
      <c r="C819" s="5" t="s">
        <v>390</v>
      </c>
      <c r="D819" s="4" t="s">
        <v>24</v>
      </c>
      <c r="E819" s="4" t="s">
        <v>1351</v>
      </c>
      <c r="F819" s="4" t="s">
        <v>1352</v>
      </c>
      <c r="G819" s="5" t="n">
        <v>165</v>
      </c>
      <c r="H819" s="5" t="s">
        <v>1353</v>
      </c>
      <c r="I819" s="4" t="s">
        <v>2415</v>
      </c>
      <c r="J819" s="4" t="s">
        <v>131</v>
      </c>
    </row>
    <row r="820" customFormat="false" ht="15" hidden="false" customHeight="false" outlineLevel="0" collapsed="false">
      <c r="A820" s="5" t="n">
        <v>43414</v>
      </c>
      <c r="B820" s="5" t="s">
        <v>84</v>
      </c>
      <c r="C820" s="5" t="s">
        <v>2416</v>
      </c>
      <c r="D820" s="4" t="s">
        <v>22</v>
      </c>
      <c r="E820" s="4" t="s">
        <v>1351</v>
      </c>
      <c r="F820" s="4" t="s">
        <v>1377</v>
      </c>
      <c r="G820" s="5" t="n">
        <v>44</v>
      </c>
      <c r="H820" s="5" t="s">
        <v>1353</v>
      </c>
      <c r="I820" s="4" t="s">
        <v>2417</v>
      </c>
      <c r="J820" s="4" t="s">
        <v>131</v>
      </c>
    </row>
    <row r="821" customFormat="false" ht="15" hidden="false" customHeight="false" outlineLevel="0" collapsed="false">
      <c r="A821" s="5" t="n">
        <v>35173</v>
      </c>
      <c r="B821" s="5" t="s">
        <v>84</v>
      </c>
      <c r="C821" s="5" t="s">
        <v>294</v>
      </c>
      <c r="D821" s="4" t="s">
        <v>32</v>
      </c>
      <c r="E821" s="4" t="s">
        <v>1351</v>
      </c>
      <c r="F821" s="4" t="s">
        <v>1356</v>
      </c>
      <c r="G821" s="5" t="n">
        <v>18</v>
      </c>
      <c r="H821" s="5" t="s">
        <v>1419</v>
      </c>
      <c r="I821" s="4" t="s">
        <v>2418</v>
      </c>
      <c r="J821" s="4" t="s">
        <v>133</v>
      </c>
    </row>
    <row r="822" customFormat="false" ht="15" hidden="false" customHeight="false" outlineLevel="0" collapsed="false">
      <c r="A822" s="5" t="n">
        <v>43803</v>
      </c>
      <c r="B822" s="5" t="s">
        <v>84</v>
      </c>
      <c r="C822" s="5" t="s">
        <v>1511</v>
      </c>
      <c r="D822" s="4" t="s">
        <v>20</v>
      </c>
      <c r="E822" s="4" t="s">
        <v>1351</v>
      </c>
      <c r="F822" s="4" t="s">
        <v>1352</v>
      </c>
      <c r="G822" s="5" t="n">
        <v>78</v>
      </c>
      <c r="H822" s="5" t="s">
        <v>1353</v>
      </c>
      <c r="I822" s="4" t="s">
        <v>2419</v>
      </c>
      <c r="J822" s="4" t="s">
        <v>131</v>
      </c>
    </row>
    <row r="823" customFormat="false" ht="15" hidden="false" customHeight="false" outlineLevel="0" collapsed="false">
      <c r="A823" s="5" t="n">
        <v>40498</v>
      </c>
      <c r="B823" s="5" t="s">
        <v>84</v>
      </c>
      <c r="C823" s="5" t="s">
        <v>510</v>
      </c>
      <c r="D823" s="4" t="s">
        <v>34</v>
      </c>
      <c r="E823" s="4" t="s">
        <v>1351</v>
      </c>
      <c r="F823" s="4" t="s">
        <v>1368</v>
      </c>
      <c r="G823" s="5" t="n">
        <v>60</v>
      </c>
      <c r="H823" s="5" t="s">
        <v>1353</v>
      </c>
      <c r="I823" s="4" t="s">
        <v>2420</v>
      </c>
      <c r="J823" s="4" t="s">
        <v>131</v>
      </c>
    </row>
    <row r="824" customFormat="false" ht="15" hidden="false" customHeight="false" outlineLevel="0" collapsed="false">
      <c r="A824" s="5" t="n">
        <v>37403</v>
      </c>
      <c r="B824" s="5" t="s">
        <v>84</v>
      </c>
      <c r="C824" s="5" t="s">
        <v>306</v>
      </c>
      <c r="D824" s="4" t="s">
        <v>20</v>
      </c>
      <c r="E824" s="4" t="s">
        <v>1351</v>
      </c>
      <c r="F824" s="4" t="s">
        <v>1356</v>
      </c>
      <c r="G824" s="5" t="n">
        <v>84</v>
      </c>
      <c r="H824" s="5" t="s">
        <v>1353</v>
      </c>
      <c r="I824" s="4" t="s">
        <v>2421</v>
      </c>
      <c r="J824" s="4" t="s">
        <v>131</v>
      </c>
    </row>
    <row r="825" customFormat="false" ht="15" hidden="false" customHeight="false" outlineLevel="0" collapsed="false">
      <c r="A825" s="5" t="n">
        <v>41074</v>
      </c>
      <c r="B825" s="5" t="s">
        <v>84</v>
      </c>
      <c r="C825" s="5" t="s">
        <v>311</v>
      </c>
      <c r="D825" s="4" t="s">
        <v>20</v>
      </c>
      <c r="E825" s="4" t="s">
        <v>1351</v>
      </c>
      <c r="F825" s="4" t="s">
        <v>1368</v>
      </c>
      <c r="G825" s="5" t="n">
        <v>64</v>
      </c>
      <c r="H825" s="5" t="s">
        <v>1353</v>
      </c>
      <c r="I825" s="4" t="s">
        <v>2422</v>
      </c>
      <c r="J825" s="4" t="s">
        <v>131</v>
      </c>
    </row>
    <row r="826" customFormat="false" ht="15" hidden="false" customHeight="false" outlineLevel="0" collapsed="false">
      <c r="A826" s="5" t="n">
        <v>40715</v>
      </c>
      <c r="B826" s="5" t="s">
        <v>84</v>
      </c>
      <c r="C826" s="5" t="s">
        <v>314</v>
      </c>
      <c r="D826" s="4" t="s">
        <v>20</v>
      </c>
      <c r="E826" s="4" t="s">
        <v>1351</v>
      </c>
      <c r="F826" s="4" t="s">
        <v>1356</v>
      </c>
      <c r="G826" s="5" t="n">
        <v>54</v>
      </c>
      <c r="H826" s="5" t="s">
        <v>1353</v>
      </c>
      <c r="I826" s="4" t="s">
        <v>2423</v>
      </c>
      <c r="J826" s="4" t="s">
        <v>131</v>
      </c>
    </row>
    <row r="827" customFormat="false" ht="15" hidden="false" customHeight="false" outlineLevel="0" collapsed="false">
      <c r="A827" s="5" t="n">
        <v>43877</v>
      </c>
      <c r="B827" s="5" t="s">
        <v>84</v>
      </c>
      <c r="C827" s="5" t="s">
        <v>1141</v>
      </c>
      <c r="D827" s="4" t="s">
        <v>20</v>
      </c>
      <c r="E827" s="4" t="s">
        <v>1351</v>
      </c>
      <c r="F827" s="4" t="s">
        <v>1352</v>
      </c>
      <c r="G827" s="5" t="n">
        <v>91</v>
      </c>
      <c r="H827" s="5" t="s">
        <v>1353</v>
      </c>
      <c r="I827" s="4" t="s">
        <v>2424</v>
      </c>
      <c r="J827" s="4" t="s">
        <v>131</v>
      </c>
    </row>
    <row r="828" customFormat="false" ht="15" hidden="false" customHeight="false" outlineLevel="0" collapsed="false">
      <c r="A828" s="5" t="n">
        <v>43878</v>
      </c>
      <c r="B828" s="5" t="s">
        <v>84</v>
      </c>
      <c r="C828" s="5" t="s">
        <v>1025</v>
      </c>
      <c r="D828" s="4" t="s">
        <v>20</v>
      </c>
      <c r="E828" s="4" t="s">
        <v>1351</v>
      </c>
      <c r="F828" s="4" t="s">
        <v>1352</v>
      </c>
      <c r="G828" s="5" t="n">
        <v>102</v>
      </c>
      <c r="H828" s="5" t="s">
        <v>1353</v>
      </c>
      <c r="I828" s="4" t="s">
        <v>2425</v>
      </c>
      <c r="J828" s="4" t="s">
        <v>131</v>
      </c>
    </row>
    <row r="829" customFormat="false" ht="15" hidden="false" customHeight="false" outlineLevel="0" collapsed="false">
      <c r="A829" s="5" t="n">
        <v>40493</v>
      </c>
      <c r="B829" s="5" t="s">
        <v>84</v>
      </c>
      <c r="C829" s="5" t="s">
        <v>1029</v>
      </c>
      <c r="D829" s="4" t="s">
        <v>20</v>
      </c>
      <c r="E829" s="4" t="s">
        <v>1351</v>
      </c>
      <c r="F829" s="4" t="s">
        <v>1356</v>
      </c>
      <c r="G829" s="5" t="n">
        <v>54</v>
      </c>
      <c r="H829" s="5" t="s">
        <v>1353</v>
      </c>
      <c r="I829" s="4" t="s">
        <v>2426</v>
      </c>
      <c r="J829" s="4" t="s">
        <v>131</v>
      </c>
    </row>
    <row r="830" customFormat="false" ht="15" hidden="false" customHeight="false" outlineLevel="0" collapsed="false">
      <c r="A830" s="5" t="n">
        <v>41543</v>
      </c>
      <c r="B830" s="5" t="s">
        <v>84</v>
      </c>
      <c r="C830" s="5" t="s">
        <v>1189</v>
      </c>
      <c r="D830" s="4" t="s">
        <v>20</v>
      </c>
      <c r="E830" s="4" t="s">
        <v>1351</v>
      </c>
      <c r="F830" s="4" t="s">
        <v>1356</v>
      </c>
      <c r="G830" s="5" t="n">
        <v>78</v>
      </c>
      <c r="H830" s="5" t="s">
        <v>1353</v>
      </c>
      <c r="I830" s="4" t="s">
        <v>2427</v>
      </c>
      <c r="J830" s="4" t="s">
        <v>131</v>
      </c>
    </row>
    <row r="831" customFormat="false" ht="15" hidden="false" customHeight="false" outlineLevel="0" collapsed="false">
      <c r="A831" s="5" t="n">
        <v>43879</v>
      </c>
      <c r="B831" s="5" t="s">
        <v>84</v>
      </c>
      <c r="C831" s="5" t="s">
        <v>1622</v>
      </c>
      <c r="D831" s="4" t="s">
        <v>30</v>
      </c>
      <c r="E831" s="4" t="s">
        <v>1351</v>
      </c>
      <c r="F831" s="4" t="s">
        <v>1352</v>
      </c>
      <c r="G831" s="5" t="n">
        <v>70</v>
      </c>
      <c r="H831" s="5" t="s">
        <v>1353</v>
      </c>
      <c r="I831" s="4" t="s">
        <v>2428</v>
      </c>
      <c r="J831" s="4" t="s">
        <v>131</v>
      </c>
    </row>
    <row r="832" customFormat="false" ht="15" hidden="false" customHeight="false" outlineLevel="0" collapsed="false">
      <c r="A832" s="5" t="n">
        <v>43880</v>
      </c>
      <c r="B832" s="5" t="s">
        <v>84</v>
      </c>
      <c r="C832" s="5" t="s">
        <v>425</v>
      </c>
      <c r="D832" s="4" t="s">
        <v>30</v>
      </c>
      <c r="E832" s="4" t="s">
        <v>1351</v>
      </c>
      <c r="F832" s="4" t="s">
        <v>1352</v>
      </c>
      <c r="G832" s="5" t="n">
        <v>107</v>
      </c>
      <c r="H832" s="5" t="s">
        <v>1353</v>
      </c>
      <c r="I832" s="4" t="s">
        <v>2429</v>
      </c>
      <c r="J832" s="4" t="s">
        <v>131</v>
      </c>
    </row>
    <row r="833" customFormat="false" ht="15" hidden="false" customHeight="false" outlineLevel="0" collapsed="false">
      <c r="A833" s="5" t="n">
        <v>43881</v>
      </c>
      <c r="B833" s="5" t="s">
        <v>84</v>
      </c>
      <c r="C833" s="5" t="s">
        <v>558</v>
      </c>
      <c r="D833" s="4" t="s">
        <v>30</v>
      </c>
      <c r="E833" s="4" t="s">
        <v>1351</v>
      </c>
      <c r="F833" s="4" t="s">
        <v>1356</v>
      </c>
      <c r="G833" s="5" t="n">
        <v>101</v>
      </c>
      <c r="H833" s="5" t="s">
        <v>1353</v>
      </c>
      <c r="I833" s="4" t="s">
        <v>2430</v>
      </c>
      <c r="J833" s="4" t="s">
        <v>131</v>
      </c>
    </row>
    <row r="834" customFormat="false" ht="15" hidden="false" customHeight="false" outlineLevel="0" collapsed="false">
      <c r="A834" s="5" t="n">
        <v>43882</v>
      </c>
      <c r="B834" s="5" t="s">
        <v>84</v>
      </c>
      <c r="C834" s="5" t="s">
        <v>1648</v>
      </c>
      <c r="D834" s="4" t="s">
        <v>30</v>
      </c>
      <c r="E834" s="4" t="s">
        <v>1351</v>
      </c>
      <c r="F834" s="4" t="s">
        <v>1352</v>
      </c>
      <c r="G834" s="5" t="n">
        <v>62</v>
      </c>
      <c r="H834" s="5" t="s">
        <v>1353</v>
      </c>
      <c r="I834" s="4" t="s">
        <v>2431</v>
      </c>
      <c r="J834" s="4" t="s">
        <v>131</v>
      </c>
    </row>
    <row r="835" customFormat="false" ht="15" hidden="false" customHeight="false" outlineLevel="0" collapsed="false">
      <c r="A835" s="5" t="n">
        <v>43883</v>
      </c>
      <c r="B835" s="5" t="s">
        <v>84</v>
      </c>
      <c r="C835" s="5" t="s">
        <v>1250</v>
      </c>
      <c r="D835" s="4" t="s">
        <v>18</v>
      </c>
      <c r="E835" s="4" t="s">
        <v>1351</v>
      </c>
      <c r="F835" s="4" t="s">
        <v>1356</v>
      </c>
      <c r="G835" s="5" t="n">
        <v>149</v>
      </c>
      <c r="H835" s="5" t="s">
        <v>1353</v>
      </c>
      <c r="I835" s="4" t="s">
        <v>2432</v>
      </c>
      <c r="J835" s="4" t="s">
        <v>131</v>
      </c>
    </row>
    <row r="836" customFormat="false" ht="15" hidden="false" customHeight="false" outlineLevel="0" collapsed="false">
      <c r="A836" s="5" t="n">
        <v>43884</v>
      </c>
      <c r="B836" s="5" t="s">
        <v>84</v>
      </c>
      <c r="C836" s="5" t="s">
        <v>2433</v>
      </c>
      <c r="D836" s="4" t="s">
        <v>18</v>
      </c>
      <c r="E836" s="4" t="s">
        <v>1351</v>
      </c>
      <c r="F836" s="4" t="s">
        <v>1356</v>
      </c>
      <c r="G836" s="5" t="n">
        <v>103</v>
      </c>
      <c r="H836" s="5" t="s">
        <v>1353</v>
      </c>
      <c r="I836" s="4" t="s">
        <v>2434</v>
      </c>
      <c r="J836" s="4" t="s">
        <v>131</v>
      </c>
    </row>
    <row r="837" customFormat="false" ht="15" hidden="false" customHeight="false" outlineLevel="0" collapsed="false">
      <c r="A837" s="5" t="n">
        <v>42746</v>
      </c>
      <c r="B837" s="5" t="s">
        <v>84</v>
      </c>
      <c r="C837" s="5" t="s">
        <v>2435</v>
      </c>
      <c r="D837" s="4" t="s">
        <v>18</v>
      </c>
      <c r="E837" s="4" t="s">
        <v>1351</v>
      </c>
      <c r="F837" s="4" t="s">
        <v>1356</v>
      </c>
      <c r="G837" s="5" t="n">
        <v>105</v>
      </c>
      <c r="H837" s="5" t="s">
        <v>1353</v>
      </c>
      <c r="I837" s="4" t="s">
        <v>2436</v>
      </c>
      <c r="J837" s="4" t="s">
        <v>131</v>
      </c>
    </row>
    <row r="838" customFormat="false" ht="15" hidden="false" customHeight="false" outlineLevel="0" collapsed="false">
      <c r="A838" s="5" t="n">
        <v>41096</v>
      </c>
      <c r="B838" s="5" t="s">
        <v>84</v>
      </c>
      <c r="C838" s="5" t="s">
        <v>2437</v>
      </c>
      <c r="D838" s="4" t="s">
        <v>18</v>
      </c>
      <c r="E838" s="4" t="s">
        <v>1351</v>
      </c>
      <c r="F838" s="4" t="s">
        <v>1356</v>
      </c>
      <c r="G838" s="5" t="n">
        <v>166</v>
      </c>
      <c r="H838" s="5" t="s">
        <v>1353</v>
      </c>
      <c r="I838" s="4" t="s">
        <v>2438</v>
      </c>
      <c r="J838" s="4" t="s">
        <v>131</v>
      </c>
    </row>
    <row r="839" customFormat="false" ht="15" hidden="false" customHeight="false" outlineLevel="0" collapsed="false">
      <c r="A839" s="5" t="n">
        <v>43885</v>
      </c>
      <c r="B839" s="5" t="s">
        <v>84</v>
      </c>
      <c r="C839" s="5" t="s">
        <v>2439</v>
      </c>
      <c r="D839" s="4" t="s">
        <v>18</v>
      </c>
      <c r="E839" s="4" t="s">
        <v>1351</v>
      </c>
      <c r="F839" s="4" t="s">
        <v>1356</v>
      </c>
      <c r="G839" s="5" t="n">
        <v>99</v>
      </c>
      <c r="H839" s="5" t="s">
        <v>1353</v>
      </c>
      <c r="I839" s="4" t="s">
        <v>2440</v>
      </c>
      <c r="J839" s="4" t="s">
        <v>131</v>
      </c>
    </row>
    <row r="840" customFormat="false" ht="15" hidden="false" customHeight="false" outlineLevel="0" collapsed="false">
      <c r="A840" s="5" t="n">
        <v>43860</v>
      </c>
      <c r="B840" s="5" t="s">
        <v>84</v>
      </c>
      <c r="C840" s="5" t="s">
        <v>1627</v>
      </c>
      <c r="D840" s="4" t="s">
        <v>18</v>
      </c>
      <c r="E840" s="4" t="s">
        <v>1351</v>
      </c>
      <c r="F840" s="4" t="s">
        <v>1356</v>
      </c>
      <c r="G840" s="5" t="n">
        <v>46</v>
      </c>
      <c r="H840" s="5" t="s">
        <v>1353</v>
      </c>
      <c r="I840" s="4" t="s">
        <v>2441</v>
      </c>
      <c r="J840" s="4" t="s">
        <v>131</v>
      </c>
    </row>
    <row r="841" customFormat="false" ht="15" hidden="false" customHeight="false" outlineLevel="0" collapsed="false">
      <c r="A841" s="5" t="n">
        <v>41221</v>
      </c>
      <c r="B841" s="5" t="s">
        <v>84</v>
      </c>
      <c r="C841" s="5" t="s">
        <v>2442</v>
      </c>
      <c r="D841" s="4" t="s">
        <v>18</v>
      </c>
      <c r="E841" s="4" t="s">
        <v>1351</v>
      </c>
      <c r="F841" s="4" t="s">
        <v>1377</v>
      </c>
      <c r="G841" s="5" t="n">
        <v>50</v>
      </c>
      <c r="H841" s="5" t="s">
        <v>1353</v>
      </c>
      <c r="I841" s="4" t="s">
        <v>2443</v>
      </c>
      <c r="J841" s="4" t="s">
        <v>131</v>
      </c>
    </row>
    <row r="842" customFormat="false" ht="15" hidden="false" customHeight="false" outlineLevel="0" collapsed="false">
      <c r="A842" s="5" t="n">
        <v>3948</v>
      </c>
      <c r="B842" s="5" t="s">
        <v>84</v>
      </c>
      <c r="C842" s="5" t="s">
        <v>1217</v>
      </c>
      <c r="D842" s="4" t="s">
        <v>28</v>
      </c>
      <c r="E842" s="4" t="s">
        <v>1351</v>
      </c>
      <c r="F842" s="4" t="s">
        <v>1352</v>
      </c>
      <c r="G842" s="5" t="n">
        <v>76</v>
      </c>
      <c r="H842" s="5" t="s">
        <v>1353</v>
      </c>
      <c r="I842" s="4" t="s">
        <v>2444</v>
      </c>
      <c r="J842" s="4" t="s">
        <v>131</v>
      </c>
    </row>
    <row r="843" customFormat="false" ht="15" hidden="false" customHeight="false" outlineLevel="0" collapsed="false">
      <c r="A843" s="5" t="n">
        <v>43858</v>
      </c>
      <c r="B843" s="5" t="s">
        <v>84</v>
      </c>
      <c r="C843" s="5" t="s">
        <v>236</v>
      </c>
      <c r="D843" s="4" t="s">
        <v>28</v>
      </c>
      <c r="E843" s="4" t="s">
        <v>1351</v>
      </c>
      <c r="F843" s="4" t="s">
        <v>1352</v>
      </c>
      <c r="G843" s="5" t="n">
        <v>87</v>
      </c>
      <c r="H843" s="5" t="s">
        <v>1353</v>
      </c>
      <c r="I843" s="4" t="s">
        <v>2128</v>
      </c>
      <c r="J843" s="4" t="s">
        <v>131</v>
      </c>
    </row>
    <row r="844" customFormat="false" ht="15" hidden="false" customHeight="false" outlineLevel="0" collapsed="false">
      <c r="A844" s="5" t="n">
        <v>35283</v>
      </c>
      <c r="B844" s="5" t="s">
        <v>84</v>
      </c>
      <c r="C844" s="5" t="s">
        <v>1571</v>
      </c>
      <c r="D844" s="4" t="s">
        <v>28</v>
      </c>
      <c r="E844" s="4" t="s">
        <v>1351</v>
      </c>
      <c r="F844" s="4" t="s">
        <v>1352</v>
      </c>
      <c r="G844" s="5" t="n">
        <v>89</v>
      </c>
      <c r="H844" s="5" t="s">
        <v>1353</v>
      </c>
      <c r="I844" s="4" t="s">
        <v>2445</v>
      </c>
      <c r="J844" s="4" t="s">
        <v>131</v>
      </c>
    </row>
    <row r="845" customFormat="false" ht="15" hidden="false" customHeight="false" outlineLevel="0" collapsed="false">
      <c r="A845" s="5" t="n">
        <v>43284</v>
      </c>
      <c r="B845" s="5" t="s">
        <v>84</v>
      </c>
      <c r="C845" s="5" t="s">
        <v>2446</v>
      </c>
      <c r="D845" s="4" t="s">
        <v>28</v>
      </c>
      <c r="E845" s="4" t="s">
        <v>1351</v>
      </c>
      <c r="F845" s="4" t="s">
        <v>1352</v>
      </c>
      <c r="G845" s="5" t="n">
        <v>83</v>
      </c>
      <c r="H845" s="5" t="s">
        <v>1353</v>
      </c>
      <c r="I845" s="4" t="s">
        <v>2447</v>
      </c>
      <c r="J845" s="4" t="s">
        <v>131</v>
      </c>
    </row>
    <row r="846" customFormat="false" ht="15" hidden="false" customHeight="false" outlineLevel="0" collapsed="false">
      <c r="A846" s="5" t="n">
        <v>43886</v>
      </c>
      <c r="B846" s="5" t="s">
        <v>85</v>
      </c>
      <c r="C846" s="5" t="s">
        <v>2448</v>
      </c>
      <c r="D846" s="4" t="s">
        <v>24</v>
      </c>
      <c r="E846" s="4" t="s">
        <v>1351</v>
      </c>
      <c r="F846" s="4" t="s">
        <v>1352</v>
      </c>
      <c r="G846" s="5" t="n">
        <v>158</v>
      </c>
      <c r="H846" s="5" t="s">
        <v>1353</v>
      </c>
      <c r="I846" s="4" t="s">
        <v>2449</v>
      </c>
      <c r="J846" s="4" t="s">
        <v>131</v>
      </c>
    </row>
    <row r="847" customFormat="false" ht="15" hidden="false" customHeight="false" outlineLevel="0" collapsed="false">
      <c r="A847" s="5" t="n">
        <v>42001</v>
      </c>
      <c r="B847" s="5" t="s">
        <v>85</v>
      </c>
      <c r="C847" s="5" t="s">
        <v>1521</v>
      </c>
      <c r="D847" s="4" t="s">
        <v>18</v>
      </c>
      <c r="E847" s="4" t="s">
        <v>1351</v>
      </c>
      <c r="F847" s="4" t="s">
        <v>1356</v>
      </c>
      <c r="G847" s="5" t="n">
        <v>100</v>
      </c>
      <c r="H847" s="5" t="s">
        <v>1353</v>
      </c>
      <c r="I847" s="4" t="s">
        <v>2450</v>
      </c>
      <c r="J847" s="4" t="s">
        <v>131</v>
      </c>
    </row>
    <row r="848" customFormat="false" ht="15" hidden="false" customHeight="false" outlineLevel="0" collapsed="false">
      <c r="A848" s="5" t="n">
        <v>36235</v>
      </c>
      <c r="B848" s="5" t="s">
        <v>85</v>
      </c>
      <c r="C848" s="5" t="s">
        <v>1025</v>
      </c>
      <c r="D848" s="4" t="s">
        <v>18</v>
      </c>
      <c r="E848" s="4" t="s">
        <v>1351</v>
      </c>
      <c r="F848" s="4" t="s">
        <v>1671</v>
      </c>
      <c r="G848" s="5" t="n">
        <v>149</v>
      </c>
      <c r="H848" s="5" t="s">
        <v>1353</v>
      </c>
      <c r="I848" s="4" t="s">
        <v>2451</v>
      </c>
      <c r="J848" s="4" t="s">
        <v>131</v>
      </c>
    </row>
    <row r="849" customFormat="false" ht="15" hidden="false" customHeight="false" outlineLevel="0" collapsed="false">
      <c r="A849" s="5" t="n">
        <v>40530</v>
      </c>
      <c r="B849" s="5" t="s">
        <v>85</v>
      </c>
      <c r="C849" s="5" t="s">
        <v>1029</v>
      </c>
      <c r="D849" s="4" t="s">
        <v>18</v>
      </c>
      <c r="E849" s="4" t="s">
        <v>1351</v>
      </c>
      <c r="F849" s="4" t="s">
        <v>1671</v>
      </c>
      <c r="G849" s="5" t="n">
        <v>82</v>
      </c>
      <c r="H849" s="5" t="s">
        <v>1353</v>
      </c>
      <c r="I849" s="4" t="s">
        <v>2452</v>
      </c>
      <c r="J849" s="4" t="s">
        <v>131</v>
      </c>
    </row>
    <row r="850" customFormat="false" ht="15" hidden="false" customHeight="false" outlineLevel="0" collapsed="false">
      <c r="A850" s="5" t="n">
        <v>43884</v>
      </c>
      <c r="B850" s="5" t="s">
        <v>85</v>
      </c>
      <c r="C850" s="5" t="s">
        <v>1146</v>
      </c>
      <c r="D850" s="4" t="s">
        <v>18</v>
      </c>
      <c r="E850" s="4" t="s">
        <v>1351</v>
      </c>
      <c r="F850" s="4" t="s">
        <v>1352</v>
      </c>
      <c r="G850" s="5" t="n">
        <v>92</v>
      </c>
      <c r="H850" s="5" t="s">
        <v>1353</v>
      </c>
      <c r="I850" s="4" t="s">
        <v>2453</v>
      </c>
      <c r="J850" s="4" t="s">
        <v>131</v>
      </c>
    </row>
    <row r="851" customFormat="false" ht="15" hidden="false" customHeight="false" outlineLevel="0" collapsed="false">
      <c r="A851" s="5" t="n">
        <v>38220</v>
      </c>
      <c r="B851" s="5" t="s">
        <v>85</v>
      </c>
      <c r="C851" s="5" t="s">
        <v>1561</v>
      </c>
      <c r="D851" s="4" t="s">
        <v>20</v>
      </c>
      <c r="E851" s="4" t="s">
        <v>1351</v>
      </c>
      <c r="F851" s="4" t="s">
        <v>1352</v>
      </c>
      <c r="G851" s="5" t="n">
        <v>57</v>
      </c>
      <c r="H851" s="5" t="s">
        <v>1353</v>
      </c>
      <c r="I851" s="4" t="s">
        <v>2454</v>
      </c>
      <c r="J851" s="4" t="s">
        <v>131</v>
      </c>
    </row>
    <row r="852" customFormat="false" ht="15" hidden="false" customHeight="false" outlineLevel="0" collapsed="false">
      <c r="A852" s="5" t="n">
        <v>41074</v>
      </c>
      <c r="B852" s="5" t="s">
        <v>85</v>
      </c>
      <c r="C852" s="5" t="s">
        <v>212</v>
      </c>
      <c r="D852" s="4" t="s">
        <v>20</v>
      </c>
      <c r="E852" s="4" t="s">
        <v>1351</v>
      </c>
      <c r="F852" s="4" t="s">
        <v>1356</v>
      </c>
      <c r="G852" s="5" t="n">
        <v>62</v>
      </c>
      <c r="H852" s="5" t="s">
        <v>1353</v>
      </c>
      <c r="I852" s="4" t="s">
        <v>2455</v>
      </c>
      <c r="J852" s="4" t="s">
        <v>131</v>
      </c>
    </row>
    <row r="853" customFormat="false" ht="15" hidden="false" customHeight="false" outlineLevel="0" collapsed="false">
      <c r="A853" s="5" t="n">
        <v>43803</v>
      </c>
      <c r="B853" s="5" t="s">
        <v>85</v>
      </c>
      <c r="C853" s="5" t="s">
        <v>217</v>
      </c>
      <c r="D853" s="4" t="s">
        <v>20</v>
      </c>
      <c r="E853" s="4" t="s">
        <v>1351</v>
      </c>
      <c r="F853" s="4" t="s">
        <v>1352</v>
      </c>
      <c r="G853" s="5" t="n">
        <v>34</v>
      </c>
      <c r="H853" s="5" t="s">
        <v>1397</v>
      </c>
      <c r="I853" s="4" t="s">
        <v>2456</v>
      </c>
      <c r="J853" s="4" t="s">
        <v>132</v>
      </c>
    </row>
    <row r="854" customFormat="false" ht="15" hidden="false" customHeight="false" outlineLevel="0" collapsed="false">
      <c r="A854" s="5" t="n">
        <v>40514</v>
      </c>
      <c r="B854" s="5" t="s">
        <v>85</v>
      </c>
      <c r="C854" s="5" t="s">
        <v>2457</v>
      </c>
      <c r="D854" s="4" t="s">
        <v>20</v>
      </c>
      <c r="E854" s="4" t="s">
        <v>1351</v>
      </c>
      <c r="F854" s="4" t="s">
        <v>1356</v>
      </c>
      <c r="G854" s="5" t="n">
        <v>73</v>
      </c>
      <c r="H854" s="5" t="s">
        <v>1353</v>
      </c>
      <c r="I854" s="4" t="s">
        <v>2458</v>
      </c>
      <c r="J854" s="4" t="s">
        <v>131</v>
      </c>
    </row>
    <row r="855" customFormat="false" ht="15" hidden="false" customHeight="false" outlineLevel="0" collapsed="false">
      <c r="A855" s="5" t="n">
        <v>43888</v>
      </c>
      <c r="B855" s="5" t="s">
        <v>85</v>
      </c>
      <c r="C855" s="5" t="s">
        <v>364</v>
      </c>
      <c r="D855" s="4" t="s">
        <v>20</v>
      </c>
      <c r="E855" s="4" t="s">
        <v>1351</v>
      </c>
      <c r="F855" s="4" t="s">
        <v>1368</v>
      </c>
      <c r="G855" s="5" t="n">
        <v>50</v>
      </c>
      <c r="H855" s="5" t="s">
        <v>1353</v>
      </c>
      <c r="I855" s="4" t="s">
        <v>2459</v>
      </c>
      <c r="J855" s="4" t="s">
        <v>131</v>
      </c>
    </row>
    <row r="856" customFormat="false" ht="15" hidden="false" customHeight="false" outlineLevel="0" collapsed="false">
      <c r="A856" s="5" t="n">
        <v>43892</v>
      </c>
      <c r="B856" s="5" t="s">
        <v>85</v>
      </c>
      <c r="C856" s="5" t="s">
        <v>2460</v>
      </c>
      <c r="D856" s="4" t="s">
        <v>30</v>
      </c>
      <c r="E856" s="4" t="s">
        <v>1351</v>
      </c>
      <c r="F856" s="4" t="s">
        <v>1352</v>
      </c>
      <c r="G856" s="5" t="n">
        <v>53</v>
      </c>
      <c r="H856" s="5" t="s">
        <v>1353</v>
      </c>
      <c r="I856" s="4" t="s">
        <v>2461</v>
      </c>
      <c r="J856" s="4" t="s">
        <v>131</v>
      </c>
    </row>
    <row r="857" customFormat="false" ht="15" hidden="false" customHeight="false" outlineLevel="0" collapsed="false">
      <c r="A857" s="5" t="n">
        <v>43893</v>
      </c>
      <c r="B857" s="5" t="s">
        <v>85</v>
      </c>
      <c r="C857" s="5" t="s">
        <v>2462</v>
      </c>
      <c r="D857" s="4" t="s">
        <v>30</v>
      </c>
      <c r="E857" s="4" t="s">
        <v>1351</v>
      </c>
      <c r="F857" s="4" t="s">
        <v>1352</v>
      </c>
      <c r="G857" s="5" t="n">
        <v>58</v>
      </c>
      <c r="H857" s="5" t="s">
        <v>1353</v>
      </c>
      <c r="I857" s="4" t="s">
        <v>2463</v>
      </c>
      <c r="J857" s="4" t="s">
        <v>131</v>
      </c>
    </row>
    <row r="858" customFormat="false" ht="15" hidden="false" customHeight="false" outlineLevel="0" collapsed="false">
      <c r="A858" s="5" t="n">
        <v>43894</v>
      </c>
      <c r="B858" s="5" t="s">
        <v>85</v>
      </c>
      <c r="C858" s="5" t="s">
        <v>2464</v>
      </c>
      <c r="D858" s="4" t="s">
        <v>30</v>
      </c>
      <c r="E858" s="4" t="s">
        <v>1351</v>
      </c>
      <c r="F858" s="4" t="s">
        <v>1352</v>
      </c>
      <c r="G858" s="5" t="n">
        <v>99</v>
      </c>
      <c r="H858" s="5" t="s">
        <v>1353</v>
      </c>
      <c r="I858" s="4" t="s">
        <v>2465</v>
      </c>
      <c r="J858" s="4" t="s">
        <v>131</v>
      </c>
    </row>
    <row r="859" customFormat="false" ht="15" hidden="false" customHeight="false" outlineLevel="0" collapsed="false">
      <c r="A859" s="5" t="n">
        <v>43895</v>
      </c>
      <c r="B859" s="5" t="s">
        <v>85</v>
      </c>
      <c r="C859" s="5" t="s">
        <v>1793</v>
      </c>
      <c r="D859" s="4" t="s">
        <v>30</v>
      </c>
      <c r="E859" s="4" t="s">
        <v>1351</v>
      </c>
      <c r="F859" s="4" t="s">
        <v>1356</v>
      </c>
      <c r="G859" s="5" t="n">
        <v>87</v>
      </c>
      <c r="H859" s="5" t="s">
        <v>1353</v>
      </c>
      <c r="I859" s="4" t="s">
        <v>2466</v>
      </c>
      <c r="J859" s="4" t="s">
        <v>131</v>
      </c>
    </row>
    <row r="860" customFormat="false" ht="15" hidden="false" customHeight="false" outlineLevel="0" collapsed="false">
      <c r="A860" s="5" t="n">
        <v>43896</v>
      </c>
      <c r="B860" s="5" t="s">
        <v>85</v>
      </c>
      <c r="C860" s="5" t="s">
        <v>578</v>
      </c>
      <c r="D860" s="4" t="s">
        <v>30</v>
      </c>
      <c r="E860" s="4" t="s">
        <v>1351</v>
      </c>
      <c r="F860" s="4" t="s">
        <v>1356</v>
      </c>
      <c r="G860" s="5" t="n">
        <v>51</v>
      </c>
      <c r="H860" s="5" t="s">
        <v>1353</v>
      </c>
      <c r="I860" s="4" t="s">
        <v>2467</v>
      </c>
      <c r="J860" s="4" t="s">
        <v>131</v>
      </c>
    </row>
    <row r="861" customFormat="false" ht="15" hidden="false" customHeight="false" outlineLevel="0" collapsed="false">
      <c r="A861" s="5" t="n">
        <v>43897</v>
      </c>
      <c r="B861" s="5" t="s">
        <v>85</v>
      </c>
      <c r="C861" s="5" t="s">
        <v>2468</v>
      </c>
      <c r="D861" s="4" t="s">
        <v>30</v>
      </c>
      <c r="E861" s="4" t="s">
        <v>1351</v>
      </c>
      <c r="F861" s="4" t="s">
        <v>1352</v>
      </c>
      <c r="G861" s="5" t="n">
        <v>49</v>
      </c>
      <c r="H861" s="5" t="s">
        <v>1353</v>
      </c>
      <c r="I861" s="4" t="s">
        <v>2469</v>
      </c>
      <c r="J861" s="4" t="s">
        <v>131</v>
      </c>
    </row>
    <row r="862" customFormat="false" ht="15" hidden="false" customHeight="false" outlineLevel="0" collapsed="false">
      <c r="A862" s="5" t="n">
        <v>43213</v>
      </c>
      <c r="B862" s="5" t="s">
        <v>85</v>
      </c>
      <c r="C862" s="5" t="s">
        <v>2470</v>
      </c>
      <c r="D862" s="4" t="s">
        <v>28</v>
      </c>
      <c r="E862" s="4" t="s">
        <v>1351</v>
      </c>
      <c r="F862" s="4" t="s">
        <v>1352</v>
      </c>
      <c r="G862" s="5" t="n">
        <v>121</v>
      </c>
      <c r="H862" s="5" t="s">
        <v>1353</v>
      </c>
      <c r="I862" s="4" t="s">
        <v>2471</v>
      </c>
      <c r="J862" s="4" t="s">
        <v>131</v>
      </c>
    </row>
    <row r="863" customFormat="false" ht="15" hidden="false" customHeight="false" outlineLevel="0" collapsed="false">
      <c r="A863" s="5" t="n">
        <v>41397</v>
      </c>
      <c r="B863" s="5" t="s">
        <v>85</v>
      </c>
      <c r="C863" s="5" t="s">
        <v>2433</v>
      </c>
      <c r="D863" s="4" t="s">
        <v>28</v>
      </c>
      <c r="E863" s="4" t="s">
        <v>1351</v>
      </c>
      <c r="F863" s="4" t="s">
        <v>1356</v>
      </c>
      <c r="G863" s="5" t="n">
        <v>119</v>
      </c>
      <c r="H863" s="5" t="s">
        <v>1353</v>
      </c>
      <c r="I863" s="4" t="s">
        <v>2472</v>
      </c>
      <c r="J863" s="4" t="s">
        <v>131</v>
      </c>
    </row>
    <row r="864" customFormat="false" ht="15" hidden="false" customHeight="false" outlineLevel="0" collapsed="false">
      <c r="A864" s="5" t="n">
        <v>34152</v>
      </c>
      <c r="B864" s="5" t="s">
        <v>85</v>
      </c>
      <c r="C864" s="5" t="s">
        <v>256</v>
      </c>
      <c r="D864" s="4" t="s">
        <v>28</v>
      </c>
      <c r="E864" s="4" t="s">
        <v>1351</v>
      </c>
      <c r="F864" s="4" t="s">
        <v>1356</v>
      </c>
      <c r="G864" s="5" t="n">
        <v>92</v>
      </c>
      <c r="H864" s="5" t="s">
        <v>1353</v>
      </c>
      <c r="I864" s="4" t="s">
        <v>2473</v>
      </c>
      <c r="J864" s="4" t="s">
        <v>131</v>
      </c>
    </row>
    <row r="865" customFormat="false" ht="15" hidden="false" customHeight="false" outlineLevel="0" collapsed="false">
      <c r="A865" s="5" t="n">
        <v>43898</v>
      </c>
      <c r="B865" s="5" t="s">
        <v>85</v>
      </c>
      <c r="C865" s="5" t="s">
        <v>1276</v>
      </c>
      <c r="D865" s="4" t="s">
        <v>32</v>
      </c>
      <c r="E865" s="4" t="s">
        <v>1351</v>
      </c>
      <c r="F865" s="4" t="s">
        <v>1352</v>
      </c>
      <c r="G865" s="5" t="n">
        <v>130</v>
      </c>
      <c r="H865" s="5" t="s">
        <v>1353</v>
      </c>
      <c r="I865" s="4" t="s">
        <v>2474</v>
      </c>
      <c r="J865" s="4" t="s">
        <v>131</v>
      </c>
    </row>
    <row r="866" customFormat="false" ht="15" hidden="false" customHeight="false" outlineLevel="0" collapsed="false">
      <c r="A866" s="5" t="n">
        <v>43899</v>
      </c>
      <c r="B866" s="5" t="s">
        <v>85</v>
      </c>
      <c r="C866" s="5" t="s">
        <v>2475</v>
      </c>
      <c r="D866" s="4" t="s">
        <v>32</v>
      </c>
      <c r="E866" s="4" t="s">
        <v>1351</v>
      </c>
      <c r="F866" s="4" t="s">
        <v>1352</v>
      </c>
      <c r="G866" s="5" t="n">
        <v>62</v>
      </c>
      <c r="H866" s="5" t="s">
        <v>1353</v>
      </c>
      <c r="I866" s="4" t="s">
        <v>2476</v>
      </c>
      <c r="J866" s="4" t="s">
        <v>131</v>
      </c>
    </row>
    <row r="867" customFormat="false" ht="15" hidden="false" customHeight="false" outlineLevel="0" collapsed="false">
      <c r="A867" s="5" t="n">
        <v>41590</v>
      </c>
      <c r="B867" s="5" t="s">
        <v>85</v>
      </c>
      <c r="C867" s="5" t="s">
        <v>1796</v>
      </c>
      <c r="D867" s="4" t="s">
        <v>32</v>
      </c>
      <c r="E867" s="4" t="s">
        <v>1351</v>
      </c>
      <c r="F867" s="4" t="s">
        <v>1352</v>
      </c>
      <c r="G867" s="5" t="n">
        <v>78</v>
      </c>
      <c r="H867" s="5" t="s">
        <v>1353</v>
      </c>
      <c r="I867" s="4" t="s">
        <v>2477</v>
      </c>
      <c r="J867" s="4" t="s">
        <v>131</v>
      </c>
    </row>
    <row r="868" customFormat="false" ht="15" hidden="false" customHeight="false" outlineLevel="0" collapsed="false">
      <c r="A868" s="5" t="n">
        <v>43900</v>
      </c>
      <c r="B868" s="5" t="s">
        <v>85</v>
      </c>
      <c r="C868" s="5" t="s">
        <v>2478</v>
      </c>
      <c r="D868" s="4" t="s">
        <v>32</v>
      </c>
      <c r="E868" s="4" t="s">
        <v>1351</v>
      </c>
      <c r="F868" s="4" t="s">
        <v>1352</v>
      </c>
      <c r="G868" s="5" t="n">
        <v>52</v>
      </c>
      <c r="H868" s="5" t="s">
        <v>1353</v>
      </c>
      <c r="I868" s="4" t="s">
        <v>2479</v>
      </c>
      <c r="J868" s="4" t="s">
        <v>131</v>
      </c>
    </row>
    <row r="869" customFormat="false" ht="15" hidden="false" customHeight="false" outlineLevel="0" collapsed="false">
      <c r="A869" s="5" t="n">
        <v>43902</v>
      </c>
      <c r="B869" s="5" t="s">
        <v>85</v>
      </c>
      <c r="C869" s="5" t="s">
        <v>681</v>
      </c>
      <c r="D869" s="4" t="s">
        <v>32</v>
      </c>
      <c r="E869" s="4" t="s">
        <v>1351</v>
      </c>
      <c r="F869" s="4" t="s">
        <v>1352</v>
      </c>
      <c r="G869" s="5" t="n">
        <v>92</v>
      </c>
      <c r="H869" s="5" t="s">
        <v>1353</v>
      </c>
      <c r="I869" s="4" t="s">
        <v>2480</v>
      </c>
      <c r="J869" s="4" t="s">
        <v>131</v>
      </c>
    </row>
    <row r="870" customFormat="false" ht="15" hidden="false" customHeight="false" outlineLevel="0" collapsed="false">
      <c r="A870" s="5" t="n">
        <v>8412</v>
      </c>
      <c r="B870" s="5" t="s">
        <v>85</v>
      </c>
      <c r="C870" s="5" t="s">
        <v>1475</v>
      </c>
      <c r="D870" s="4" t="s">
        <v>28</v>
      </c>
      <c r="E870" s="4" t="s">
        <v>1351</v>
      </c>
      <c r="F870" s="4" t="s">
        <v>1356</v>
      </c>
      <c r="G870" s="5" t="n">
        <v>88</v>
      </c>
      <c r="H870" s="5" t="s">
        <v>1353</v>
      </c>
      <c r="I870" s="4" t="s">
        <v>2481</v>
      </c>
      <c r="J870" s="4" t="s">
        <v>131</v>
      </c>
    </row>
    <row r="871" customFormat="false" ht="15" hidden="false" customHeight="false" outlineLevel="0" collapsed="false">
      <c r="A871" s="5" t="n">
        <v>41700</v>
      </c>
      <c r="B871" s="5" t="s">
        <v>85</v>
      </c>
      <c r="C871" s="5" t="s">
        <v>2482</v>
      </c>
      <c r="D871" s="4" t="s">
        <v>24</v>
      </c>
      <c r="E871" s="4" t="s">
        <v>1351</v>
      </c>
      <c r="F871" s="4" t="s">
        <v>1377</v>
      </c>
      <c r="G871" s="5" t="n">
        <v>60</v>
      </c>
      <c r="H871" s="5" t="s">
        <v>1353</v>
      </c>
      <c r="I871" s="4" t="s">
        <v>2483</v>
      </c>
      <c r="J871" s="4" t="s">
        <v>131</v>
      </c>
    </row>
    <row r="872" customFormat="false" ht="15" hidden="false" customHeight="false" outlineLevel="0" collapsed="false">
      <c r="A872" s="5" t="n">
        <v>43904</v>
      </c>
      <c r="B872" s="5" t="s">
        <v>85</v>
      </c>
      <c r="C872" s="5" t="s">
        <v>2484</v>
      </c>
      <c r="D872" s="4" t="s">
        <v>24</v>
      </c>
      <c r="E872" s="4" t="s">
        <v>1351</v>
      </c>
      <c r="F872" s="4" t="s">
        <v>1352</v>
      </c>
      <c r="G872" s="5" t="n">
        <v>64</v>
      </c>
      <c r="H872" s="5" t="s">
        <v>1353</v>
      </c>
      <c r="I872" s="4" t="s">
        <v>1710</v>
      </c>
      <c r="J872" s="4" t="s">
        <v>131</v>
      </c>
    </row>
    <row r="873" customFormat="false" ht="15" hidden="false" customHeight="false" outlineLevel="0" collapsed="false">
      <c r="A873" s="5" t="n">
        <v>43547</v>
      </c>
      <c r="B873" s="5" t="s">
        <v>86</v>
      </c>
      <c r="C873" s="5" t="s">
        <v>1685</v>
      </c>
      <c r="D873" s="4" t="s">
        <v>22</v>
      </c>
      <c r="E873" s="4" t="s">
        <v>1351</v>
      </c>
      <c r="F873" s="4" t="s">
        <v>1370</v>
      </c>
      <c r="G873" s="5" t="n">
        <v>42</v>
      </c>
      <c r="H873" s="5" t="s">
        <v>1353</v>
      </c>
      <c r="I873" s="4" t="s">
        <v>2485</v>
      </c>
      <c r="J873" s="4" t="s">
        <v>131</v>
      </c>
    </row>
    <row r="874" customFormat="false" ht="15" hidden="false" customHeight="false" outlineLevel="0" collapsed="false">
      <c r="A874" s="5" t="n">
        <v>43579</v>
      </c>
      <c r="B874" s="5" t="s">
        <v>86</v>
      </c>
      <c r="C874" s="5" t="s">
        <v>1685</v>
      </c>
      <c r="D874" s="4" t="s">
        <v>22</v>
      </c>
      <c r="E874" s="4" t="s">
        <v>1351</v>
      </c>
      <c r="F874" s="4" t="s">
        <v>1370</v>
      </c>
      <c r="G874" s="5" t="n">
        <v>47</v>
      </c>
      <c r="H874" s="5" t="s">
        <v>1353</v>
      </c>
      <c r="I874" s="4" t="s">
        <v>2486</v>
      </c>
      <c r="J874" s="4" t="s">
        <v>131</v>
      </c>
    </row>
    <row r="875" customFormat="false" ht="15" hidden="false" customHeight="false" outlineLevel="0" collapsed="false">
      <c r="A875" s="5" t="n">
        <v>41364</v>
      </c>
      <c r="B875" s="5" t="s">
        <v>86</v>
      </c>
      <c r="C875" s="5" t="s">
        <v>2487</v>
      </c>
      <c r="D875" s="4" t="s">
        <v>22</v>
      </c>
      <c r="E875" s="4" t="s">
        <v>1351</v>
      </c>
      <c r="F875" s="4" t="s">
        <v>1368</v>
      </c>
      <c r="G875" s="5" t="n">
        <v>45</v>
      </c>
      <c r="H875" s="5" t="s">
        <v>1353</v>
      </c>
      <c r="I875" s="4" t="s">
        <v>2488</v>
      </c>
      <c r="J875" s="4" t="s">
        <v>131</v>
      </c>
    </row>
    <row r="876" customFormat="false" ht="15" hidden="false" customHeight="false" outlineLevel="0" collapsed="false">
      <c r="A876" s="5" t="n">
        <v>43927</v>
      </c>
      <c r="B876" s="5" t="s">
        <v>86</v>
      </c>
      <c r="C876" s="5" t="s">
        <v>1385</v>
      </c>
      <c r="D876" s="4" t="s">
        <v>32</v>
      </c>
      <c r="E876" s="4" t="s">
        <v>1351</v>
      </c>
      <c r="F876" s="4" t="s">
        <v>1352</v>
      </c>
      <c r="G876" s="5" t="n">
        <v>117</v>
      </c>
      <c r="H876" s="5" t="s">
        <v>1353</v>
      </c>
      <c r="I876" s="4" t="s">
        <v>2489</v>
      </c>
      <c r="J876" s="4" t="s">
        <v>131</v>
      </c>
    </row>
    <row r="877" customFormat="false" ht="15" hidden="false" customHeight="false" outlineLevel="0" collapsed="false">
      <c r="A877" s="5" t="n">
        <v>43931</v>
      </c>
      <c r="B877" s="5" t="s">
        <v>86</v>
      </c>
      <c r="C877" s="5" t="s">
        <v>1329</v>
      </c>
      <c r="D877" s="4" t="s">
        <v>24</v>
      </c>
      <c r="E877" s="4" t="s">
        <v>1351</v>
      </c>
      <c r="F877" s="4" t="s">
        <v>1356</v>
      </c>
      <c r="G877" s="5" t="n">
        <v>142</v>
      </c>
      <c r="H877" s="5" t="s">
        <v>1353</v>
      </c>
      <c r="I877" s="4" t="s">
        <v>2490</v>
      </c>
      <c r="J877" s="4" t="s">
        <v>131</v>
      </c>
    </row>
    <row r="878" customFormat="false" ht="15" hidden="false" customHeight="false" outlineLevel="0" collapsed="false">
      <c r="A878" s="5" t="n">
        <v>43054</v>
      </c>
      <c r="B878" s="5" t="s">
        <v>86</v>
      </c>
      <c r="C878" s="5" t="s">
        <v>2195</v>
      </c>
      <c r="D878" s="4" t="s">
        <v>34</v>
      </c>
      <c r="E878" s="4" t="s">
        <v>1351</v>
      </c>
      <c r="F878" s="4" t="s">
        <v>1368</v>
      </c>
      <c r="G878" s="5" t="n">
        <v>65</v>
      </c>
      <c r="H878" s="5" t="s">
        <v>1353</v>
      </c>
      <c r="I878" s="4" t="s">
        <v>2491</v>
      </c>
      <c r="J878" s="4" t="s">
        <v>131</v>
      </c>
    </row>
    <row r="879" customFormat="false" ht="15" hidden="false" customHeight="false" outlineLevel="0" collapsed="false">
      <c r="A879" s="5" t="n">
        <v>40690</v>
      </c>
      <c r="B879" s="5" t="s">
        <v>86</v>
      </c>
      <c r="C879" s="5" t="s">
        <v>1149</v>
      </c>
      <c r="D879" s="4" t="s">
        <v>20</v>
      </c>
      <c r="E879" s="4" t="s">
        <v>1351</v>
      </c>
      <c r="F879" s="4" t="s">
        <v>1352</v>
      </c>
      <c r="G879" s="5" t="n">
        <v>50</v>
      </c>
      <c r="H879" s="5" t="s">
        <v>1353</v>
      </c>
      <c r="I879" s="4" t="s">
        <v>2492</v>
      </c>
      <c r="J879" s="4" t="s">
        <v>131</v>
      </c>
    </row>
    <row r="880" customFormat="false" ht="15" hidden="false" customHeight="false" outlineLevel="0" collapsed="false">
      <c r="A880" s="5" t="n">
        <v>43932</v>
      </c>
      <c r="B880" s="5" t="s">
        <v>86</v>
      </c>
      <c r="C880" s="5" t="s">
        <v>1867</v>
      </c>
      <c r="D880" s="4" t="s">
        <v>20</v>
      </c>
      <c r="E880" s="4" t="s">
        <v>1351</v>
      </c>
      <c r="F880" s="4" t="s">
        <v>1356</v>
      </c>
      <c r="G880" s="5" t="n">
        <v>50</v>
      </c>
      <c r="H880" s="5" t="s">
        <v>1353</v>
      </c>
      <c r="I880" s="4" t="s">
        <v>2493</v>
      </c>
      <c r="J880" s="4" t="s">
        <v>131</v>
      </c>
    </row>
    <row r="881" customFormat="false" ht="15" hidden="false" customHeight="false" outlineLevel="0" collapsed="false">
      <c r="A881" s="5" t="n">
        <v>43932</v>
      </c>
      <c r="B881" s="5" t="s">
        <v>86</v>
      </c>
      <c r="C881" s="5" t="s">
        <v>1867</v>
      </c>
      <c r="D881" s="4" t="s">
        <v>20</v>
      </c>
      <c r="E881" s="4" t="s">
        <v>1351</v>
      </c>
      <c r="F881" s="4" t="s">
        <v>1377</v>
      </c>
      <c r="G881" s="5" t="n">
        <v>10</v>
      </c>
      <c r="H881" s="5" t="s">
        <v>1419</v>
      </c>
      <c r="I881" s="4" t="s">
        <v>1427</v>
      </c>
      <c r="J881" s="4" t="s">
        <v>133</v>
      </c>
    </row>
    <row r="882" customFormat="false" ht="15" hidden="false" customHeight="false" outlineLevel="0" collapsed="false">
      <c r="A882" s="5" t="n">
        <v>40337</v>
      </c>
      <c r="B882" s="5" t="s">
        <v>86</v>
      </c>
      <c r="C882" s="5" t="s">
        <v>1708</v>
      </c>
      <c r="D882" s="4" t="s">
        <v>20</v>
      </c>
      <c r="E882" s="4" t="s">
        <v>1351</v>
      </c>
      <c r="F882" s="4" t="s">
        <v>1356</v>
      </c>
      <c r="G882" s="5" t="n">
        <v>47</v>
      </c>
      <c r="H882" s="5" t="s">
        <v>1353</v>
      </c>
      <c r="I882" s="4" t="s">
        <v>2494</v>
      </c>
      <c r="J882" s="4" t="s">
        <v>131</v>
      </c>
    </row>
    <row r="883" customFormat="false" ht="15" hidden="false" customHeight="false" outlineLevel="0" collapsed="false">
      <c r="A883" s="5" t="n">
        <v>40337</v>
      </c>
      <c r="B883" s="5" t="s">
        <v>86</v>
      </c>
      <c r="C883" s="5" t="s">
        <v>1708</v>
      </c>
      <c r="D883" s="4" t="s">
        <v>20</v>
      </c>
      <c r="E883" s="4" t="s">
        <v>1351</v>
      </c>
      <c r="F883" s="4" t="s">
        <v>1377</v>
      </c>
      <c r="G883" s="5" t="n">
        <v>10</v>
      </c>
      <c r="H883" s="5" t="s">
        <v>1419</v>
      </c>
      <c r="I883" s="4" t="s">
        <v>1427</v>
      </c>
      <c r="J883" s="4" t="s">
        <v>133</v>
      </c>
    </row>
    <row r="884" customFormat="false" ht="15" hidden="false" customHeight="false" outlineLevel="0" collapsed="false">
      <c r="A884" s="5" t="n">
        <v>43725</v>
      </c>
      <c r="B884" s="5" t="s">
        <v>86</v>
      </c>
      <c r="C884" s="5" t="s">
        <v>1606</v>
      </c>
      <c r="D884" s="4" t="s">
        <v>34</v>
      </c>
      <c r="E884" s="4" t="s">
        <v>1351</v>
      </c>
      <c r="F884" s="4" t="s">
        <v>1370</v>
      </c>
      <c r="G884" s="5" t="n">
        <v>62</v>
      </c>
      <c r="H884" s="5" t="s">
        <v>1353</v>
      </c>
      <c r="I884" s="4" t="s">
        <v>2495</v>
      </c>
      <c r="J884" s="4" t="s">
        <v>131</v>
      </c>
    </row>
    <row r="885" customFormat="false" ht="15" hidden="false" customHeight="false" outlineLevel="0" collapsed="false">
      <c r="A885" s="5" t="n">
        <v>43725</v>
      </c>
      <c r="B885" s="5" t="s">
        <v>86</v>
      </c>
      <c r="C885" s="5" t="s">
        <v>1606</v>
      </c>
      <c r="D885" s="4" t="s">
        <v>34</v>
      </c>
      <c r="E885" s="4" t="s">
        <v>1351</v>
      </c>
      <c r="F885" s="4" t="s">
        <v>1377</v>
      </c>
      <c r="G885" s="5" t="n">
        <v>10</v>
      </c>
      <c r="H885" s="5" t="s">
        <v>1419</v>
      </c>
      <c r="I885" s="4" t="s">
        <v>1427</v>
      </c>
      <c r="J885" s="4" t="s">
        <v>133</v>
      </c>
    </row>
    <row r="886" customFormat="false" ht="15" hidden="false" customHeight="false" outlineLevel="0" collapsed="false">
      <c r="A886" s="5" t="n">
        <v>43933</v>
      </c>
      <c r="B886" s="5" t="s">
        <v>86</v>
      </c>
      <c r="C886" s="5" t="s">
        <v>2149</v>
      </c>
      <c r="D886" s="4" t="s">
        <v>18</v>
      </c>
      <c r="E886" s="4" t="s">
        <v>1351</v>
      </c>
      <c r="F886" s="4" t="s">
        <v>1671</v>
      </c>
      <c r="G886" s="5" t="n">
        <v>102</v>
      </c>
      <c r="H886" s="5" t="s">
        <v>1353</v>
      </c>
      <c r="I886" s="4" t="s">
        <v>2496</v>
      </c>
      <c r="J886" s="4" t="s">
        <v>131</v>
      </c>
    </row>
    <row r="887" customFormat="false" ht="15" hidden="false" customHeight="false" outlineLevel="0" collapsed="false">
      <c r="A887" s="5" t="n">
        <v>43936</v>
      </c>
      <c r="B887" s="5" t="s">
        <v>86</v>
      </c>
      <c r="C887" s="5" t="s">
        <v>1302</v>
      </c>
      <c r="D887" s="4" t="s">
        <v>18</v>
      </c>
      <c r="E887" s="4" t="s">
        <v>1351</v>
      </c>
      <c r="F887" s="4" t="s">
        <v>1671</v>
      </c>
      <c r="G887" s="5" t="n">
        <v>78</v>
      </c>
      <c r="H887" s="5" t="s">
        <v>1353</v>
      </c>
      <c r="I887" s="4" t="s">
        <v>2497</v>
      </c>
      <c r="J887" s="4" t="s">
        <v>131</v>
      </c>
    </row>
    <row r="888" customFormat="false" ht="15" hidden="false" customHeight="false" outlineLevel="0" collapsed="false">
      <c r="A888" s="5" t="n">
        <v>43938</v>
      </c>
      <c r="B888" s="5" t="s">
        <v>86</v>
      </c>
      <c r="C888" s="5" t="s">
        <v>413</v>
      </c>
      <c r="D888" s="4" t="s">
        <v>18</v>
      </c>
      <c r="E888" s="4" t="s">
        <v>1351</v>
      </c>
      <c r="F888" s="4" t="s">
        <v>1352</v>
      </c>
      <c r="G888" s="5" t="n">
        <v>139</v>
      </c>
      <c r="H888" s="5" t="s">
        <v>1353</v>
      </c>
      <c r="I888" s="4" t="s">
        <v>2498</v>
      </c>
      <c r="J888" s="4" t="s">
        <v>131</v>
      </c>
    </row>
    <row r="889" customFormat="false" ht="15" hidden="false" customHeight="false" outlineLevel="0" collapsed="false">
      <c r="A889" s="5" t="n">
        <v>43941</v>
      </c>
      <c r="B889" s="5" t="s">
        <v>86</v>
      </c>
      <c r="C889" s="5" t="s">
        <v>921</v>
      </c>
      <c r="D889" s="4" t="s">
        <v>18</v>
      </c>
      <c r="E889" s="4" t="s">
        <v>1351</v>
      </c>
      <c r="F889" s="4" t="s">
        <v>1356</v>
      </c>
      <c r="G889" s="5" t="n">
        <v>80</v>
      </c>
      <c r="H889" s="5" t="s">
        <v>1353</v>
      </c>
      <c r="I889" s="4" t="s">
        <v>2499</v>
      </c>
      <c r="J889" s="4" t="s">
        <v>131</v>
      </c>
    </row>
    <row r="890" customFormat="false" ht="15" hidden="false" customHeight="false" outlineLevel="0" collapsed="false">
      <c r="A890" s="5" t="n">
        <v>43860</v>
      </c>
      <c r="B890" s="5" t="s">
        <v>86</v>
      </c>
      <c r="C890" s="5" t="s">
        <v>1640</v>
      </c>
      <c r="D890" s="4" t="s">
        <v>18</v>
      </c>
      <c r="E890" s="4" t="s">
        <v>1351</v>
      </c>
      <c r="F890" s="4" t="s">
        <v>1356</v>
      </c>
      <c r="G890" s="5" t="n">
        <v>89</v>
      </c>
      <c r="H890" s="5" t="s">
        <v>1353</v>
      </c>
      <c r="I890" s="4" t="s">
        <v>2500</v>
      </c>
      <c r="J890" s="4" t="s">
        <v>131</v>
      </c>
    </row>
    <row r="891" customFormat="false" ht="15" hidden="false" customHeight="false" outlineLevel="0" collapsed="false">
      <c r="A891" s="5" t="n">
        <v>41096</v>
      </c>
      <c r="B891" s="5" t="s">
        <v>86</v>
      </c>
      <c r="C891" s="5" t="s">
        <v>1168</v>
      </c>
      <c r="D891" s="4" t="s">
        <v>18</v>
      </c>
      <c r="E891" s="4" t="s">
        <v>1351</v>
      </c>
      <c r="F891" s="4" t="s">
        <v>1356</v>
      </c>
      <c r="G891" s="5" t="n">
        <v>103</v>
      </c>
      <c r="H891" s="5" t="s">
        <v>1353</v>
      </c>
      <c r="I891" s="4" t="s">
        <v>2501</v>
      </c>
      <c r="J891" s="4" t="s">
        <v>131</v>
      </c>
    </row>
    <row r="892" customFormat="false" ht="15" hidden="false" customHeight="false" outlineLevel="0" collapsed="false">
      <c r="A892" s="5" t="n">
        <v>37762</v>
      </c>
      <c r="B892" s="5" t="s">
        <v>86</v>
      </c>
      <c r="C892" s="5" t="s">
        <v>926</v>
      </c>
      <c r="D892" s="4" t="s">
        <v>18</v>
      </c>
      <c r="E892" s="4" t="s">
        <v>1351</v>
      </c>
      <c r="F892" s="4" t="s">
        <v>1368</v>
      </c>
      <c r="G892" s="5" t="n">
        <v>102</v>
      </c>
      <c r="H892" s="5" t="s">
        <v>1353</v>
      </c>
      <c r="I892" s="4" t="s">
        <v>2502</v>
      </c>
      <c r="J892" s="4" t="s">
        <v>131</v>
      </c>
    </row>
    <row r="893" customFormat="false" ht="15" hidden="false" customHeight="false" outlineLevel="0" collapsed="false">
      <c r="A893" s="5" t="n">
        <v>41221</v>
      </c>
      <c r="B893" s="5" t="s">
        <v>86</v>
      </c>
      <c r="C893" s="5" t="s">
        <v>2503</v>
      </c>
      <c r="D893" s="4" t="s">
        <v>18</v>
      </c>
      <c r="E893" s="4" t="s">
        <v>1351</v>
      </c>
      <c r="F893" s="4" t="s">
        <v>1377</v>
      </c>
      <c r="G893" s="5" t="n">
        <v>66</v>
      </c>
      <c r="H893" s="5" t="s">
        <v>1353</v>
      </c>
      <c r="I893" s="4" t="s">
        <v>2504</v>
      </c>
      <c r="J893" s="4" t="s">
        <v>131</v>
      </c>
    </row>
    <row r="894" customFormat="false" ht="15" hidden="false" customHeight="false" outlineLevel="0" collapsed="false">
      <c r="A894" s="5" t="n">
        <v>43942</v>
      </c>
      <c r="B894" s="5" t="s">
        <v>86</v>
      </c>
      <c r="C894" s="5" t="s">
        <v>351</v>
      </c>
      <c r="D894" s="4" t="s">
        <v>22</v>
      </c>
      <c r="E894" s="4" t="s">
        <v>1351</v>
      </c>
      <c r="F894" s="4" t="s">
        <v>1356</v>
      </c>
      <c r="G894" s="5" t="n">
        <v>45</v>
      </c>
      <c r="H894" s="5" t="s">
        <v>1353</v>
      </c>
      <c r="I894" s="4" t="s">
        <v>2505</v>
      </c>
      <c r="J894" s="4" t="s">
        <v>131</v>
      </c>
    </row>
    <row r="895" customFormat="false" ht="15" hidden="false" customHeight="false" outlineLevel="0" collapsed="false">
      <c r="A895" s="5" t="n">
        <v>43943</v>
      </c>
      <c r="B895" s="5" t="s">
        <v>86</v>
      </c>
      <c r="C895" s="5" t="s">
        <v>326</v>
      </c>
      <c r="D895" s="4" t="s">
        <v>32</v>
      </c>
      <c r="E895" s="4" t="s">
        <v>1351</v>
      </c>
      <c r="F895" s="4" t="s">
        <v>1352</v>
      </c>
      <c r="G895" s="5" t="n">
        <v>56</v>
      </c>
      <c r="H895" s="5" t="s">
        <v>1353</v>
      </c>
      <c r="I895" s="4" t="s">
        <v>2506</v>
      </c>
      <c r="J895" s="4" t="s">
        <v>131</v>
      </c>
    </row>
    <row r="896" customFormat="false" ht="15" hidden="false" customHeight="false" outlineLevel="0" collapsed="false">
      <c r="A896" s="5" t="n">
        <v>41952</v>
      </c>
      <c r="B896" s="5" t="s">
        <v>86</v>
      </c>
      <c r="C896" s="5" t="s">
        <v>1243</v>
      </c>
      <c r="D896" s="4" t="s">
        <v>32</v>
      </c>
      <c r="E896" s="4" t="s">
        <v>1351</v>
      </c>
      <c r="F896" s="4" t="s">
        <v>1352</v>
      </c>
      <c r="G896" s="5" t="n">
        <v>72</v>
      </c>
      <c r="H896" s="5" t="s">
        <v>1353</v>
      </c>
      <c r="I896" s="4" t="s">
        <v>2507</v>
      </c>
      <c r="J896" s="4" t="s">
        <v>131</v>
      </c>
    </row>
    <row r="897" customFormat="false" ht="15" hidden="false" customHeight="false" outlineLevel="0" collapsed="false">
      <c r="A897" s="5" t="n">
        <v>43944</v>
      </c>
      <c r="B897" s="5" t="s">
        <v>86</v>
      </c>
      <c r="C897" s="5" t="s">
        <v>558</v>
      </c>
      <c r="D897" s="4" t="s">
        <v>32</v>
      </c>
      <c r="E897" s="4" t="s">
        <v>1351</v>
      </c>
      <c r="F897" s="4" t="s">
        <v>1931</v>
      </c>
      <c r="G897" s="5" t="n">
        <v>78</v>
      </c>
      <c r="H897" s="5" t="s">
        <v>1353</v>
      </c>
      <c r="I897" s="4" t="s">
        <v>2508</v>
      </c>
      <c r="J897" s="4" t="s">
        <v>131</v>
      </c>
    </row>
    <row r="898" customFormat="false" ht="15" hidden="false" customHeight="false" outlineLevel="0" collapsed="false">
      <c r="A898" s="5" t="n">
        <v>43945</v>
      </c>
      <c r="B898" s="5" t="s">
        <v>86</v>
      </c>
      <c r="C898" s="5" t="s">
        <v>517</v>
      </c>
      <c r="D898" s="4" t="s">
        <v>30</v>
      </c>
      <c r="E898" s="4" t="s">
        <v>1351</v>
      </c>
      <c r="F898" s="4" t="s">
        <v>1356</v>
      </c>
      <c r="G898" s="5" t="n">
        <v>86</v>
      </c>
      <c r="H898" s="5" t="s">
        <v>1353</v>
      </c>
      <c r="I898" s="4" t="s">
        <v>2509</v>
      </c>
      <c r="J898" s="4" t="s">
        <v>131</v>
      </c>
    </row>
    <row r="899" customFormat="false" ht="15" hidden="false" customHeight="false" outlineLevel="0" collapsed="false">
      <c r="A899" s="5" t="n">
        <v>43945</v>
      </c>
      <c r="B899" s="5" t="s">
        <v>86</v>
      </c>
      <c r="C899" s="5" t="s">
        <v>1118</v>
      </c>
      <c r="D899" s="4" t="s">
        <v>30</v>
      </c>
      <c r="E899" s="4" t="s">
        <v>1351</v>
      </c>
      <c r="F899" s="4" t="s">
        <v>1356</v>
      </c>
      <c r="G899" s="5" t="n">
        <v>12</v>
      </c>
      <c r="H899" s="5" t="s">
        <v>1419</v>
      </c>
      <c r="I899" s="4" t="s">
        <v>1484</v>
      </c>
      <c r="J899" s="4" t="s">
        <v>133</v>
      </c>
    </row>
    <row r="900" customFormat="false" ht="15" hidden="false" customHeight="false" outlineLevel="0" collapsed="false">
      <c r="A900" s="5" t="n">
        <v>43946</v>
      </c>
      <c r="B900" s="5" t="s">
        <v>86</v>
      </c>
      <c r="C900" s="5" t="s">
        <v>521</v>
      </c>
      <c r="D900" s="4" t="s">
        <v>30</v>
      </c>
      <c r="E900" s="4" t="s">
        <v>1351</v>
      </c>
      <c r="F900" s="4" t="s">
        <v>1356</v>
      </c>
      <c r="G900" s="5" t="n">
        <v>62</v>
      </c>
      <c r="H900" s="5" t="s">
        <v>1353</v>
      </c>
      <c r="I900" s="4" t="s">
        <v>2510</v>
      </c>
      <c r="J900" s="4" t="s">
        <v>131</v>
      </c>
    </row>
    <row r="901" customFormat="false" ht="15" hidden="false" customHeight="false" outlineLevel="0" collapsed="false">
      <c r="A901" s="5" t="n">
        <v>43946</v>
      </c>
      <c r="B901" s="5" t="s">
        <v>86</v>
      </c>
      <c r="C901" s="5" t="s">
        <v>521</v>
      </c>
      <c r="D901" s="4" t="s">
        <v>30</v>
      </c>
      <c r="E901" s="4" t="s">
        <v>1351</v>
      </c>
      <c r="F901" s="4" t="s">
        <v>1377</v>
      </c>
      <c r="G901" s="5" t="n">
        <v>10</v>
      </c>
      <c r="H901" s="5" t="s">
        <v>1419</v>
      </c>
      <c r="I901" s="4" t="s">
        <v>1427</v>
      </c>
      <c r="J901" s="4" t="s">
        <v>133</v>
      </c>
    </row>
    <row r="902" customFormat="false" ht="15" hidden="false" customHeight="false" outlineLevel="0" collapsed="false">
      <c r="A902" s="5" t="n">
        <v>43947</v>
      </c>
      <c r="B902" s="5" t="s">
        <v>86</v>
      </c>
      <c r="C902" s="5" t="s">
        <v>1655</v>
      </c>
      <c r="D902" s="4" t="s">
        <v>30</v>
      </c>
      <c r="E902" s="4" t="s">
        <v>1351</v>
      </c>
      <c r="F902" s="4" t="s">
        <v>1356</v>
      </c>
      <c r="G902" s="5" t="n">
        <v>72</v>
      </c>
      <c r="H902" s="5" t="s">
        <v>1353</v>
      </c>
      <c r="I902" s="4" t="s">
        <v>2511</v>
      </c>
      <c r="J902" s="4" t="s">
        <v>131</v>
      </c>
    </row>
    <row r="903" customFormat="false" ht="15" hidden="false" customHeight="false" outlineLevel="0" collapsed="false">
      <c r="A903" s="5" t="n">
        <v>43948</v>
      </c>
      <c r="B903" s="5" t="s">
        <v>86</v>
      </c>
      <c r="C903" s="5" t="s">
        <v>2279</v>
      </c>
      <c r="D903" s="4" t="s">
        <v>30</v>
      </c>
      <c r="E903" s="4" t="s">
        <v>1351</v>
      </c>
      <c r="F903" s="4" t="s">
        <v>1356</v>
      </c>
      <c r="G903" s="5" t="n">
        <v>71</v>
      </c>
      <c r="H903" s="5" t="s">
        <v>1353</v>
      </c>
      <c r="I903" s="4" t="s">
        <v>2512</v>
      </c>
      <c r="J903" s="4" t="s">
        <v>131</v>
      </c>
    </row>
    <row r="904" customFormat="false" ht="15" hidden="false" customHeight="false" outlineLevel="0" collapsed="false">
      <c r="A904" s="5" t="n">
        <v>43948</v>
      </c>
      <c r="B904" s="5" t="s">
        <v>86</v>
      </c>
      <c r="C904" s="5" t="s">
        <v>2279</v>
      </c>
      <c r="D904" s="4" t="s">
        <v>30</v>
      </c>
      <c r="E904" s="4" t="s">
        <v>1351</v>
      </c>
      <c r="F904" s="4" t="s">
        <v>1377</v>
      </c>
      <c r="G904" s="5" t="n">
        <v>10</v>
      </c>
      <c r="H904" s="5" t="s">
        <v>1419</v>
      </c>
      <c r="I904" s="4" t="s">
        <v>1427</v>
      </c>
      <c r="J904" s="4" t="s">
        <v>133</v>
      </c>
    </row>
    <row r="905" customFormat="false" ht="15" hidden="false" customHeight="false" outlineLevel="0" collapsed="false">
      <c r="A905" s="5" t="n">
        <v>43949</v>
      </c>
      <c r="B905" s="5" t="s">
        <v>86</v>
      </c>
      <c r="C905" s="5" t="s">
        <v>2513</v>
      </c>
      <c r="D905" s="4" t="s">
        <v>22</v>
      </c>
      <c r="E905" s="4" t="s">
        <v>1351</v>
      </c>
      <c r="F905" s="4" t="s">
        <v>1356</v>
      </c>
      <c r="G905" s="5" t="n">
        <v>50</v>
      </c>
      <c r="H905" s="5" t="s">
        <v>1353</v>
      </c>
      <c r="I905" s="4" t="s">
        <v>2514</v>
      </c>
      <c r="J905" s="4" t="s">
        <v>131</v>
      </c>
    </row>
    <row r="906" customFormat="false" ht="15" hidden="false" customHeight="false" outlineLevel="0" collapsed="false">
      <c r="A906" s="5" t="n">
        <v>40834</v>
      </c>
      <c r="B906" s="5" t="s">
        <v>86</v>
      </c>
      <c r="C906" s="5" t="s">
        <v>2057</v>
      </c>
      <c r="D906" s="4" t="s">
        <v>22</v>
      </c>
      <c r="E906" s="4" t="s">
        <v>1351</v>
      </c>
      <c r="F906" s="4" t="s">
        <v>1370</v>
      </c>
      <c r="G906" s="5" t="n">
        <v>31</v>
      </c>
      <c r="H906" s="5" t="s">
        <v>1397</v>
      </c>
      <c r="I906" s="4" t="s">
        <v>2515</v>
      </c>
      <c r="J906" s="4" t="s">
        <v>132</v>
      </c>
    </row>
    <row r="907" customFormat="false" ht="15" hidden="false" customHeight="false" outlineLevel="0" collapsed="false">
      <c r="A907" s="5" t="n">
        <v>32916</v>
      </c>
      <c r="B907" s="5" t="s">
        <v>86</v>
      </c>
      <c r="C907" s="5" t="s">
        <v>2516</v>
      </c>
      <c r="D907" s="4" t="s">
        <v>28</v>
      </c>
      <c r="E907" s="4" t="s">
        <v>1351</v>
      </c>
      <c r="F907" s="4" t="s">
        <v>1352</v>
      </c>
      <c r="G907" s="5" t="n">
        <v>84</v>
      </c>
      <c r="H907" s="5" t="s">
        <v>1353</v>
      </c>
      <c r="I907" s="4" t="s">
        <v>2517</v>
      </c>
      <c r="J907" s="4" t="s">
        <v>131</v>
      </c>
    </row>
    <row r="908" customFormat="false" ht="15" hidden="false" customHeight="false" outlineLevel="0" collapsed="false">
      <c r="A908" s="5" t="n">
        <v>43285</v>
      </c>
      <c r="B908" s="5" t="s">
        <v>86</v>
      </c>
      <c r="C908" s="5" t="s">
        <v>2518</v>
      </c>
      <c r="D908" s="4" t="s">
        <v>28</v>
      </c>
      <c r="E908" s="4" t="s">
        <v>1351</v>
      </c>
      <c r="F908" s="4" t="s">
        <v>1352</v>
      </c>
      <c r="G908" s="5" t="n">
        <v>96</v>
      </c>
      <c r="H908" s="5" t="s">
        <v>1353</v>
      </c>
      <c r="I908" s="4" t="s">
        <v>2519</v>
      </c>
      <c r="J908" s="4" t="s">
        <v>131</v>
      </c>
    </row>
    <row r="909" customFormat="false" ht="15" hidden="false" customHeight="false" outlineLevel="0" collapsed="false">
      <c r="A909" s="5" t="n">
        <v>3948</v>
      </c>
      <c r="B909" s="5" t="s">
        <v>86</v>
      </c>
      <c r="C909" s="5" t="s">
        <v>2520</v>
      </c>
      <c r="D909" s="4" t="s">
        <v>28</v>
      </c>
      <c r="E909" s="4" t="s">
        <v>1351</v>
      </c>
      <c r="F909" s="4" t="s">
        <v>1352</v>
      </c>
      <c r="G909" s="5" t="n">
        <v>71</v>
      </c>
      <c r="H909" s="5" t="s">
        <v>1353</v>
      </c>
      <c r="I909" s="4" t="s">
        <v>2128</v>
      </c>
      <c r="J909" s="4" t="s">
        <v>131</v>
      </c>
    </row>
    <row r="910" customFormat="false" ht="15" hidden="false" customHeight="false" outlineLevel="0" collapsed="false">
      <c r="A910" s="5" t="n">
        <v>40773</v>
      </c>
      <c r="B910" s="5" t="s">
        <v>86</v>
      </c>
      <c r="C910" s="5" t="s">
        <v>2521</v>
      </c>
      <c r="D910" s="4" t="s">
        <v>28</v>
      </c>
      <c r="E910" s="4" t="s">
        <v>1351</v>
      </c>
      <c r="F910" s="4" t="s">
        <v>1352</v>
      </c>
      <c r="G910" s="5" t="n">
        <v>62</v>
      </c>
      <c r="H910" s="5" t="s">
        <v>1353</v>
      </c>
      <c r="I910" s="4" t="s">
        <v>2522</v>
      </c>
      <c r="J910" s="4" t="s">
        <v>131</v>
      </c>
    </row>
    <row r="911" customFormat="false" ht="15" hidden="false" customHeight="false" outlineLevel="0" collapsed="false">
      <c r="A911" s="5" t="n">
        <v>35909</v>
      </c>
      <c r="B911" s="5" t="s">
        <v>86</v>
      </c>
      <c r="C911" s="5" t="s">
        <v>2523</v>
      </c>
      <c r="D911" s="4" t="s">
        <v>28</v>
      </c>
      <c r="E911" s="4" t="s">
        <v>1351</v>
      </c>
      <c r="F911" s="4" t="s">
        <v>1356</v>
      </c>
      <c r="G911" s="5" t="n">
        <v>57</v>
      </c>
      <c r="H911" s="5" t="s">
        <v>1353</v>
      </c>
      <c r="I911" s="4" t="s">
        <v>2524</v>
      </c>
      <c r="J911" s="4" t="s">
        <v>131</v>
      </c>
    </row>
    <row r="912" customFormat="false" ht="15" hidden="false" customHeight="false" outlineLevel="0" collapsed="false">
      <c r="A912" s="5" t="n">
        <v>23938</v>
      </c>
      <c r="B912" s="5" t="s">
        <v>86</v>
      </c>
      <c r="C912" s="5" t="s">
        <v>2523</v>
      </c>
      <c r="D912" s="4" t="s">
        <v>28</v>
      </c>
      <c r="E912" s="4" t="s">
        <v>1351</v>
      </c>
      <c r="F912" s="4" t="s">
        <v>1356</v>
      </c>
      <c r="G912" s="5" t="n">
        <v>52</v>
      </c>
      <c r="H912" s="5" t="s">
        <v>1353</v>
      </c>
      <c r="I912" s="4" t="s">
        <v>2525</v>
      </c>
      <c r="J912" s="4" t="s">
        <v>131</v>
      </c>
    </row>
    <row r="913" customFormat="false" ht="15" hidden="false" customHeight="false" outlineLevel="0" collapsed="false">
      <c r="A913" s="5" t="n">
        <v>10875</v>
      </c>
      <c r="B913" s="5" t="s">
        <v>86</v>
      </c>
      <c r="C913" s="5" t="s">
        <v>2526</v>
      </c>
      <c r="D913" s="4" t="s">
        <v>28</v>
      </c>
      <c r="E913" s="4" t="s">
        <v>1351</v>
      </c>
      <c r="F913" s="4" t="s">
        <v>1352</v>
      </c>
      <c r="G913" s="5" t="n">
        <v>114</v>
      </c>
      <c r="H913" s="5" t="s">
        <v>1353</v>
      </c>
      <c r="I913" s="4" t="s">
        <v>2527</v>
      </c>
      <c r="J913" s="4" t="s">
        <v>131</v>
      </c>
    </row>
    <row r="914" customFormat="false" ht="15" hidden="false" customHeight="false" outlineLevel="0" collapsed="false">
      <c r="A914" s="5" t="n">
        <v>5732</v>
      </c>
      <c r="B914" s="5" t="s">
        <v>86</v>
      </c>
      <c r="C914" s="5" t="s">
        <v>2408</v>
      </c>
      <c r="D914" s="4" t="s">
        <v>28</v>
      </c>
      <c r="E914" s="4" t="s">
        <v>1351</v>
      </c>
      <c r="F914" s="4" t="s">
        <v>1352</v>
      </c>
      <c r="G914" s="5" t="n">
        <v>84</v>
      </c>
      <c r="H914" s="5" t="s">
        <v>1353</v>
      </c>
      <c r="I914" s="4" t="s">
        <v>2528</v>
      </c>
      <c r="J914" s="4" t="s">
        <v>131</v>
      </c>
    </row>
    <row r="915" customFormat="false" ht="15" hidden="false" customHeight="false" outlineLevel="0" collapsed="false">
      <c r="A915" s="5" t="n">
        <v>43836</v>
      </c>
      <c r="B915" s="5" t="s">
        <v>87</v>
      </c>
      <c r="C915" s="5" t="s">
        <v>2529</v>
      </c>
      <c r="D915" s="4" t="s">
        <v>34</v>
      </c>
      <c r="E915" s="4" t="s">
        <v>1351</v>
      </c>
      <c r="F915" s="4" t="s">
        <v>1368</v>
      </c>
      <c r="G915" s="5" t="n">
        <v>121</v>
      </c>
      <c r="H915" s="5" t="s">
        <v>1353</v>
      </c>
      <c r="I915" s="4" t="s">
        <v>2530</v>
      </c>
      <c r="J915" s="4" t="s">
        <v>131</v>
      </c>
    </row>
    <row r="916" customFormat="false" ht="15" hidden="false" customHeight="false" outlineLevel="0" collapsed="false">
      <c r="A916" s="5" t="n">
        <v>40526</v>
      </c>
      <c r="B916" s="5" t="s">
        <v>87</v>
      </c>
      <c r="C916" s="5" t="s">
        <v>2531</v>
      </c>
      <c r="D916" s="4" t="s">
        <v>20</v>
      </c>
      <c r="E916" s="4" t="s">
        <v>1351</v>
      </c>
      <c r="F916" s="4" t="s">
        <v>1356</v>
      </c>
      <c r="G916" s="5" t="n">
        <v>72</v>
      </c>
      <c r="H916" s="5" t="s">
        <v>1353</v>
      </c>
      <c r="I916" s="4" t="s">
        <v>2532</v>
      </c>
      <c r="J916" s="4" t="s">
        <v>131</v>
      </c>
    </row>
    <row r="917" customFormat="false" ht="15" hidden="false" customHeight="false" outlineLevel="0" collapsed="false">
      <c r="A917" s="5" t="n">
        <v>40526</v>
      </c>
      <c r="B917" s="5" t="s">
        <v>87</v>
      </c>
      <c r="C917" s="5" t="s">
        <v>2531</v>
      </c>
      <c r="D917" s="4" t="s">
        <v>20</v>
      </c>
      <c r="E917" s="4" t="s">
        <v>1351</v>
      </c>
      <c r="F917" s="4" t="s">
        <v>1377</v>
      </c>
      <c r="G917" s="5" t="n">
        <v>10</v>
      </c>
      <c r="H917" s="5" t="s">
        <v>1419</v>
      </c>
      <c r="I917" s="4" t="s">
        <v>1427</v>
      </c>
      <c r="J917" s="4" t="s">
        <v>133</v>
      </c>
    </row>
    <row r="918" customFormat="false" ht="15" hidden="false" customHeight="false" outlineLevel="0" collapsed="false">
      <c r="A918" s="5" t="n">
        <v>40644</v>
      </c>
      <c r="B918" s="5" t="s">
        <v>87</v>
      </c>
      <c r="C918" s="5" t="s">
        <v>1809</v>
      </c>
      <c r="D918" s="4" t="s">
        <v>20</v>
      </c>
      <c r="E918" s="4" t="s">
        <v>1351</v>
      </c>
      <c r="F918" s="4" t="s">
        <v>1671</v>
      </c>
      <c r="G918" s="5" t="n">
        <v>91</v>
      </c>
      <c r="H918" s="5" t="s">
        <v>1353</v>
      </c>
      <c r="I918" s="4" t="s">
        <v>2533</v>
      </c>
      <c r="J918" s="4" t="s">
        <v>131</v>
      </c>
    </row>
    <row r="919" customFormat="false" ht="15" hidden="false" customHeight="false" outlineLevel="0" collapsed="false">
      <c r="A919" s="5" t="n">
        <v>40644</v>
      </c>
      <c r="B919" s="5" t="s">
        <v>87</v>
      </c>
      <c r="C919" s="5" t="s">
        <v>1809</v>
      </c>
      <c r="D919" s="4" t="s">
        <v>20</v>
      </c>
      <c r="E919" s="4" t="s">
        <v>1351</v>
      </c>
      <c r="F919" s="4" t="s">
        <v>1377</v>
      </c>
      <c r="G919" s="5" t="n">
        <v>10</v>
      </c>
      <c r="H919" s="5" t="s">
        <v>1419</v>
      </c>
      <c r="I919" s="4" t="s">
        <v>1427</v>
      </c>
      <c r="J919" s="4" t="s">
        <v>133</v>
      </c>
    </row>
    <row r="920" customFormat="false" ht="15" hidden="false" customHeight="false" outlineLevel="0" collapsed="false">
      <c r="A920" s="5" t="n">
        <v>39168</v>
      </c>
      <c r="B920" s="5" t="s">
        <v>87</v>
      </c>
      <c r="C920" s="5" t="s">
        <v>1809</v>
      </c>
      <c r="D920" s="4" t="s">
        <v>20</v>
      </c>
      <c r="E920" s="4" t="s">
        <v>1351</v>
      </c>
      <c r="F920" s="4" t="s">
        <v>1671</v>
      </c>
      <c r="G920" s="5" t="n">
        <v>52</v>
      </c>
      <c r="H920" s="5" t="s">
        <v>1353</v>
      </c>
      <c r="I920" s="4" t="s">
        <v>2534</v>
      </c>
      <c r="J920" s="4" t="s">
        <v>131</v>
      </c>
    </row>
    <row r="921" customFormat="false" ht="15" hidden="false" customHeight="false" outlineLevel="0" collapsed="false">
      <c r="A921" s="5" t="n">
        <v>39168</v>
      </c>
      <c r="B921" s="5" t="s">
        <v>87</v>
      </c>
      <c r="C921" s="5" t="s">
        <v>1809</v>
      </c>
      <c r="D921" s="4" t="s">
        <v>20</v>
      </c>
      <c r="E921" s="4" t="s">
        <v>1351</v>
      </c>
      <c r="F921" s="4" t="s">
        <v>1377</v>
      </c>
      <c r="G921" s="5" t="n">
        <v>10</v>
      </c>
      <c r="H921" s="5" t="s">
        <v>1419</v>
      </c>
      <c r="I921" s="4" t="s">
        <v>1427</v>
      </c>
      <c r="J921" s="4" t="s">
        <v>133</v>
      </c>
    </row>
    <row r="922" customFormat="false" ht="15" hidden="false" customHeight="false" outlineLevel="0" collapsed="false">
      <c r="A922" s="5" t="n">
        <v>28267</v>
      </c>
      <c r="B922" s="5" t="s">
        <v>87</v>
      </c>
      <c r="C922" s="5" t="s">
        <v>2535</v>
      </c>
      <c r="D922" s="4" t="s">
        <v>20</v>
      </c>
      <c r="E922" s="4" t="s">
        <v>1351</v>
      </c>
      <c r="F922" s="4" t="s">
        <v>1671</v>
      </c>
      <c r="G922" s="5" t="n">
        <v>95</v>
      </c>
      <c r="H922" s="5" t="s">
        <v>1353</v>
      </c>
      <c r="I922" s="4" t="s">
        <v>2536</v>
      </c>
      <c r="J922" s="4" t="s">
        <v>131</v>
      </c>
    </row>
    <row r="923" customFormat="false" ht="15" hidden="false" customHeight="false" outlineLevel="0" collapsed="false">
      <c r="A923" s="5" t="n">
        <v>28267</v>
      </c>
      <c r="B923" s="5" t="s">
        <v>87</v>
      </c>
      <c r="C923" s="5" t="s">
        <v>2535</v>
      </c>
      <c r="D923" s="4" t="s">
        <v>20</v>
      </c>
      <c r="E923" s="4" t="s">
        <v>1351</v>
      </c>
      <c r="F923" s="4" t="s">
        <v>1377</v>
      </c>
      <c r="G923" s="5" t="n">
        <v>10</v>
      </c>
      <c r="H923" s="5" t="s">
        <v>1419</v>
      </c>
      <c r="I923" s="4" t="s">
        <v>1427</v>
      </c>
      <c r="J923" s="4" t="s">
        <v>133</v>
      </c>
    </row>
    <row r="924" customFormat="false" ht="15" hidden="false" customHeight="false" outlineLevel="0" collapsed="false">
      <c r="A924" s="5" t="n">
        <v>43950</v>
      </c>
      <c r="B924" s="5" t="s">
        <v>87</v>
      </c>
      <c r="C924" s="5" t="s">
        <v>202</v>
      </c>
      <c r="D924" s="4" t="s">
        <v>20</v>
      </c>
      <c r="E924" s="4" t="s">
        <v>1351</v>
      </c>
      <c r="F924" s="4" t="s">
        <v>1671</v>
      </c>
      <c r="G924" s="5" t="n">
        <v>62</v>
      </c>
      <c r="H924" s="5" t="s">
        <v>1353</v>
      </c>
      <c r="I924" s="4" t="s">
        <v>2537</v>
      </c>
      <c r="J924" s="4" t="s">
        <v>131</v>
      </c>
    </row>
    <row r="925" customFormat="false" ht="15" hidden="false" customHeight="false" outlineLevel="0" collapsed="false">
      <c r="A925" s="5" t="n">
        <v>43950</v>
      </c>
      <c r="B925" s="5" t="s">
        <v>87</v>
      </c>
      <c r="C925" s="5" t="s">
        <v>202</v>
      </c>
      <c r="D925" s="4" t="s">
        <v>20</v>
      </c>
      <c r="E925" s="4" t="s">
        <v>1351</v>
      </c>
      <c r="F925" s="4" t="s">
        <v>1377</v>
      </c>
      <c r="G925" s="5" t="n">
        <v>10</v>
      </c>
      <c r="H925" s="5" t="s">
        <v>1419</v>
      </c>
      <c r="I925" s="4" t="s">
        <v>1427</v>
      </c>
      <c r="J925" s="4" t="s">
        <v>133</v>
      </c>
    </row>
    <row r="926" customFormat="false" ht="15" hidden="false" customHeight="false" outlineLevel="0" collapsed="false">
      <c r="A926" s="5" t="n">
        <v>40502</v>
      </c>
      <c r="B926" s="5" t="s">
        <v>87</v>
      </c>
      <c r="C926" s="5" t="s">
        <v>2538</v>
      </c>
      <c r="D926" s="4" t="s">
        <v>20</v>
      </c>
      <c r="E926" s="4" t="s">
        <v>1351</v>
      </c>
      <c r="F926" s="4" t="s">
        <v>1671</v>
      </c>
      <c r="G926" s="5" t="n">
        <v>76</v>
      </c>
      <c r="H926" s="5" t="s">
        <v>1353</v>
      </c>
      <c r="I926" s="4" t="s">
        <v>2539</v>
      </c>
      <c r="J926" s="4" t="s">
        <v>131</v>
      </c>
    </row>
    <row r="927" customFormat="false" ht="15" hidden="false" customHeight="false" outlineLevel="0" collapsed="false">
      <c r="A927" s="5" t="n">
        <v>40502</v>
      </c>
      <c r="B927" s="5" t="s">
        <v>87</v>
      </c>
      <c r="C927" s="5" t="s">
        <v>2538</v>
      </c>
      <c r="D927" s="4" t="s">
        <v>20</v>
      </c>
      <c r="E927" s="4" t="s">
        <v>1351</v>
      </c>
      <c r="F927" s="4" t="s">
        <v>1377</v>
      </c>
      <c r="G927" s="5" t="n">
        <v>10</v>
      </c>
      <c r="H927" s="5" t="s">
        <v>1419</v>
      </c>
      <c r="I927" s="4" t="s">
        <v>1427</v>
      </c>
      <c r="J927" s="4" t="s">
        <v>133</v>
      </c>
    </row>
    <row r="928" customFormat="false" ht="15" hidden="false" customHeight="false" outlineLevel="0" collapsed="false">
      <c r="A928" s="5" t="n">
        <v>43952</v>
      </c>
      <c r="B928" s="5" t="s">
        <v>87</v>
      </c>
      <c r="C928" s="5" t="s">
        <v>727</v>
      </c>
      <c r="D928" s="4" t="s">
        <v>24</v>
      </c>
      <c r="E928" s="4" t="s">
        <v>1351</v>
      </c>
      <c r="F928" s="4" t="s">
        <v>1356</v>
      </c>
      <c r="G928" s="5" t="n">
        <v>159</v>
      </c>
      <c r="H928" s="5" t="s">
        <v>1353</v>
      </c>
      <c r="I928" s="4" t="s">
        <v>2540</v>
      </c>
      <c r="J928" s="4" t="s">
        <v>131</v>
      </c>
    </row>
    <row r="929" customFormat="false" ht="15" hidden="false" customHeight="false" outlineLevel="0" collapsed="false">
      <c r="A929" s="5" t="n">
        <v>43960</v>
      </c>
      <c r="B929" s="5" t="s">
        <v>87</v>
      </c>
      <c r="C929" s="5" t="s">
        <v>1708</v>
      </c>
      <c r="D929" s="4" t="s">
        <v>18</v>
      </c>
      <c r="E929" s="4" t="s">
        <v>1351</v>
      </c>
      <c r="F929" s="4" t="s">
        <v>1356</v>
      </c>
      <c r="G929" s="5" t="n">
        <v>156</v>
      </c>
      <c r="H929" s="5" t="s">
        <v>1353</v>
      </c>
      <c r="I929" s="4" t="s">
        <v>2541</v>
      </c>
      <c r="J929" s="4" t="s">
        <v>131</v>
      </c>
    </row>
    <row r="930" customFormat="false" ht="15" hidden="false" customHeight="false" outlineLevel="0" collapsed="false">
      <c r="A930" s="5" t="n">
        <v>43961</v>
      </c>
      <c r="B930" s="5" t="s">
        <v>87</v>
      </c>
      <c r="C930" s="5" t="s">
        <v>744</v>
      </c>
      <c r="D930" s="4" t="s">
        <v>18</v>
      </c>
      <c r="E930" s="4" t="s">
        <v>1351</v>
      </c>
      <c r="F930" s="4" t="s">
        <v>1356</v>
      </c>
      <c r="G930" s="5" t="n">
        <v>46</v>
      </c>
      <c r="H930" s="5" t="s">
        <v>1353</v>
      </c>
      <c r="I930" s="4" t="s">
        <v>2542</v>
      </c>
      <c r="J930" s="4" t="s">
        <v>131</v>
      </c>
    </row>
    <row r="931" customFormat="false" ht="15" hidden="false" customHeight="false" outlineLevel="0" collapsed="false">
      <c r="A931" s="5" t="n">
        <v>43962</v>
      </c>
      <c r="B931" s="5" t="s">
        <v>87</v>
      </c>
      <c r="C931" s="5" t="s">
        <v>2250</v>
      </c>
      <c r="D931" s="4" t="s">
        <v>18</v>
      </c>
      <c r="E931" s="4" t="s">
        <v>1351</v>
      </c>
      <c r="F931" s="4" t="s">
        <v>1352</v>
      </c>
      <c r="G931" s="5" t="n">
        <v>122</v>
      </c>
      <c r="H931" s="5" t="s">
        <v>1353</v>
      </c>
      <c r="I931" s="4" t="s">
        <v>2543</v>
      </c>
      <c r="J931" s="4" t="s">
        <v>131</v>
      </c>
    </row>
    <row r="932" customFormat="false" ht="15" hidden="false" customHeight="false" outlineLevel="0" collapsed="false">
      <c r="A932" s="5" t="n">
        <v>35173</v>
      </c>
      <c r="B932" s="5" t="s">
        <v>87</v>
      </c>
      <c r="C932" s="5" t="s">
        <v>672</v>
      </c>
      <c r="D932" s="4" t="s">
        <v>32</v>
      </c>
      <c r="E932" s="4" t="s">
        <v>1351</v>
      </c>
      <c r="F932" s="4" t="s">
        <v>1356</v>
      </c>
      <c r="G932" s="5" t="n">
        <v>14</v>
      </c>
      <c r="H932" s="5" t="s">
        <v>1419</v>
      </c>
      <c r="I932" s="4" t="s">
        <v>1727</v>
      </c>
      <c r="J932" s="4" t="s">
        <v>133</v>
      </c>
    </row>
    <row r="933" customFormat="false" ht="15" hidden="false" customHeight="false" outlineLevel="0" collapsed="false">
      <c r="A933" s="5" t="n">
        <v>9810</v>
      </c>
      <c r="B933" s="5" t="s">
        <v>87</v>
      </c>
      <c r="C933" s="5" t="s">
        <v>2024</v>
      </c>
      <c r="D933" s="4" t="s">
        <v>28</v>
      </c>
      <c r="E933" s="4" t="s">
        <v>1351</v>
      </c>
      <c r="F933" s="4" t="s">
        <v>1356</v>
      </c>
      <c r="G933" s="5" t="n">
        <v>53</v>
      </c>
      <c r="H933" s="5" t="s">
        <v>1353</v>
      </c>
      <c r="I933" s="4" t="s">
        <v>2544</v>
      </c>
      <c r="J933" s="4" t="s">
        <v>131</v>
      </c>
    </row>
  </sheetData>
  <autoFilter ref="A1:J933"/>
  <conditionalFormatting sqref="J2:J933">
    <cfRule type="expression" priority="2" aboveAverage="0" equalAverage="0" bottom="0" percent="0" rank="0" text="" dxfId="2">
      <formula>ISNUMBER(SEARCH("مختصر",$J2))</formula>
    </cfRule>
    <cfRule type="expression" priority="3" aboveAverage="0" equalAverage="0" bottom="0" percent="0" rank="0" text="" dxfId="0">
      <formula>ISNUMBER(SEARCH("بدون أي نص",$J2))</formula>
    </cfRule>
  </conditionalFormatting>
  <conditionalFormatting sqref="H2:H933">
    <cfRule type="cellIs" priority="4" operator="equal" aboveAverage="0" equalAverage="0" bottom="0" percent="0" rank="0" text="" dxfId="1">
      <formula>"تفصيلي"</formula>
    </cfRule>
    <cfRule type="cellIs" priority="5" operator="equal" aboveAverage="0" equalAverage="0" bottom="0" percent="0" rank="0" text="" dxfId="2">
      <formula>"مختصر"</formula>
    </cfRule>
    <cfRule type="cellIs" priority="6" operator="equal" aboveAverage="0" equalAverage="0" bottom="0" percent="0" rank="0" text="" dxfId="0">
      <formula>"مختصر جداً / فارغ"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2026-10-01T08:51:17Z</dcterms:created>
  <dc:creator>openpyxl</dc:creator>
  <dc:description/>
  <dc:language>en-US</dc:language>
  <cp:lastModifiedBy/>
  <dcterms:modified xsi:type="dcterms:W3CDTF">2026-10-01T08:51:19Z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